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7357ffb5dc46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7521a0ec691c4e47"/>
    <x:sheet xmlns:r="http://schemas.openxmlformats.org/officeDocument/2006/relationships" name="Resultados" sheetId="2" r:id="Rcdf4e50531d441ac"/>
    <x:sheet xmlns:r="http://schemas.openxmlformats.org/officeDocument/2006/relationships" name="Especificaciones" sheetId="3" r:id="R94bddb995ac14079"/>
    <x:sheet xmlns:r="http://schemas.openxmlformats.org/officeDocument/2006/relationships" name="Variantes" sheetId="4" r:id="Re526c0805a504e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"/>
    <x:numFmt numFmtId="202" formatCode="0.0%"/>
    <x:numFmt numFmtId="203" formatCode="dd/mm/yyyy hh:mm"/>
  </x:numFmts>
  <x:fonts count="7">
    <x:font>
      <x:sz val="11"/>
      <x:name val="Carlito"/>
    </x:font>
    <x:font>
      <x:sz val="10"/>
      <x:color rgb="FF243245"/>
      <x:name val="Arial"/>
    </x:font>
    <x:font>
      <x:b/>
      <x:sz val="15"/>
      <x:color rgb="FF173559"/>
      <x:name val="Arial"/>
    </x:font>
    <x:font>
      <x:b/>
      <x:sz val="10"/>
      <x:color rgb="FFFFFFFF"/>
      <x:name val="Arial"/>
    </x:font>
    <x:font>
      <x:b/>
      <x:sz val="11"/>
      <x:color rgb="FF243245"/>
      <x:name val="Arial"/>
    </x:font>
    <x:font>
      <x:b/>
      <x:sz val="12"/>
      <x:color rgb="FF243245"/>
      <x:name val="Arial"/>
    </x:font>
    <x:font>
      <x:sz val="10"/>
      <x:color rgb="FF243245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03F65"/>
      </x:patternFill>
    </x:fill>
    <x:fill>
      <x:patternFill patternType="solid">
        <x:fgColor rgb="FFFFF8E7"/>
      </x:patternFill>
    </x:fill>
    <x:fill>
      <x:patternFill patternType="solid">
        <x:fgColor rgb="FFFFF8E7"/>
      </x:patternFill>
    </x:fill>
    <x:fill>
      <x:patternFill patternType="solid">
        <x:fgColor rgb="FFFFF8E7"/>
      </x:patternFill>
    </x:fill>
    <x:fill>
      <x:patternFill patternType="solid">
        <x:fgColor rgb="FFFFFFF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9DACC0"/>
      </x:bottom>
      <x:diagonal/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3" fontId="1" fillId="5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4">
    <x:dxf>
      <x:font>
        <x:b/>
        <x:color rgb="FF24613C"/>
      </x:font>
      <x:fill>
        <x:patternFill>
          <x:bgColor rgb="FFE5F2E8"/>
        </x:patternFill>
      </x:fill>
    </x:dxf>
    <x:dxf>
      <x:font>
        <x:b/>
        <x:color rgb="FF982D25"/>
      </x:font>
      <x:fill>
        <x:patternFill>
          <x:bgColor rgb="FFFCE8E6"/>
        </x:patternFill>
      </x:fill>
    </x:dxf>
    <x:dxf>
      <x:font>
        <x:b/>
        <x:color rgb="FF805318"/>
      </x:font>
      <x:fill>
        <x:patternFill>
          <x:bgColor rgb="FFFFF0D3"/>
        </x:patternFill>
      </x:fill>
    </x:dxf>
    <x:dxf>
      <x:font>
        <x:b/>
        <x:color rgb="FF5F6977"/>
      </x:font>
      <x:fill>
        <x:patternFill>
          <x:bgColor rgb="FFEEF0F3"/>
        </x:patternFill>
      </x:fill>
    </x:dxf>
    <x:dxf>
      <x:font>
        <x:b/>
        <x:color rgb="FF982D25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374151"/>
      </x:font>
      <x:fill>
        <x:patternFill>
          <x:bgColor rgb="FFE5E7EB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E699"/>
        </x:patternFill>
      </x:fill>
    </x:dxf>
    <x:dxf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12b74977da4a83" /><Relationship Type="http://schemas.openxmlformats.org/officeDocument/2006/relationships/theme" Target="/xl/theme/theme1.xml" Id="R878343ca0c664174" /><Relationship Type="http://schemas.openxmlformats.org/officeDocument/2006/relationships/sharedStrings" Target="/xl/sharedStrings.xml" Id="Rf5eb2c04be764565" /><Relationship Type="http://schemas.openxmlformats.org/officeDocument/2006/relationships/worksheet" Target="/xl/worksheets/sheet1.xml" Id="R7521a0ec691c4e47" /><Relationship Type="http://schemas.openxmlformats.org/officeDocument/2006/relationships/worksheet" Target="/xl/worksheets/sheet2.xml" Id="Rcdf4e50531d441ac" /><Relationship Type="http://schemas.openxmlformats.org/officeDocument/2006/relationships/worksheet" Target="/xl/worksheets/sheet3.xml" Id="R94bddb995ac14079" /><Relationship Type="http://schemas.openxmlformats.org/officeDocument/2006/relationships/worksheet" Target="/xl/worksheets/sheet4.xml" Id="Re526c0805a504e4b" /></Relationships>
</file>

<file path=xl/tables/table1.xml><?xml version="1.0" encoding="utf-8"?>
<x:table xmlns:x="http://schemas.openxmlformats.org/spreadsheetml/2006/main" id="4" name="QAResultados" displayName="QAResultados" ref="A5:N1707" headerRowCount="1" totalsRowCount="0" totalsRowShown="0">
  <x:autoFilter ref="A5:N1707"/>
  <x:tableColumns count="14">
    <x:tableColumn id="1" name="ID"/>
    <x:tableColumn id="2" name="Grupo"/>
    <x:tableColumn id="3" name="Caso"/>
    <x:tableColumn id="4" name="Prioridad"/>
    <x:tableColumn id="5" name="Clase"/>
    <x:tableColumn id="6" name="Capa requerida"/>
    <x:tableColumn id="7" name="Estado"/>
    <x:tableColumn id="8" name="Resultado observado"/>
    <x:tableColumn id="9" name="Evidencia"/>
    <x:tableColumn id="10" name="Defecto / bloqueo"/>
    <x:tableColumn id="11" name="Agente"/>
    <x:tableColumn id="12" name="Fecha y hora Caracas"/>
    <x:tableColumn id="13" name="Iteración"/>
    <x:tableColumn id="14" name="Documento / operación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QAEspecificaciones" displayName="QAEspecificaciones" ref="A5:F1707" headerRowCount="1" totalsRowCount="0" totalsRowShown="0">
  <x:autoFilter ref="A5:F1707"/>
  <x:tableColumns count="6">
    <x:tableColumn id="1" name="ID"/>
    <x:tableColumn id="2" name="Caso"/>
    <x:tableColumn id="3" name="Precondiciones y fixtures"/>
    <x:tableColumn id="4" name="Pasos específicos"/>
    <x:tableColumn id="5" name="Resultado esperado"/>
    <x:tableColumn id="6" name="Fuente / entrada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QAVariantes" displayName="QAVariantes" ref="A5:N6" headerRowCount="1" totalsRowCount="0" totalsRowShown="0">
  <x:autoFilter ref="A5:N6"/>
  <x:tableColumns count="14">
    <x:tableColumn id="1" name="ID variante"/>
    <x:tableColumn id="2" name="ID padre"/>
    <x:tableColumn id="3" name="Descripción / datos"/>
    <x:tableColumn id="4" name="Prioridad"/>
    <x:tableColumn id="5" name="Clase"/>
    <x:tableColumn id="6" name="Capa requerida"/>
    <x:tableColumn id="7" name="Estado"/>
    <x:tableColumn id="8" name="Resultado observado"/>
    <x:tableColumn id="9" name="Evidencia"/>
    <x:tableColumn id="10" name="Defecto / bloqueo"/>
    <x:tableColumn id="11" name="Agente"/>
    <x:tableColumn id="12" name="Fecha y hora Caracas"/>
    <x:tableColumn id="13" name="Iteración"/>
    <x:tableColumn id="14" name="Documento / operación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34ddadd34684dc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7a1761ff265404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9208baff2ab455d" /></Relationships>
</file>

<file path=xl/worksheets/sheet1.xml><?xml version="1.0" encoding="utf-8"?>
<x:worksheet xmlns:x="http://schemas.openxmlformats.org/spreadsheetml/2006/main">
  <x:sheetPr>
    <x:tabColor rgb="FF203F65"/>
  </x:sheetPr>
  <x:sheetViews>
    <x:sheetView showGridLines="0" workbookViewId="0"/>
  </x:sheetViews>
  <x:sheetFormatPr defaultRowHeight="15"/>
  <x:cols>
    <x:col min="1" max="1" width="30" hidden="0" customWidth="1"/>
    <x:col min="2" max="2" width="17" hidden="0" customWidth="1"/>
    <x:col min="3" max="3" width="14" hidden="0" customWidth="1"/>
    <x:col min="4" max="4" width="14" hidden="0" customWidth="1"/>
    <x:col min="5" max="5" width="15" hidden="0" customWidth="1"/>
    <x:col min="6" max="6" width="15" hidden="0" customWidth="1"/>
    <x:col min="7" max="7" width="15" hidden="0" customWidth="1"/>
    <x:col min="8" max="8" width="65" hidden="0" customWidth="1"/>
    <x:col min="9" max="9" width="3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27" customHeight="1">
      <x:c r="A2" s="3" t="str">
        <x:v>QA de facturación Pro9 en Medios digitales</x:v>
      </x:c>
      <x:c r="B2" s="2"/>
      <x:c r="C2" s="2"/>
      <x:c r="D2" s="2"/>
      <x:c r="E2" s="2"/>
      <x:c r="F2" s="2"/>
      <x:c r="G2" s="2"/>
      <x:c r="H2" s="2"/>
      <x:c r="I2" s="2"/>
    </x:row>
    <x:row r="3">
      <x:c r="A3" s="2" t="str">
        <x:v>Medios digitales / DEMO | Referencia 14-10-2026: 76690125 + órdenes locales | 1702 casos: 1121 anteriores + 581 nuevos</x:v>
      </x:c>
      <x:c r="B3" s="2"/>
      <x:c r="C3" s="2"/>
      <x:c r="D3" s="2"/>
      <x:c r="E3" s="2"/>
      <x:c r="F3" s="2"/>
      <x:c r="G3" s="2"/>
      <x:c r="H3" s="2"/>
      <x:c r="I3" s="2"/>
    </x:row>
    <x:row r="4">
      <x:c r="A4" s="4"/>
      <x:c r="B4" s="4"/>
      <x:c r="C4" s="4"/>
      <x:c r="D4" s="4"/>
      <x:c r="E4" s="4"/>
      <x:c r="F4" s="4"/>
      <x:c r="G4" s="4"/>
      <x:c r="H4" s="4"/>
      <x:c r="I4" s="4"/>
    </x:row>
    <x:row r="5" ht="36" customHeight="1">
      <x:c r="A5" s="8" t="str">
        <x:v>Métrica</x:v>
      </x:c>
      <x:c r="B5" s="8" t="str">
        <x:v>Cantidad / tasa</x:v>
      </x:c>
      <x:c r="C5" s="2"/>
      <x:c r="D5" s="16" t="str">
        <x:v>Uso del registro</x:v>
      </x:c>
      <x:c r="E5" s="2"/>
      <x:c r="F5" s="2"/>
      <x:c r="G5" s="2"/>
      <x:c r="H5" s="2"/>
      <x:c r="I5" s="2"/>
    </x:row>
    <x:row r="6" ht="25" customHeight="1">
      <x:c r="A6" s="2" t="str">
        <x:v>Planificadas</x:v>
      </x:c>
      <x:c r="B6" s="14" t="n">
        <x:f>COUNTA(Resultados!$A$6:$A$5005)</x:f>
        <x:v>1702</x:v>
      </x:c>
      <x:c r="C6" s="2"/>
      <x:c r="D6" s="2" t="str">
        <x:v>Campos amarillos: completar al ejecutar.</x:v>
      </x:c>
      <x:c r="E6" s="2"/>
      <x:c r="F6" s="2"/>
      <x:c r="G6" s="2"/>
      <x:c r="H6" s="2"/>
      <x:c r="I6" s="2"/>
    </x:row>
    <x:row r="7" ht="25" customHeight="1">
      <x:c r="A7" s="2" t="str">
        <x:v>Aprobó</x:v>
      </x:c>
      <x:c r="B7" s="14" t="n">
        <x:f>COUNTIFS(Resultados!$G$6:$G$5005,"Aprobó")</x:f>
        <x:v>0</x:v>
      </x:c>
      <x:c r="C7" s="2"/>
      <x:c r="D7" s="2"/>
      <x:c r="E7" s="2"/>
      <x:c r="F7" s="2"/>
      <x:c r="G7" s="2"/>
      <x:c r="H7" s="2"/>
      <x:c r="I7" s="2"/>
    </x:row>
    <x:row r="8" ht="25" customHeight="1">
      <x:c r="A8" s="2" t="str">
        <x:v>Reprobó</x:v>
      </x:c>
      <x:c r="B8" s="14" t="n">
        <x:f>COUNTIFS(Resultados!$G$6:$G$5005,"Reprobó")</x:f>
        <x:v>0</x:v>
      </x:c>
      <x:c r="C8" s="2"/>
      <x:c r="D8" s="2" t="str">
        <x:v>Cada prueba ejecutada debe indicar Aprobó o Reprobó.</x:v>
      </x:c>
      <x:c r="E8" s="2"/>
      <x:c r="F8" s="2"/>
      <x:c r="G8" s="2"/>
      <x:c r="H8" s="2"/>
      <x:c r="I8" s="2"/>
    </x:row>
    <x:row r="9" ht="25" customHeight="1">
      <x:c r="A9" s="2" t="str">
        <x:v>Bloqueada</x:v>
      </x:c>
      <x:c r="B9" s="14" t="n">
        <x:f>COUNTIFS(Resultados!$G$6:$G$5005,"Bloqueada")</x:f>
        <x:v>0</x:v>
      </x:c>
      <x:c r="C9" s="2"/>
      <x:c r="D9" s="2"/>
      <x:c r="E9" s="2"/>
      <x:c r="F9" s="2"/>
      <x:c r="G9" s="2"/>
      <x:c r="H9" s="2"/>
      <x:c r="I9" s="2"/>
    </x:row>
    <x:row r="10" ht="25" customHeight="1">
      <x:c r="A10" s="2" t="str">
        <x:v>No aplica</x:v>
      </x:c>
      <x:c r="B10" s="14" t="n">
        <x:f>COUNTIFS(Resultados!$G$6:$G$5005,"No aplica")</x:f>
        <x:v>0</x:v>
      </x:c>
      <x:c r="C10" s="2"/>
      <x:c r="D10" s="2" t="str">
        <x:v>Bloqueada y No aplica requieren motivo concreto.</x:v>
      </x:c>
      <x:c r="E10" s="2"/>
      <x:c r="F10" s="2"/>
      <x:c r="G10" s="2"/>
      <x:c r="H10" s="2"/>
      <x:c r="I10" s="2"/>
    </x:row>
    <x:row r="11" ht="25" customHeight="1">
      <x:c r="A11" s="2" t="str">
        <x:v>Pendiente</x:v>
      </x:c>
      <x:c r="B11" s="14" t="n">
        <x:f>COUNTIFS(Resultados!$G$6:$G$5005,"Pendiente")</x:f>
        <x:v>1702</x:v>
      </x:c>
      <x:c r="C11" s="2"/>
      <x:c r="D11" s="2"/>
      <x:c r="E11" s="2"/>
      <x:c r="F11" s="2"/>
      <x:c r="G11" s="2"/>
      <x:c r="H11" s="2"/>
      <x:c r="I11" s="2"/>
    </x:row>
    <x:row r="12" ht="25" customHeight="1">
      <x:c r="A12" s="2" t="str">
        <x:v>Ejecutadas</x:v>
      </x:c>
      <x:c r="B12" s="14" t="n">
        <x:f>SUM(B7:B8)</x:f>
        <x:v>0</x:v>
      </x:c>
      <x:c r="C12" s="2"/>
      <x:c r="D12" s="2" t="str">
        <x:v>Registre subcasos en Variantes. Retest: preserve la copia anterior.</x:v>
      </x:c>
      <x:c r="E12" s="2"/>
      <x:c r="F12" s="2"/>
      <x:c r="G12" s="2"/>
      <x:c r="H12" s="2"/>
      <x:c r="I12" s="2"/>
    </x:row>
    <x:row r="13" ht="25" customHeight="1">
      <x:c r="A13" s="2" t="str">
        <x:v>Aplicables</x:v>
      </x:c>
      <x:c r="B13" s="14" t="n">
        <x:f>B6-B10</x:f>
        <x:v>1702</x:v>
      </x:c>
      <x:c r="C13" s="2"/>
      <x:c r="D13" s="2"/>
      <x:c r="E13" s="2"/>
      <x:c r="F13" s="2"/>
      <x:c r="G13" s="2"/>
      <x:c r="H13" s="2"/>
      <x:c r="I13" s="2"/>
    </x:row>
    <x:row r="14" ht="25" customHeight="1">
      <x:c r="A14" s="2" t="str">
        <x:v>Cobertura de ejecución</x:v>
      </x:c>
      <x:c r="B14" s="15" t="n">
        <x:f>IF(B13=0,"No calculable",B12/B13)</x:f>
        <x:v>0</x:v>
      </x:c>
      <x:c r="C14" s="2"/>
      <x:c r="D14" s="2" t="str">
        <x:v>Resumen preparado para hasta 5000 filas de casos y variantes.</x:v>
      </x:c>
      <x:c r="E14" s="2"/>
      <x:c r="F14" s="2"/>
      <x:c r="G14" s="2"/>
      <x:c r="H14" s="2"/>
      <x:c r="I14" s="2"/>
    </x:row>
    <x:row r="15" ht="25" customHeight="1">
      <x:c r="A15" s="2" t="str">
        <x:v>Tasa de aprobación</x:v>
      </x:c>
      <x:c r="B15" s="15" t="str">
        <x:f>IF(B12=0,"No calculable",B7/B12)</x:f>
        <x:v>No calculable</x:v>
      </x:c>
      <x:c r="C15" s="2"/>
      <x:c r="D15" s="2"/>
      <x:c r="E15" s="2"/>
      <x:c r="F15" s="2"/>
      <x:c r="G15" s="2"/>
      <x:c r="H15" s="2"/>
      <x:c r="I15" s="2"/>
    </x:row>
    <x:row r="16" ht="25" customHeight="1">
      <x:c r="A16" s="2" t="str">
        <x:v>Sin estado válido</x:v>
      </x:c>
      <x:c r="B16" s="14" t="n">
        <x:f>B6-SUM(B7:B11)</x:f>
        <x:v>0</x:v>
      </x:c>
      <x:c r="C16" s="2"/>
      <x:c r="D16" s="2" t="str">
        <x:v>Consulte la guía, el inventario y la plantilla del informe final.</x:v>
      </x:c>
      <x:c r="E16" s="2"/>
      <x:c r="F16" s="2"/>
      <x:c r="G16" s="2"/>
      <x:c r="H16" s="2"/>
      <x:c r="I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</x:row>
    <x:row r="19">
      <x:c r="A19" s="17" t="str">
        <x:v>Resultados por grupo</x:v>
      </x:c>
      <x:c r="B19" s="2"/>
      <x:c r="C19" s="2"/>
      <x:c r="D19" s="2"/>
      <x:c r="E19" s="2"/>
      <x:c r="F19" s="2"/>
      <x:c r="G19" s="2"/>
      <x:c r="H19" s="2"/>
      <x:c r="I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</x:row>
    <x:row r="21" ht="36" customHeight="1">
      <x:c r="A21" s="8" t="str">
        <x:v>Grupo</x:v>
      </x:c>
      <x:c r="B21" s="8" t="str">
        <x:v>Planificadas</x:v>
      </x:c>
      <x:c r="C21" s="8" t="str">
        <x:v>Aprobó</x:v>
      </x:c>
      <x:c r="D21" s="8" t="str">
        <x:v>Reprobó</x:v>
      </x:c>
      <x:c r="E21" s="8" t="str">
        <x:v>Bloqueada</x:v>
      </x:c>
      <x:c r="F21" s="8" t="str">
        <x:v>No aplica</x:v>
      </x:c>
      <x:c r="G21" s="8" t="str">
        <x:v>Pendiente</x:v>
      </x:c>
      <x:c r="H21" s="8" t="str">
        <x:v>Área</x:v>
      </x:c>
      <x:c r="I21" s="2"/>
    </x:row>
    <x:row r="22" ht="44" customHeight="1">
      <x:c r="A22" s="9" t="str">
        <x:v>ENT</x:v>
      </x:c>
      <x:c r="B22" s="18" t="n">
        <x:f>COUNTIFS(Resultados!$B$6:$B$5005,A22)</x:f>
        <x:v>12</x:v>
      </x:c>
      <x:c r="C22" s="18" t="n">
        <x:f>COUNTIFS(Resultados!$B$6:$B$5005,A22,Resultados!$G$6:$G$5005,"Aprobó")</x:f>
        <x:v>0</x:v>
      </x:c>
      <x:c r="D22" s="18" t="n">
        <x:f>COUNTIFS(Resultados!$B$6:$B$5005,A22,Resultados!$G$6:$G$5005,"Reprobó")</x:f>
        <x:v>0</x:v>
      </x:c>
      <x:c r="E22" s="18" t="n">
        <x:f>COUNTIFS(Resultados!$B$6:$B$5005,A22,Resultados!$G$6:$G$5005,"Bloqueada")</x:f>
        <x:v>0</x:v>
      </x:c>
      <x:c r="F22" s="18" t="n">
        <x:f>COUNTIFS(Resultados!$B$6:$B$5005,A22,Resultados!$G$6:$G$5005,"No aplica")</x:f>
        <x:v>0</x:v>
      </x:c>
      <x:c r="G22" s="18" t="n">
        <x:f>COUNTIFS(Resultados!$B$6:$B$5005,A22,Resultados!$G$6:$G$5005,"Pendiente")</x:f>
        <x:v>12</x:v>
      </x:c>
      <x:c r="H22" s="9" t="str">
        <x:v>Preparación, inventario y alcance</x:v>
      </x:c>
      <x:c r="I22" s="2"/>
    </x:row>
    <x:row r="23" ht="44" customHeight="1">
      <x:c r="A23" s="9" t="str">
        <x:v>CFG</x:v>
      </x:c>
      <x:c r="B23" s="18" t="n">
        <x:f>COUNTIFS(Resultados!$B$6:$B$5005,A23)</x:f>
        <x:v>17</x:v>
      </x:c>
      <x:c r="C23" s="18" t="n">
        <x:f>COUNTIFS(Resultados!$B$6:$B$5005,A23,Resultados!$G$6:$G$5005,"Aprobó")</x:f>
        <x:v>0</x:v>
      </x:c>
      <x:c r="D23" s="18" t="n">
        <x:f>COUNTIFS(Resultados!$B$6:$B$5005,A23,Resultados!$G$6:$G$5005,"Reprobó")</x:f>
        <x:v>0</x:v>
      </x:c>
      <x:c r="E23" s="18" t="n">
        <x:f>COUNTIFS(Resultados!$B$6:$B$5005,A23,Resultados!$G$6:$G$5005,"Bloqueada")</x:f>
        <x:v>0</x:v>
      </x:c>
      <x:c r="F23" s="18" t="n">
        <x:f>COUNTIFS(Resultados!$B$6:$B$5005,A23,Resultados!$G$6:$G$5005,"No aplica")</x:f>
        <x:v>0</x:v>
      </x:c>
      <x:c r="G23" s="18" t="n">
        <x:f>COUNTIFS(Resultados!$B$6:$B$5005,A23,Resultados!$G$6:$G$5005,"Pendiente")</x:f>
        <x:v>17</x:v>
      </x:c>
      <x:c r="H23" s="9" t="str">
        <x:v>Configuración digital, autenticación y catálogos</x:v>
      </x:c>
      <x:c r="I23" s="2"/>
    </x:row>
    <x:row r="24" ht="44" customHeight="1">
      <x:c r="A24" s="9" t="str">
        <x:v>NUM</x:v>
      </x:c>
      <x:c r="B24" s="18" t="n">
        <x:f>COUNTIFS(Resultados!$B$6:$B$5005,A24)</x:f>
        <x:v>21</x:v>
      </x:c>
      <x:c r="C24" s="18" t="n">
        <x:f>COUNTIFS(Resultados!$B$6:$B$5005,A24,Resultados!$G$6:$G$5005,"Aprobó")</x:f>
        <x:v>0</x:v>
      </x:c>
      <x:c r="D24" s="18" t="n">
        <x:f>COUNTIFS(Resultados!$B$6:$B$5005,A24,Resultados!$G$6:$G$5005,"Reprobó")</x:f>
        <x:v>0</x:v>
      </x:c>
      <x:c r="E24" s="18" t="n">
        <x:f>COUNTIFS(Resultados!$B$6:$B$5005,A24,Resultados!$G$6:$G$5005,"Bloqueada")</x:f>
        <x:v>0</x:v>
      </x:c>
      <x:c r="F24" s="18" t="n">
        <x:f>COUNTIFS(Resultados!$B$6:$B$5005,A24,Resultados!$G$6:$G$5005,"No aplica")</x:f>
        <x:v>0</x:v>
      </x:c>
      <x:c r="G24" s="18" t="n">
        <x:f>COUNTIFS(Resultados!$B$6:$B$5005,A24,Resultados!$G$6:$G$5005,"Pendiente")</x:f>
        <x:v>21</x:v>
      </x:c>
      <x:c r="H24" s="9" t="str">
        <x:v>Series, numeración y dispositivos</x:v>
      </x:c>
      <x:c r="I24" s="2"/>
    </x:row>
    <x:row r="25" ht="44" customHeight="1">
      <x:c r="A25" s="9" t="str">
        <x:v>CLI</x:v>
      </x:c>
      <x:c r="B25" s="18" t="n">
        <x:f>COUNTIFS(Resultados!$B$6:$B$5005,A25)</x:f>
        <x:v>18</x:v>
      </x:c>
      <x:c r="C25" s="18" t="n">
        <x:f>COUNTIFS(Resultados!$B$6:$B$5005,A25,Resultados!$G$6:$G$5005,"Aprobó")</x:f>
        <x:v>0</x:v>
      </x:c>
      <x:c r="D25" s="18" t="n">
        <x:f>COUNTIFS(Resultados!$B$6:$B$5005,A25,Resultados!$G$6:$G$5005,"Reprobó")</x:f>
        <x:v>0</x:v>
      </x:c>
      <x:c r="E25" s="18" t="n">
        <x:f>COUNTIFS(Resultados!$B$6:$B$5005,A25,Resultados!$G$6:$G$5005,"Bloqueada")</x:f>
        <x:v>0</x:v>
      </x:c>
      <x:c r="F25" s="18" t="n">
        <x:f>COUNTIFS(Resultados!$B$6:$B$5005,A25,Resultados!$G$6:$G$5005,"No aplica")</x:f>
        <x:v>0</x:v>
      </x:c>
      <x:c r="G25" s="18" t="n">
        <x:f>COUNTIFS(Resultados!$B$6:$B$5005,A25,Resultados!$G$6:$G$5005,"Pendiente")</x:f>
        <x:v>18</x:v>
      </x:c>
      <x:c r="H25" s="9" t="str">
        <x:v>Clientes, identidad y datos generales</x:v>
      </x:c>
      <x:c r="I25" s="2"/>
    </x:row>
    <x:row r="26" ht="44" customHeight="1">
      <x:c r="A26" s="9" t="str">
        <x:v>ITM</x:v>
      </x:c>
      <x:c r="B26" s="18" t="n">
        <x:f>COUNTIFS(Resultados!$B$6:$B$5005,A26)</x:f>
        <x:v>25</x:v>
      </x:c>
      <x:c r="C26" s="18" t="n">
        <x:f>COUNTIFS(Resultados!$B$6:$B$5005,A26,Resultados!$G$6:$G$5005,"Aprobó")</x:f>
        <x:v>0</x:v>
      </x:c>
      <x:c r="D26" s="18" t="n">
        <x:f>COUNTIFS(Resultados!$B$6:$B$5005,A26,Resultados!$G$6:$G$5005,"Reprobó")</x:f>
        <x:v>0</x:v>
      </x:c>
      <x:c r="E26" s="18" t="n">
        <x:f>COUNTIFS(Resultados!$B$6:$B$5005,A26,Resultados!$G$6:$G$5005,"Bloqueada")</x:f>
        <x:v>0</x:v>
      </x:c>
      <x:c r="F26" s="18" t="n">
        <x:f>COUNTIFS(Resultados!$B$6:$B$5005,A26,Resultados!$G$6:$G$5005,"No aplica")</x:f>
        <x:v>0</x:v>
      </x:c>
      <x:c r="G26" s="18" t="n">
        <x:f>COUNTIFS(Resultados!$B$6:$B$5005,A26,Resultados!$G$6:$G$5005,"Pendiente")</x:f>
        <x:v>25</x:v>
      </x:c>
      <x:c r="H26" s="9" t="str">
        <x:v>Productos, servicios, inventario y atributos</x:v>
      </x:c>
      <x:c r="I26" s="2"/>
    </x:row>
    <x:row r="27" ht="44" customHeight="1">
      <x:c r="A27" s="9" t="str">
        <x:v>CAL</x:v>
      </x:c>
      <x:c r="B27" s="18" t="n">
        <x:f>COUNTIFS(Resultados!$B$6:$B$5005,A27)</x:f>
        <x:v>19</x:v>
      </x:c>
      <x:c r="C27" s="18" t="n">
        <x:f>COUNTIFS(Resultados!$B$6:$B$5005,A27,Resultados!$G$6:$G$5005,"Aprobó")</x:f>
        <x:v>0</x:v>
      </x:c>
      <x:c r="D27" s="18" t="n">
        <x:f>COUNTIFS(Resultados!$B$6:$B$5005,A27,Resultados!$G$6:$G$5005,"Reprobó")</x:f>
        <x:v>0</x:v>
      </x:c>
      <x:c r="E27" s="18" t="n">
        <x:f>COUNTIFS(Resultados!$B$6:$B$5005,A27,Resultados!$G$6:$G$5005,"Bloqueada")</x:f>
        <x:v>0</x:v>
      </x:c>
      <x:c r="F27" s="18" t="n">
        <x:f>COUNTIFS(Resultados!$B$6:$B$5005,A27,Resultados!$G$6:$G$5005,"No aplica")</x:f>
        <x:v>0</x:v>
      </x:c>
      <x:c r="G27" s="18" t="n">
        <x:f>COUNTIFS(Resultados!$B$6:$B$5005,A27,Resultados!$G$6:$G$5005,"Pendiente")</x:f>
        <x:v>19</x:v>
      </x:c>
      <x:c r="H27" s="9" t="str">
        <x:v>IVA, descuentos, cargos y totales</x:v>
      </x:c>
      <x:c r="I27" s="2"/>
    </x:row>
    <x:row r="28" ht="44" customHeight="1">
      <x:c r="A28" s="9" t="str">
        <x:v>FAC</x:v>
      </x:c>
      <x:c r="B28" s="18" t="n">
        <x:f>COUNTIFS(Resultados!$B$6:$B$5005,A28)</x:f>
        <x:v>16</x:v>
      </x:c>
      <x:c r="C28" s="18" t="n">
        <x:f>COUNTIFS(Resultados!$B$6:$B$5005,A28,Resultados!$G$6:$G$5005,"Aprobó")</x:f>
        <x:v>0</x:v>
      </x:c>
      <x:c r="D28" s="18" t="n">
        <x:f>COUNTIFS(Resultados!$B$6:$B$5005,A28,Resultados!$G$6:$G$5005,"Reprobó")</x:f>
        <x:v>0</x:v>
      </x:c>
      <x:c r="E28" s="18" t="n">
        <x:f>COUNTIFS(Resultados!$B$6:$B$5005,A28,Resultados!$G$6:$G$5005,"Bloqueada")</x:f>
        <x:v>0</x:v>
      </x:c>
      <x:c r="F28" s="18" t="n">
        <x:f>COUNTIFS(Resultados!$B$6:$B$5005,A28,Resultados!$G$6:$G$5005,"No aplica")</x:f>
        <x:v>0</x:v>
      </x:c>
      <x:c r="G28" s="18" t="n">
        <x:f>COUNTIFS(Resultados!$B$6:$B$5005,A28,Resultados!$G$6:$G$5005,"Pendiente")</x:f>
        <x:v>16</x:v>
      </x:c>
      <x:c r="H28" s="9" t="str">
        <x:v>Facturas ordinarias y condiciones de pago</x:v>
      </x:c>
      <x:c r="I28" s="2"/>
    </x:row>
    <x:row r="29" ht="44" customHeight="1">
      <x:c r="A29" s="9" t="str">
        <x:v>EXP</x:v>
      </x:c>
      <x:c r="B29" s="18" t="n">
        <x:f>COUNTIFS(Resultados!$B$6:$B$5005,A29)</x:f>
        <x:v>18</x:v>
      </x:c>
      <x:c r="C29" s="18" t="n">
        <x:f>COUNTIFS(Resultados!$B$6:$B$5005,A29,Resultados!$G$6:$G$5005,"Aprobó")</x:f>
        <x:v>0</x:v>
      </x:c>
      <x:c r="D29" s="18" t="n">
        <x:f>COUNTIFS(Resultados!$B$6:$B$5005,A29,Resultados!$G$6:$G$5005,"Reprobó")</x:f>
        <x:v>0</x:v>
      </x:c>
      <x:c r="E29" s="18" t="n">
        <x:f>COUNTIFS(Resultados!$B$6:$B$5005,A29,Resultados!$G$6:$G$5005,"Bloqueada")</x:f>
        <x:v>0</x:v>
      </x:c>
      <x:c r="F29" s="18" t="n">
        <x:f>COUNTIFS(Resultados!$B$6:$B$5005,A29,Resultados!$G$6:$G$5005,"No aplica")</x:f>
        <x:v>0</x:v>
      </x:c>
      <x:c r="G29" s="18" t="n">
        <x:f>COUNTIFS(Resultados!$B$6:$B$5005,A29,Resultados!$G$6:$G$5005,"Pendiente")</x:f>
        <x:v>18</x:v>
      </x:c>
      <x:c r="H29" s="9" t="str">
        <x:v>Facturas de exportación de bienes</x:v>
      </x:c>
      <x:c r="I29" s="2"/>
    </x:row>
    <x:row r="30" ht="44" customHeight="1">
      <x:c r="A30" s="9" t="str">
        <x:v>TER</x:v>
      </x:c>
      <x:c r="B30" s="18" t="n">
        <x:f>COUNTIFS(Resultados!$B$6:$B$5005,A30)</x:f>
        <x:v>15</x:v>
      </x:c>
      <x:c r="C30" s="18" t="n">
        <x:f>COUNTIFS(Resultados!$B$6:$B$5005,A30,Resultados!$G$6:$G$5005,"Aprobó")</x:f>
        <x:v>0</x:v>
      </x:c>
      <x:c r="D30" s="18" t="n">
        <x:f>COUNTIFS(Resultados!$B$6:$B$5005,A30,Resultados!$G$6:$G$5005,"Reprobó")</x:f>
        <x:v>0</x:v>
      </x:c>
      <x:c r="E30" s="18" t="n">
        <x:f>COUNTIFS(Resultados!$B$6:$B$5005,A30,Resultados!$G$6:$G$5005,"Bloqueada")</x:f>
        <x:v>0</x:v>
      </x:c>
      <x:c r="F30" s="18" t="n">
        <x:f>COUNTIFS(Resultados!$B$6:$B$5005,A30,Resultados!$G$6:$G$5005,"No aplica")</x:f>
        <x:v>0</x:v>
      </x:c>
      <x:c r="G30" s="18" t="n">
        <x:f>COUNTIFS(Resultados!$B$6:$B$5005,A30,Resultados!$G$6:$G$5005,"Pendiente")</x:f>
        <x:v>15</x:v>
      </x:c>
      <x:c r="H30" s="9" t="str">
        <x:v>Facturas por cuenta de terceros</x:v>
      </x:c>
      <x:c r="I30" s="2"/>
    </x:row>
    <x:row r="31" ht="44" customHeight="1">
      <x:c r="A31" s="9" t="str">
        <x:v>NOT</x:v>
      </x:c>
      <x:c r="B31" s="18" t="n">
        <x:f>COUNTIFS(Resultados!$B$6:$B$5005,A31)</x:f>
        <x:v>19</x:v>
      </x:c>
      <x:c r="C31" s="18" t="n">
        <x:f>COUNTIFS(Resultados!$B$6:$B$5005,A31,Resultados!$G$6:$G$5005,"Aprobó")</x:f>
        <x:v>0</x:v>
      </x:c>
      <x:c r="D31" s="18" t="n">
        <x:f>COUNTIFS(Resultados!$B$6:$B$5005,A31,Resultados!$G$6:$G$5005,"Reprobó")</x:f>
        <x:v>0</x:v>
      </x:c>
      <x:c r="E31" s="18" t="n">
        <x:f>COUNTIFS(Resultados!$B$6:$B$5005,A31,Resultados!$G$6:$G$5005,"Bloqueada")</x:f>
        <x:v>0</x:v>
      </x:c>
      <x:c r="F31" s="18" t="n">
        <x:f>COUNTIFS(Resultados!$B$6:$B$5005,A31,Resultados!$G$6:$G$5005,"No aplica")</x:f>
        <x:v>0</x:v>
      </x:c>
      <x:c r="G31" s="18" t="n">
        <x:f>COUNTIFS(Resultados!$B$6:$B$5005,A31,Resultados!$G$6:$G$5005,"Pendiente")</x:f>
        <x:v>19</x:v>
      </x:c>
      <x:c r="H31" s="9" t="str">
        <x:v>Notas de crédito y débito</x:v>
      </x:c>
      <x:c r="I31" s="2"/>
    </x:row>
    <x:row r="32" ht="44" customHeight="1">
      <x:c r="A32" s="9" t="str">
        <x:v>PAG</x:v>
      </x:c>
      <x:c r="B32" s="18" t="n">
        <x:f>COUNTIFS(Resultados!$B$6:$B$5005,A32)</x:f>
        <x:v>22</x:v>
      </x:c>
      <x:c r="C32" s="18" t="n">
        <x:f>COUNTIFS(Resultados!$B$6:$B$5005,A32,Resultados!$G$6:$G$5005,"Aprobó")</x:f>
        <x:v>0</x:v>
      </x:c>
      <x:c r="D32" s="18" t="n">
        <x:f>COUNTIFS(Resultados!$B$6:$B$5005,A32,Resultados!$G$6:$G$5005,"Reprobó")</x:f>
        <x:v>0</x:v>
      </x:c>
      <x:c r="E32" s="18" t="n">
        <x:f>COUNTIFS(Resultados!$B$6:$B$5005,A32,Resultados!$G$6:$G$5005,"Bloqueada")</x:f>
        <x:v>0</x:v>
      </x:c>
      <x:c r="F32" s="18" t="n">
        <x:f>COUNTIFS(Resultados!$B$6:$B$5005,A32,Resultados!$G$6:$G$5005,"No aplica")</x:f>
        <x:v>0</x:v>
      </x:c>
      <x:c r="G32" s="18" t="n">
        <x:f>COUNTIFS(Resultados!$B$6:$B$5005,A32,Resultados!$G$6:$G$5005,"Pendiente")</x:f>
        <x:v>22</x:v>
      </x:c>
      <x:c r="H32" s="9" t="str">
        <x:v>Pagos, monedas, tasas y reversión</x:v>
      </x:c>
      <x:c r="I32" s="2"/>
    </x:row>
    <x:row r="33" ht="44" customHeight="1">
      <x:c r="A33" s="9" t="str">
        <x:v>IGT</x:v>
      </x:c>
      <x:c r="B33" s="18" t="n">
        <x:f>COUNTIFS(Resultados!$B$6:$B$5005,A33)</x:f>
        <x:v>14</x:v>
      </x:c>
      <x:c r="C33" s="18" t="n">
        <x:f>COUNTIFS(Resultados!$B$6:$B$5005,A33,Resultados!$G$6:$G$5005,"Aprobó")</x:f>
        <x:v>0</x:v>
      </x:c>
      <x:c r="D33" s="18" t="n">
        <x:f>COUNTIFS(Resultados!$B$6:$B$5005,A33,Resultados!$G$6:$G$5005,"Reprobó")</x:f>
        <x:v>0</x:v>
      </x:c>
      <x:c r="E33" s="18" t="n">
        <x:f>COUNTIFS(Resultados!$B$6:$B$5005,A33,Resultados!$G$6:$G$5005,"Bloqueada")</x:f>
        <x:v>0</x:v>
      </x:c>
      <x:c r="F33" s="18" t="n">
        <x:f>COUNTIFS(Resultados!$B$6:$B$5005,A33,Resultados!$G$6:$G$5005,"No aplica")</x:f>
        <x:v>0</x:v>
      </x:c>
      <x:c r="G33" s="18" t="n">
        <x:f>COUNTIFS(Resultados!$B$6:$B$5005,A33,Resultados!$G$6:$G$5005,"Pendiente")</x:f>
        <x:v>14</x:v>
      </x:c>
      <x:c r="H33" s="9" t="str">
        <x:v>IGTF inicial y posterior</x:v>
      </x:c>
      <x:c r="I33" s="2"/>
    </x:row>
    <x:row r="34" ht="44" customHeight="1">
      <x:c r="A34" s="9" t="str">
        <x:v>RET</x:v>
      </x:c>
      <x:c r="B34" s="18" t="n">
        <x:f>COUNTIFS(Resultados!$B$6:$B$5005,A34)</x:f>
        <x:v>19</x:v>
      </x:c>
      <x:c r="C34" s="18" t="n">
        <x:f>COUNTIFS(Resultados!$B$6:$B$5005,A34,Resultados!$G$6:$G$5005,"Aprobó")</x:f>
        <x:v>0</x:v>
      </x:c>
      <x:c r="D34" s="18" t="n">
        <x:f>COUNTIFS(Resultados!$B$6:$B$5005,A34,Resultados!$G$6:$G$5005,"Reprobó")</x:f>
        <x:v>0</x:v>
      </x:c>
      <x:c r="E34" s="18" t="n">
        <x:f>COUNTIFS(Resultados!$B$6:$B$5005,A34,Resultados!$G$6:$G$5005,"Bloqueada")</x:f>
        <x:v>0</x:v>
      </x:c>
      <x:c r="F34" s="18" t="n">
        <x:f>COUNTIFS(Resultados!$B$6:$B$5005,A34,Resultados!$G$6:$G$5005,"No aplica")</x:f>
        <x:v>0</x:v>
      </x:c>
      <x:c r="G34" s="18" t="n">
        <x:f>COUNTIFS(Resultados!$B$6:$B$5005,A34,Resultados!$G$6:$G$5005,"Pendiente")</x:f>
        <x:v>19</x:v>
      </x:c>
      <x:c r="H34" s="9" t="str">
        <x:v>Retenciones recibidas y fondos de garantía</x:v>
      </x:c>
      <x:c r="I34" s="2"/>
    </x:row>
    <x:row r="35" ht="44" customHeight="1">
      <x:c r="A35" s="9" t="str">
        <x:v>EDI</x:v>
      </x:c>
      <x:c r="B35" s="18" t="n">
        <x:f>COUNTIFS(Resultados!$B$6:$B$5005,A35)</x:f>
        <x:v>20</x:v>
      </x:c>
      <x:c r="C35" s="18" t="n">
        <x:f>COUNTIFS(Resultados!$B$6:$B$5005,A35,Resultados!$G$6:$G$5005,"Aprobó")</x:f>
        <x:v>0</x:v>
      </x:c>
      <x:c r="D35" s="18" t="n">
        <x:f>COUNTIFS(Resultados!$B$6:$B$5005,A35,Resultados!$G$6:$G$5005,"Reprobó")</x:f>
        <x:v>0</x:v>
      </x:c>
      <x:c r="E35" s="18" t="n">
        <x:f>COUNTIFS(Resultados!$B$6:$B$5005,A35,Resultados!$G$6:$G$5005,"Bloqueada")</x:f>
        <x:v>0</x:v>
      </x:c>
      <x:c r="F35" s="18" t="n">
        <x:f>COUNTIFS(Resultados!$B$6:$B$5005,A35,Resultados!$G$6:$G$5005,"No aplica")</x:f>
        <x:v>0</x:v>
      </x:c>
      <x:c r="G35" s="18" t="n">
        <x:f>COUNTIFS(Resultados!$B$6:$B$5005,A35,Resultados!$G$6:$G$5005,"Pendiente")</x:f>
        <x:v>20</x:v>
      </x:c>
      <x:c r="H35" s="9" t="str">
        <x:v>Edición comercial y conservación de datos</x:v>
      </x:c>
      <x:c r="I35" s="2"/>
    </x:row>
    <x:row r="36" ht="44" customHeight="1">
      <x:c r="A36" s="9" t="str">
        <x:v>HKA</x:v>
      </x:c>
      <x:c r="B36" s="18" t="n">
        <x:f>COUNTIFS(Resultados!$B$6:$B$5005,A36)</x:f>
        <x:v>25</x:v>
      </x:c>
      <x:c r="C36" s="18" t="n">
        <x:f>COUNTIFS(Resultados!$B$6:$B$5005,A36,Resultados!$G$6:$G$5005,"Aprobó")</x:f>
        <x:v>0</x:v>
      </x:c>
      <x:c r="D36" s="18" t="n">
        <x:f>COUNTIFS(Resultados!$B$6:$B$5005,A36,Resultados!$G$6:$G$5005,"Reprobó")</x:f>
        <x:v>0</x:v>
      </x:c>
      <x:c r="E36" s="18" t="n">
        <x:f>COUNTIFS(Resultados!$B$6:$B$5005,A36,Resultados!$G$6:$G$5005,"Bloqueada")</x:f>
        <x:v>0</x:v>
      </x:c>
      <x:c r="F36" s="18" t="n">
        <x:f>COUNTIFS(Resultados!$B$6:$B$5005,A36,Resultados!$G$6:$G$5005,"No aplica")</x:f>
        <x:v>0</x:v>
      </x:c>
      <x:c r="G36" s="18" t="n">
        <x:f>COUNTIFS(Resultados!$B$6:$B$5005,A36,Resultados!$G$6:$G$5005,"Pendiente")</x:f>
        <x:v>25</x:v>
      </x:c>
      <x:c r="H36" s="9" t="str">
        <x:v>Preparación, emisión, conciliación y fallos</x:v>
      </x:c>
      <x:c r="I36" s="2"/>
    </x:row>
    <x:row r="37" ht="44" customHeight="1">
      <x:c r="A37" s="9" t="str">
        <x:v>PDF</x:v>
      </x:c>
      <x:c r="B37" s="18" t="n">
        <x:f>COUNTIFS(Resultados!$B$6:$B$5005,A37)</x:f>
        <x:v>25</x:v>
      </x:c>
      <x:c r="C37" s="18" t="n">
        <x:f>COUNTIFS(Resultados!$B$6:$B$5005,A37,Resultados!$G$6:$G$5005,"Aprobó")</x:f>
        <x:v>0</x:v>
      </x:c>
      <x:c r="D37" s="18" t="n">
        <x:f>COUNTIFS(Resultados!$B$6:$B$5005,A37,Resultados!$G$6:$G$5005,"Reprobó")</x:f>
        <x:v>0</x:v>
      </x:c>
      <x:c r="E37" s="18" t="n">
        <x:f>COUNTIFS(Resultados!$B$6:$B$5005,A37,Resultados!$G$6:$G$5005,"Bloqueada")</x:f>
        <x:v>0</x:v>
      </x:c>
      <x:c r="F37" s="18" t="n">
        <x:f>COUNTIFS(Resultados!$B$6:$B$5005,A37,Resultados!$G$6:$G$5005,"No aplica")</x:f>
        <x:v>0</x:v>
      </x:c>
      <x:c r="G37" s="18" t="n">
        <x:f>COUNTIFS(Resultados!$B$6:$B$5005,A37,Resultados!$G$6:$G$5005,"Pendiente")</x:f>
        <x:v>25</x:v>
      </x:c>
      <x:c r="H37" s="9" t="str">
        <x:v>PDF, vista previa, ticket QR e impresión</x:v>
      </x:c>
      <x:c r="I37" s="2"/>
    </x:row>
    <x:row r="38" ht="44" customHeight="1">
      <x:c r="A38" s="9" t="str">
        <x:v>COR</x:v>
      </x:c>
      <x:c r="B38" s="18" t="n">
        <x:f>COUNTIFS(Resultados!$B$6:$B$5005,A38)</x:f>
        <x:v>19</x:v>
      </x:c>
      <x:c r="C38" s="18" t="n">
        <x:f>COUNTIFS(Resultados!$B$6:$B$5005,A38,Resultados!$G$6:$G$5005,"Aprobó")</x:f>
        <x:v>0</x:v>
      </x:c>
      <x:c r="D38" s="18" t="n">
        <x:f>COUNTIFS(Resultados!$B$6:$B$5005,A38,Resultados!$G$6:$G$5005,"Reprobó")</x:f>
        <x:v>0</x:v>
      </x:c>
      <x:c r="E38" s="18" t="n">
        <x:f>COUNTIFS(Resultados!$B$6:$B$5005,A38,Resultados!$G$6:$G$5005,"Bloqueada")</x:f>
        <x:v>0</x:v>
      </x:c>
      <x:c r="F38" s="18" t="n">
        <x:f>COUNTIFS(Resultados!$B$6:$B$5005,A38,Resultados!$G$6:$G$5005,"No aplica")</x:f>
        <x:v>0</x:v>
      </x:c>
      <x:c r="G38" s="18" t="n">
        <x:f>COUNTIFS(Resultados!$B$6:$B$5005,A38,Resultados!$G$6:$G$5005,"Pendiente")</x:f>
        <x:v>19</x:v>
      </x:c>
      <x:c r="H38" s="9" t="str">
        <x:v>Correo, rastreo y WhatsApp</x:v>
      </x:c>
      <x:c r="I38" s="2"/>
    </x:row>
    <x:row r="39" ht="44" customHeight="1">
      <x:c r="A39" s="9" t="str">
        <x:v>LIS</x:v>
      </x:c>
      <x:c r="B39" s="18" t="n">
        <x:f>COUNTIFS(Resultados!$B$6:$B$5005,A39)</x:f>
        <x:v>16</x:v>
      </x:c>
      <x:c r="C39" s="18" t="n">
        <x:f>COUNTIFS(Resultados!$B$6:$B$5005,A39,Resultados!$G$6:$G$5005,"Aprobó")</x:f>
        <x:v>0</x:v>
      </x:c>
      <x:c r="D39" s="18" t="n">
        <x:f>COUNTIFS(Resultados!$B$6:$B$5005,A39,Resultados!$G$6:$G$5005,"Reprobó")</x:f>
        <x:v>0</x:v>
      </x:c>
      <x:c r="E39" s="18" t="n">
        <x:f>COUNTIFS(Resultados!$B$6:$B$5005,A39,Resultados!$G$6:$G$5005,"Bloqueada")</x:f>
        <x:v>0</x:v>
      </x:c>
      <x:c r="F39" s="18" t="n">
        <x:f>COUNTIFS(Resultados!$B$6:$B$5005,A39,Resultados!$G$6:$G$5005,"No aplica")</x:f>
        <x:v>0</x:v>
      </x:c>
      <x:c r="G39" s="18" t="n">
        <x:f>COUNTIFS(Resultados!$B$6:$B$5005,A39,Resultados!$G$6:$G$5005,"Pendiente")</x:f>
        <x:v>16</x:v>
      </x:c>
      <x:c r="H39" s="9" t="str">
        <x:v>Listado, detalle, búsqueda, columnas y estados</x:v>
      </x:c>
      <x:c r="I39" s="2"/>
    </x:row>
    <x:row r="40" ht="44" customHeight="1">
      <x:c r="A40" s="9" t="str">
        <x:v>NVE</x:v>
      </x:c>
      <x:c r="B40" s="18" t="n">
        <x:f>COUNTIFS(Resultados!$B$6:$B$5005,A40)</x:f>
        <x:v>14</x:v>
      </x:c>
      <x:c r="C40" s="18" t="n">
        <x:f>COUNTIFS(Resultados!$B$6:$B$5005,A40,Resultados!$G$6:$G$5005,"Aprobó")</x:f>
        <x:v>0</x:v>
      </x:c>
      <x:c r="D40" s="18" t="n">
        <x:f>COUNTIFS(Resultados!$B$6:$B$5005,A40,Resultados!$G$6:$G$5005,"Reprobó")</x:f>
        <x:v>0</x:v>
      </x:c>
      <x:c r="E40" s="18" t="n">
        <x:f>COUNTIFS(Resultados!$B$6:$B$5005,A40,Resultados!$G$6:$G$5005,"Bloqueada")</x:f>
        <x:v>0</x:v>
      </x:c>
      <x:c r="F40" s="18" t="n">
        <x:f>COUNTIFS(Resultados!$B$6:$B$5005,A40,Resultados!$G$6:$G$5005,"No aplica")</x:f>
        <x:v>0</x:v>
      </x:c>
      <x:c r="G40" s="18" t="n">
        <x:f>COUNTIFS(Resultados!$B$6:$B$5005,A40,Resultados!$G$6:$G$5005,"Pendiente")</x:f>
        <x:v>14</x:v>
      </x:c>
      <x:c r="H40" s="9" t="str">
        <x:v>Notas de venta y conversiones comerciales</x:v>
      </x:c>
      <x:c r="I40" s="2"/>
    </x:row>
    <x:row r="41" ht="44" customHeight="1">
      <x:c r="A41" s="9" t="str">
        <x:v>CAN</x:v>
      </x:c>
      <x:c r="B41" s="18" t="n">
        <x:f>COUNTIFS(Resultados!$B$6:$B$5005,A41)</x:f>
        <x:v>40</x:v>
      </x:c>
      <x:c r="C41" s="18" t="n">
        <x:f>COUNTIFS(Resultados!$B$6:$B$5005,A41,Resultados!$G$6:$G$5005,"Aprobó")</x:f>
        <x:v>0</x:v>
      </x:c>
      <x:c r="D41" s="18" t="n">
        <x:f>COUNTIFS(Resultados!$B$6:$B$5005,A41,Resultados!$G$6:$G$5005,"Reprobó")</x:f>
        <x:v>0</x:v>
      </x:c>
      <x:c r="E41" s="18" t="n">
        <x:f>COUNTIFS(Resultados!$B$6:$B$5005,A41,Resultados!$G$6:$G$5005,"Bloqueada")</x:f>
        <x:v>0</x:v>
      </x:c>
      <x:c r="F41" s="18" t="n">
        <x:f>COUNTIFS(Resultados!$B$6:$B$5005,A41,Resultados!$G$6:$G$5005,"No aplica")</x:f>
        <x:v>0</x:v>
      </x:c>
      <x:c r="G41" s="18" t="n">
        <x:f>COUNTIFS(Resultados!$B$6:$B$5005,A41,Resultados!$G$6:$G$5005,"Pendiente")</x:f>
        <x:v>40</x:v>
      </x:c>
      <x:c r="H41" s="9" t="str">
        <x:v>Canales de venta y generación indirecta</x:v>
      </x:c>
      <x:c r="I41" s="2"/>
    </x:row>
    <x:row r="42" ht="44" customHeight="1">
      <x:c r="A42" s="9" t="str">
        <x:v>API</x:v>
      </x:c>
      <x:c r="B42" s="18" t="n">
        <x:f>COUNTIFS(Resultados!$B$6:$B$5005,A42)</x:f>
        <x:v>8</x:v>
      </x:c>
      <x:c r="C42" s="18" t="n">
        <x:f>COUNTIFS(Resultados!$B$6:$B$5005,A42,Resultados!$G$6:$G$5005,"Aprobó")</x:f>
        <x:v>0</x:v>
      </x:c>
      <x:c r="D42" s="18" t="n">
        <x:f>COUNTIFS(Resultados!$B$6:$B$5005,A42,Resultados!$G$6:$G$5005,"Reprobó")</x:f>
        <x:v>0</x:v>
      </x:c>
      <x:c r="E42" s="18" t="n">
        <x:f>COUNTIFS(Resultados!$B$6:$B$5005,A42,Resultados!$G$6:$G$5005,"Bloqueada")</x:f>
        <x:v>0</x:v>
      </x:c>
      <x:c r="F42" s="18" t="n">
        <x:f>COUNTIFS(Resultados!$B$6:$B$5005,A42,Resultados!$G$6:$G$5005,"No aplica")</x:f>
        <x:v>0</x:v>
      </x:c>
      <x:c r="G42" s="18" t="n">
        <x:f>COUNTIFS(Resultados!$B$6:$B$5005,A42,Resultados!$G$6:$G$5005,"Pendiente")</x:f>
        <x:v>8</x:v>
      </x:c>
      <x:c r="H42" s="9" t="str">
        <x:v>Contratos HTTP, validación y replay de creación</x:v>
      </x:c>
      <x:c r="I42" s="2"/>
    </x:row>
    <x:row r="43" ht="44" customHeight="1">
      <x:c r="A43" s="9" t="str">
        <x:v>IMP</x:v>
      </x:c>
      <x:c r="B43" s="18" t="n">
        <x:f>COUNTIFS(Resultados!$B$6:$B$5005,A43)</x:f>
        <x:v>12</x:v>
      </x:c>
      <x:c r="C43" s="18" t="n">
        <x:f>COUNTIFS(Resultados!$B$6:$B$5005,A43,Resultados!$G$6:$G$5005,"Aprobó")</x:f>
        <x:v>0</x:v>
      </x:c>
      <x:c r="D43" s="18" t="n">
        <x:f>COUNTIFS(Resultados!$B$6:$B$5005,A43,Resultados!$G$6:$G$5005,"Reprobó")</x:f>
        <x:v>0</x:v>
      </x:c>
      <x:c r="E43" s="18" t="n">
        <x:f>COUNTIFS(Resultados!$B$6:$B$5005,A43,Resultados!$G$6:$G$5005,"Bloqueada")</x:f>
        <x:v>0</x:v>
      </x:c>
      <x:c r="F43" s="18" t="n">
        <x:f>COUNTIFS(Resultados!$B$6:$B$5005,A43,Resultados!$G$6:$G$5005,"No aplica")</x:f>
        <x:v>0</x:v>
      </x:c>
      <x:c r="G43" s="18" t="n">
        <x:f>COUNTIFS(Resultados!$B$6:$B$5005,A43,Resultados!$G$6:$G$5005,"Pendiente")</x:f>
        <x:v>12</x:v>
      </x:c>
      <x:c r="H43" s="9" t="str">
        <x:v>Importaciones y facturación masiva</x:v>
      </x:c>
      <x:c r="I43" s="2"/>
    </x:row>
    <x:row r="44" ht="44" customHeight="1">
      <x:c r="A44" s="9" t="str">
        <x:v>ANU</x:v>
      </x:c>
      <x:c r="B44" s="18" t="n">
        <x:f>COUNTIFS(Resultados!$B$6:$B$5005,A44)</x:f>
        <x:v>9</x:v>
      </x:c>
      <x:c r="C44" s="18" t="n">
        <x:f>COUNTIFS(Resultados!$B$6:$B$5005,A44,Resultados!$G$6:$G$5005,"Aprobó")</x:f>
        <x:v>0</x:v>
      </x:c>
      <x:c r="D44" s="18" t="n">
        <x:f>COUNTIFS(Resultados!$B$6:$B$5005,A44,Resultados!$G$6:$G$5005,"Reprobó")</x:f>
        <x:v>0</x:v>
      </x:c>
      <x:c r="E44" s="18" t="n">
        <x:f>COUNTIFS(Resultados!$B$6:$B$5005,A44,Resultados!$G$6:$G$5005,"Bloqueada")</x:f>
        <x:v>0</x:v>
      </x:c>
      <x:c r="F44" s="18" t="n">
        <x:f>COUNTIFS(Resultados!$B$6:$B$5005,A44,Resultados!$G$6:$G$5005,"No aplica")</x:f>
        <x:v>0</x:v>
      </x:c>
      <x:c r="G44" s="18" t="n">
        <x:f>COUNTIFS(Resultados!$B$6:$B$5005,A44,Resultados!$G$6:$G$5005,"Pendiente")</x:f>
        <x:v>9</x:v>
      </x:c>
      <x:c r="H44" s="9" t="str">
        <x:v>Anulación local, recreación y eliminación de pruebas</x:v>
      </x:c>
      <x:c r="I44" s="2"/>
    </x:row>
    <x:row r="45" ht="44" customHeight="1">
      <x:c r="A45" s="9" t="str">
        <x:v>FIN</x:v>
      </x:c>
      <x:c r="B45" s="18" t="n">
        <x:f>COUNTIFS(Resultados!$B$6:$B$5005,A45)</x:f>
        <x:v>10</x:v>
      </x:c>
      <x:c r="C45" s="18" t="n">
        <x:f>COUNTIFS(Resultados!$B$6:$B$5005,A45,Resultados!$G$6:$G$5005,"Aprobó")</x:f>
        <x:v>0</x:v>
      </x:c>
      <x:c r="D45" s="18" t="n">
        <x:f>COUNTIFS(Resultados!$B$6:$B$5005,A45,Resultados!$G$6:$G$5005,"Reprobó")</x:f>
        <x:v>0</x:v>
      </x:c>
      <x:c r="E45" s="18" t="n">
        <x:f>COUNTIFS(Resultados!$B$6:$B$5005,A45,Resultados!$G$6:$G$5005,"Bloqueada")</x:f>
        <x:v>0</x:v>
      </x:c>
      <x:c r="F45" s="18" t="n">
        <x:f>COUNTIFS(Resultados!$B$6:$B$5005,A45,Resultados!$G$6:$G$5005,"No aplica")</x:f>
        <x:v>0</x:v>
      </x:c>
      <x:c r="G45" s="18" t="n">
        <x:f>COUNTIFS(Resultados!$B$6:$B$5005,A45,Resultados!$G$6:$G$5005,"Pendiente")</x:f>
        <x:v>10</x:v>
      </x:c>
      <x:c r="H45" s="9" t="str">
        <x:v>Caja, cuentas por cobrar, reportes y conciliación</x:v>
      </x:c>
      <x:c r="I45" s="2"/>
    </x:row>
    <x:row r="46" ht="44" customHeight="1">
      <x:c r="A46" s="9" t="str">
        <x:v>SEG</x:v>
      </x:c>
      <x:c r="B46" s="18" t="n">
        <x:f>COUNTIFS(Resultados!$B$6:$B$5005,A46)</x:f>
        <x:v>12</x:v>
      </x:c>
      <x:c r="C46" s="18" t="n">
        <x:f>COUNTIFS(Resultados!$B$6:$B$5005,A46,Resultados!$G$6:$G$5005,"Aprobó")</x:f>
        <x:v>0</x:v>
      </x:c>
      <x:c r="D46" s="18" t="n">
        <x:f>COUNTIFS(Resultados!$B$6:$B$5005,A46,Resultados!$G$6:$G$5005,"Reprobó")</x:f>
        <x:v>0</x:v>
      </x:c>
      <x:c r="E46" s="18" t="n">
        <x:f>COUNTIFS(Resultados!$B$6:$B$5005,A46,Resultados!$G$6:$G$5005,"Bloqueada")</x:f>
        <x:v>0</x:v>
      </x:c>
      <x:c r="F46" s="18" t="n">
        <x:f>COUNTIFS(Resultados!$B$6:$B$5005,A46,Resultados!$G$6:$G$5005,"No aplica")</x:f>
        <x:v>0</x:v>
      </x:c>
      <x:c r="G46" s="18" t="n">
        <x:f>COUNTIFS(Resultados!$B$6:$B$5005,A46,Resultados!$G$6:$G$5005,"Pendiente")</x:f>
        <x:v>12</x:v>
      </x:c>
      <x:c r="H46" s="9" t="str">
        <x:v>Autorización, aislamiento y seguridad del flujo fiscal</x:v>
      </x:c>
      <x:c r="I46" s="2"/>
    </x:row>
    <x:row r="47" ht="44" customHeight="1">
      <x:c r="A47" s="9" t="str">
        <x:v>ROB</x:v>
      </x:c>
      <x:c r="B47" s="18" t="n">
        <x:f>COUNTIFS(Resultados!$B$6:$B$5005,A47)</x:f>
        <x:v>6</x:v>
      </x:c>
      <x:c r="C47" s="18" t="n">
        <x:f>COUNTIFS(Resultados!$B$6:$B$5005,A47,Resultados!$G$6:$G$5005,"Aprobó")</x:f>
        <x:v>0</x:v>
      </x:c>
      <x:c r="D47" s="18" t="n">
        <x:f>COUNTIFS(Resultados!$B$6:$B$5005,A47,Resultados!$G$6:$G$5005,"Reprobó")</x:f>
        <x:v>0</x:v>
      </x:c>
      <x:c r="E47" s="18" t="n">
        <x:f>COUNTIFS(Resultados!$B$6:$B$5005,A47,Resultados!$G$6:$G$5005,"Bloqueada")</x:f>
        <x:v>0</x:v>
      </x:c>
      <x:c r="F47" s="18" t="n">
        <x:f>COUNTIFS(Resultados!$B$6:$B$5005,A47,Resultados!$G$6:$G$5005,"No aplica")</x:f>
        <x:v>0</x:v>
      </x:c>
      <x:c r="G47" s="18" t="n">
        <x:f>COUNTIFS(Resultados!$B$6:$B$5005,A47,Resultados!$G$6:$G$5005,"Pendiente")</x:f>
        <x:v>6</x:v>
      </x:c>
      <x:c r="H47" s="9" t="str">
        <x:v>Recuperación, estabilidad y aceptación final</x:v>
      </x:c>
      <x:c r="I47" s="2"/>
    </x:row>
    <x:row r="48" ht="44" customHeight="1">
      <x:c r="A48" s="9" t="str">
        <x:v>MAT</x:v>
      </x:c>
      <x:c r="B48" s="18" t="n">
        <x:f>COUNTIFS(Resultados!$B$6:$B$5005,A48)</x:f>
        <x:v>208</x:v>
      </x:c>
      <x:c r="C48" s="18" t="n">
        <x:f>COUNTIFS(Resultados!$B$6:$B$5005,A48,Resultados!$G$6:$G$5005,"Aprobó")</x:f>
        <x:v>0</x:v>
      </x:c>
      <x:c r="D48" s="18" t="n">
        <x:f>COUNTIFS(Resultados!$B$6:$B$5005,A48,Resultados!$G$6:$G$5005,"Reprobó")</x:f>
        <x:v>0</x:v>
      </x:c>
      <x:c r="E48" s="18" t="n">
        <x:f>COUNTIFS(Resultados!$B$6:$B$5005,A48,Resultados!$G$6:$G$5005,"Bloqueada")</x:f>
        <x:v>0</x:v>
      </x:c>
      <x:c r="F48" s="18" t="n">
        <x:f>COUNTIFS(Resultados!$B$6:$B$5005,A48,Resultados!$G$6:$G$5005,"No aplica")</x:f>
        <x:v>0</x:v>
      </x:c>
      <x:c r="G48" s="18" t="n">
        <x:f>COUNTIFS(Resultados!$B$6:$B$5005,A48,Resultados!$G$6:$G$5005,"Pendiente")</x:f>
        <x:v>208</x:v>
      </x:c>
      <x:c r="H48" s="9" t="str">
        <x:v>Matriz exhaustiva de identidad, comprobante y canal</x:v>
      </x:c>
      <x:c r="I48" s="2"/>
    </x:row>
    <x:row r="49" ht="44" customHeight="1">
      <x:c r="A49" s="9" t="str">
        <x:v>NEG</x:v>
      </x:c>
      <x:c r="B49" s="18" t="n">
        <x:f>COUNTIFS(Resultados!$B$6:$B$5005,A49)</x:f>
        <x:v>19</x:v>
      </x:c>
      <x:c r="C49" s="18" t="n">
        <x:f>COUNTIFS(Resultados!$B$6:$B$5005,A49,Resultados!$G$6:$G$5005,"Aprobó")</x:f>
        <x:v>0</x:v>
      </x:c>
      <x:c r="D49" s="18" t="n">
        <x:f>COUNTIFS(Resultados!$B$6:$B$5005,A49,Resultados!$G$6:$G$5005,"Reprobó")</x:f>
        <x:v>0</x:v>
      </x:c>
      <x:c r="E49" s="18" t="n">
        <x:f>COUNTIFS(Resultados!$B$6:$B$5005,A49,Resultados!$G$6:$G$5005,"Bloqueada")</x:f>
        <x:v>0</x:v>
      </x:c>
      <x:c r="F49" s="18" t="n">
        <x:f>COUNTIFS(Resultados!$B$6:$B$5005,A49,Resultados!$G$6:$G$5005,"No aplica")</x:f>
        <x:v>0</x:v>
      </x:c>
      <x:c r="G49" s="18" t="n">
        <x:f>COUNTIFS(Resultados!$B$6:$B$5005,A49,Resultados!$G$6:$G$5005,"Pendiente")</x:f>
        <x:v>19</x:v>
      </x:c>
      <x:c r="H49" s="9" t="str">
        <x:v>Tipos retirados, canales no habilitados y catálogos ajenos</x:v>
      </x:c>
      <x:c r="I49" s="2"/>
    </x:row>
    <x:row r="50" ht="44" customHeight="1">
      <x:c r="A50" s="9" t="str">
        <x:v>PRE</x:v>
      </x:c>
      <x:c r="B50" s="18" t="n">
        <x:f>COUNTIFS(Resultados!$B$6:$B$5005,A50)</x:f>
        <x:v>12</x:v>
      </x:c>
      <x:c r="C50" s="18" t="n">
        <x:f>COUNTIFS(Resultados!$B$6:$B$5005,A50,Resultados!$G$6:$G$5005,"Aprobó")</x:f>
        <x:v>0</x:v>
      </x:c>
      <x:c r="D50" s="18" t="n">
        <x:f>COUNTIFS(Resultados!$B$6:$B$5005,A50,Resultados!$G$6:$G$5005,"Reprobó")</x:f>
        <x:v>0</x:v>
      </x:c>
      <x:c r="E50" s="18" t="n">
        <x:f>COUNTIFS(Resultados!$B$6:$B$5005,A50,Resultados!$G$6:$G$5005,"Bloqueada")</x:f>
        <x:v>0</x:v>
      </x:c>
      <x:c r="F50" s="18" t="n">
        <x:f>COUNTIFS(Resultados!$B$6:$B$5005,A50,Resultados!$G$6:$G$5005,"No aplica")</x:f>
        <x:v>0</x:v>
      </x:c>
      <x:c r="G50" s="18" t="n">
        <x:f>COUNTIFS(Resultados!$B$6:$B$5005,A50,Resultados!$G$6:$G$5005,"Pendiente")</x:f>
        <x:v>12</x:v>
      </x:c>
      <x:c r="H50" s="9" t="str">
        <x:v>Anticipos, deducciones y opciones condicionales</x:v>
      </x:c>
      <x:c r="I50" s="2"/>
    </x:row>
    <x:row r="51" ht="44" customHeight="1">
      <x:c r="A51" s="9" t="str">
        <x:v>COM</x:v>
      </x:c>
      <x:c r="B51" s="18" t="n">
        <x:f>COUNTIFS(Resultados!$B$6:$B$5005,A51)</x:f>
        <x:v>30</x:v>
      </x:c>
      <x:c r="C51" s="18" t="n">
        <x:f>COUNTIFS(Resultados!$B$6:$B$5005,A51,Resultados!$G$6:$G$5005,"Aprobó")</x:f>
        <x:v>0</x:v>
      </x:c>
      <x:c r="D51" s="18" t="n">
        <x:f>COUNTIFS(Resultados!$B$6:$B$5005,A51,Resultados!$G$6:$G$5005,"Reprobó")</x:f>
        <x:v>0</x:v>
      </x:c>
      <x:c r="E51" s="18" t="n">
        <x:f>COUNTIFS(Resultados!$B$6:$B$5005,A51,Resultados!$G$6:$G$5005,"Bloqueada")</x:f>
        <x:v>0</x:v>
      </x:c>
      <x:c r="F51" s="18" t="n">
        <x:f>COUNTIFS(Resultados!$B$6:$B$5005,A51,Resultados!$G$6:$G$5005,"No aplica")</x:f>
        <x:v>0</x:v>
      </x:c>
      <x:c r="G51" s="18" t="n">
        <x:f>COUNTIFS(Resultados!$B$6:$B$5005,A51,Resultados!$G$6:$G$5005,"Pendiente")</x:f>
        <x:v>30</x:v>
      </x:c>
      <x:c r="H51" s="9" t="str">
        <x:v>Matriz de moneda, IVA y condición comercial</x:v>
      </x:c>
      <x:c r="I51" s="2"/>
    </x:row>
    <x:row r="52" ht="32" customHeight="1">
      <x:c r="A52" s="9" t="str">
        <x:v>RGE</x:v>
      </x:c>
      <x:c r="B52" s="18" t="n">
        <x:f>COUNTIF(Resultados!$B$6:$B$5005,A52)</x:f>
        <x:v>59</x:v>
      </x:c>
      <x:c r="C52" s="18" t="n">
        <x:f>COUNTIFS(Resultados!$B$6:$B$5005,A52,Resultados!$G$6:$G$5005,"Aprobó")</x:f>
        <x:v>0</x:v>
      </x:c>
      <x:c r="D52" s="18" t="n">
        <x:f>COUNTIFS(Resultados!$B$6:$B$5005,A52,Resultados!$G$6:$G$5005,"Reprobó")</x:f>
        <x:v>0</x:v>
      </x:c>
      <x:c r="E52" s="18" t="n">
        <x:f>COUNTIFS(Resultados!$B$6:$B$5005,A52,Resultados!$G$6:$G$5005,"Bloqueada")</x:f>
        <x:v>0</x:v>
      </x:c>
      <x:c r="F52" s="18" t="n">
        <x:f>COUNTIFS(Resultados!$B$6:$B$5005,A52,Resultados!$G$6:$G$5005,"No aplica")</x:f>
        <x:v>0</x:v>
      </x:c>
      <x:c r="G52" s="18" t="n">
        <x:f>COUNTIFS(Resultados!$B$6:$B$5005,A52,Resultados!$G$6:$G$5005,"Pendiente")</x:f>
        <x:v>59</x:v>
      </x:c>
      <x:c r="H52" s="9" t="str">
        <x:v>Regímenes especiales: matriz, edición y restricciones</x:v>
      </x:c>
      <x:c r="I52" s="2"/>
    </x:row>
    <x:row r="53" ht="32" customHeight="1">
      <x:c r="A53" s="9" t="str">
        <x:v>SPE</x:v>
      </x:c>
      <x:c r="B53" s="18" t="n">
        <x:f>COUNTIF(Resultados!$B$6:$B$5005,A53)</x:f>
        <x:v>64</x:v>
      </x:c>
      <x:c r="C53" s="18" t="n">
        <x:f>COUNTIFS(Resultados!$B$6:$B$5005,A53,Resultados!$G$6:$G$5005,"Aprobó")</x:f>
        <x:v>0</x:v>
      </x:c>
      <x:c r="D53" s="18" t="n">
        <x:f>COUNTIFS(Resultados!$B$6:$B$5005,A53,Resultados!$G$6:$G$5005,"Reprobó")</x:f>
        <x:v>0</x:v>
      </x:c>
      <x:c r="E53" s="18" t="n">
        <x:f>COUNTIFS(Resultados!$B$6:$B$5005,A53,Resultados!$G$6:$G$5005,"Bloqueada")</x:f>
        <x:v>0</x:v>
      </x:c>
      <x:c r="F53" s="18" t="n">
        <x:f>COUNTIFS(Resultados!$B$6:$B$5005,A53,Resultados!$G$6:$G$5005,"No aplica")</x:f>
        <x:v>0</x:v>
      </x:c>
      <x:c r="G53" s="18" t="n">
        <x:f>COUNTIFS(Resultados!$B$6:$B$5005,A53,Resultados!$G$6:$G$5005,"Pendiente")</x:f>
        <x:v>64</x:v>
      </x:c>
      <x:c r="H53" s="9" t="str">
        <x:v>Perfiles fiscales SPE: versiones, facultades e IGTF</x:v>
      </x:c>
      <x:c r="I53" s="2"/>
    </x:row>
    <x:row r="54" ht="32" customHeight="1">
      <x:c r="A54" s="9" t="str">
        <x:v>RIVA</x:v>
      </x:c>
      <x:c r="B54" s="18" t="n">
        <x:f>COUNTIF(Resultados!$B$6:$B$5005,A54)</x:f>
        <x:v>63</x:v>
      </x:c>
      <x:c r="C54" s="18" t="n">
        <x:f>COUNTIFS(Resultados!$B$6:$B$5005,A54,Resultados!$G$6:$G$5005,"Aprobó")</x:f>
        <x:v>0</x:v>
      </x:c>
      <x:c r="D54" s="18" t="n">
        <x:f>COUNTIFS(Resultados!$B$6:$B$5005,A54,Resultados!$G$6:$G$5005,"Reprobó")</x:f>
        <x:v>0</x:v>
      </x:c>
      <x:c r="E54" s="18" t="n">
        <x:f>COUNTIFS(Resultados!$B$6:$B$5005,A54,Resultados!$G$6:$G$5005,"Bloqueada")</x:f>
        <x:v>0</x:v>
      </x:c>
      <x:c r="F54" s="18" t="n">
        <x:f>COUNTIFS(Resultados!$B$6:$B$5005,A54,Resultados!$G$6:$G$5005,"No aplica")</x:f>
        <x:v>0</x:v>
      </x:c>
      <x:c r="G54" s="18" t="n">
        <x:f>COUNTIFS(Resultados!$B$6:$B$5005,A54,Resultados!$G$6:$G$5005,"Pendiente")</x:f>
        <x:v>63</x:v>
      </x:c>
      <x:c r="H54" s="9" t="str">
        <x:v>Retenciones IVA recibidas: previsión, aplicación y conciliación</x:v>
      </x:c>
      <x:c r="I54" s="2"/>
    </x:row>
    <x:row r="55" ht="32" customHeight="1">
      <x:c r="A55" s="9" t="str">
        <x:v>RISLR</x:v>
      </x:c>
      <x:c r="B55" s="18" t="n">
        <x:f>COUNTIF(Resultados!$B$6:$B$5005,A55)</x:f>
        <x:v>135</x:v>
      </x:c>
      <x:c r="C55" s="18" t="n">
        <x:f>COUNTIFS(Resultados!$B$6:$B$5005,A55,Resultados!$G$6:$G$5005,"Aprobó")</x:f>
        <x:v>0</x:v>
      </x:c>
      <x:c r="D55" s="18" t="n">
        <x:f>COUNTIFS(Resultados!$B$6:$B$5005,A55,Resultados!$G$6:$G$5005,"Reprobó")</x:f>
        <x:v>0</x:v>
      </x:c>
      <x:c r="E55" s="18" t="n">
        <x:f>COUNTIFS(Resultados!$B$6:$B$5005,A55,Resultados!$G$6:$G$5005,"Bloqueada")</x:f>
        <x:v>0</x:v>
      </x:c>
      <x:c r="F55" s="18" t="n">
        <x:f>COUNTIFS(Resultados!$B$6:$B$5005,A55,Resultados!$G$6:$G$5005,"No aplica")</x:f>
        <x:v>0</x:v>
      </x:c>
      <x:c r="G55" s="18" t="n">
        <x:f>COUNTIFS(Resultados!$B$6:$B$5005,A55,Resultados!$G$6:$G$5005,"Pendiente")</x:f>
        <x:v>135</x:v>
      </x:c>
      <x:c r="H55" s="9" t="str">
        <x:v>Retenciones ISLR recibidas: conceptos, previsión y protocolo independiente</x:v>
      </x:c>
      <x:c r="I55" s="2"/>
    </x:row>
    <x:row r="56" ht="32" customHeight="1">
      <x:c r="A56" s="9" t="str">
        <x:v>INT</x:v>
      </x:c>
      <x:c r="B56" s="18" t="n">
        <x:f>COUNTIF(Resultados!$B$6:$B$5005,A56)</x:f>
        <x:v>80</x:v>
      </x:c>
      <x:c r="C56" s="18" t="n">
        <x:f>COUNTIFS(Resultados!$B$6:$B$5005,A56,Resultados!$G$6:$G$5005,"Aprobó")</x:f>
        <x:v>0</x:v>
      </x:c>
      <x:c r="D56" s="18" t="n">
        <x:f>COUNTIFS(Resultados!$B$6:$B$5005,A56,Resultados!$G$6:$G$5005,"Reprobó")</x:f>
        <x:v>0</x:v>
      </x:c>
      <x:c r="E56" s="18" t="n">
        <x:f>COUNTIFS(Resultados!$B$6:$B$5005,A56,Resultados!$G$6:$G$5005,"Bloqueada")</x:f>
        <x:v>0</x:v>
      </x:c>
      <x:c r="F56" s="18" t="n">
        <x:f>COUNTIFS(Resultados!$B$6:$B$5005,A56,Resultados!$G$6:$G$5005,"No aplica")</x:f>
        <x:v>0</x:v>
      </x:c>
      <x:c r="G56" s="18" t="n">
        <x:f>COUNTIFS(Resultados!$B$6:$B$5005,A56,Resultados!$G$6:$G$5005,"Pendiente")</x:f>
        <x:v>80</x:v>
      </x:c>
      <x:c r="H56" s="9" t="str">
        <x:v>Integración y regresión: coexistencia, pagos, canales y aislamiento</x:v>
      </x:c>
      <x:c r="I56" s="2"/>
    </x:row>
    <x:row r="57" ht="26" customHeight="1">
      <x:c r="A57" s="28" t="str">
        <x:v>NHD</x:v>
      </x:c>
      <x:c r="B57" s="28" t="n">
        <x:f>COUNTIFS(Resultados!$B$6:$B$5005,A57)</x:f>
        <x:v>362</x:v>
      </x:c>
      <x:c r="C57" s="28" t="n">
        <x:f>COUNTIFS(Resultados!$B$6:$B$5005,A57,Resultados!$G$6:$G$5005,"Aprobó")</x:f>
        <x:v>0</x:v>
      </x:c>
      <x:c r="D57" s="28" t="n">
        <x:f>COUNTIFS(Resultados!$B$6:$B$5005,A57,Resultados!$G$6:$G$5005,"Reprobó")</x:f>
        <x:v>0</x:v>
      </x:c>
      <x:c r="E57" s="28" t="n">
        <x:f>COUNTIFS(Resultados!$B$6:$B$5005,A57,Resultados!$G$6:$G$5005,"Bloqueada")</x:f>
        <x:v>0</x:v>
      </x:c>
      <x:c r="F57" s="28" t="n">
        <x:f>COUNTIFS(Resultados!$B$6:$B$5005,A57,Resultados!$G$6:$G$5005,"No aplica")</x:f>
        <x:v>0</x:v>
      </x:c>
      <x:c r="G57" s="28" t="n">
        <x:f>COUNTIFS(Resultados!$B$6:$B$5005,A57,Resultados!$G$6:$G$5005,"Pendiente")</x:f>
        <x:v>362</x:v>
      </x:c>
      <x:c r="H57" s="28" t="str">
        <x:v>Notas ordinarias y emisión HKA</x:v>
      </x:c>
      <x:c r="I57" s="2"/>
    </x:row>
    <x:row r="58" ht="26" customHeight="1">
      <x:c r="A58" s="28" t="str">
        <x:v>NRF</x:v>
      </x:c>
      <x:c r="B58" s="28" t="n">
        <x:f>COUNTIFS(Resultados!$B$6:$B$5005,A58)</x:f>
        <x:v>38</x:v>
      </x:c>
      <x:c r="C58" s="28" t="n">
        <x:f>COUNTIFS(Resultados!$B$6:$B$5005,A58,Resultados!$G$6:$G$5005,"Aprobó")</x:f>
        <x:v>0</x:v>
      </x:c>
      <x:c r="D58" s="28" t="n">
        <x:f>COUNTIFS(Resultados!$B$6:$B$5005,A58,Resultados!$G$6:$G$5005,"Reprobó")</x:f>
        <x:v>0</x:v>
      </x:c>
      <x:c r="E58" s="28" t="n">
        <x:f>COUNTIFS(Resultados!$B$6:$B$5005,A58,Resultados!$G$6:$G$5005,"Bloqueada")</x:f>
        <x:v>0</x:v>
      </x:c>
      <x:c r="F58" s="28" t="n">
        <x:f>COUNTIFS(Resultados!$B$6:$B$5005,A58,Resultados!$G$6:$G$5005,"No aplica")</x:f>
        <x:v>0</x:v>
      </x:c>
      <x:c r="G58" s="28" t="n">
        <x:f>COUNTIFS(Resultados!$B$6:$B$5005,A58,Resultados!$G$6:$G$5005,"Pendiente")</x:f>
        <x:v>38</x:v>
      </x:c>
      <x:c r="H58" s="28" t="str">
        <x:v>Devoluciones de dinero y ajustes</x:v>
      </x:c>
      <x:c r="I58" s="2"/>
    </x:row>
    <x:row r="59" ht="26" customHeight="1">
      <x:c r="A59" s="28" t="str">
        <x:v>NAN</x:v>
      </x:c>
      <x:c r="B59" s="28" t="n">
        <x:f>COUNTIFS(Resultados!$B$6:$B$5005,A59)</x:f>
        <x:v>32</x:v>
      </x:c>
      <x:c r="C59" s="28" t="n">
        <x:f>COUNTIFS(Resultados!$B$6:$B$5005,A59,Resultados!$G$6:$G$5005,"Aprobó")</x:f>
        <x:v>0</x:v>
      </x:c>
      <x:c r="D59" s="28" t="n">
        <x:f>COUNTIFS(Resultados!$B$6:$B$5005,A59,Resultados!$G$6:$G$5005,"Reprobó")</x:f>
        <x:v>0</x:v>
      </x:c>
      <x:c r="E59" s="28" t="n">
        <x:f>COUNTIFS(Resultados!$B$6:$B$5005,A59,Resultados!$G$6:$G$5005,"Bloqueada")</x:f>
        <x:v>0</x:v>
      </x:c>
      <x:c r="F59" s="28" t="n">
        <x:f>COUNTIFS(Resultados!$B$6:$B$5005,A59,Resultados!$G$6:$G$5005,"No aplica")</x:f>
        <x:v>0</x:v>
      </x:c>
      <x:c r="G59" s="28" t="n">
        <x:f>COUNTIFS(Resultados!$B$6:$B$5005,A59,Resultados!$G$6:$G$5005,"Pendiente")</x:f>
        <x:v>32</x:v>
      </x:c>
      <x:c r="H59" s="28" t="str">
        <x:v>Anulación de notas</x:v>
      </x:c>
      <x:c r="I59" s="2"/>
    </x:row>
    <x:row r="60" ht="26" customHeight="1">
      <x:c r="A60" s="29" t="str">
        <x:v>ODE</x:v>
      </x:c>
      <x:c r="B60" s="29" t="n">
        <x:f>COUNTIFS(Resultados!$B$6:$B$5005,A60)</x:f>
        <x:v>72</x:v>
      </x:c>
      <x:c r="C60" s="29" t="n">
        <x:f>COUNTIFS(Resultados!$B$6:$B$5005,A60,Resultados!$G$6:$G$5005,"Aprobó")</x:f>
        <x:v>0</x:v>
      </x:c>
      <x:c r="D60" s="29" t="n">
        <x:f>COUNTIFS(Resultados!$B$6:$B$5005,A60,Resultados!$G$6:$G$5005,"Reprobó")</x:f>
        <x:v>0</x:v>
      </x:c>
      <x:c r="E60" s="29" t="n">
        <x:f>COUNTIFS(Resultados!$B$6:$B$5005,A60,Resultados!$G$6:$G$5005,"Bloqueada")</x:f>
        <x:v>0</x:v>
      </x:c>
      <x:c r="F60" s="29" t="n">
        <x:f>COUNTIFS(Resultados!$B$6:$B$5005,A60,Resultados!$G$6:$G$5005,"No aplica")</x:f>
        <x:v>0</x:v>
      </x:c>
      <x:c r="G60" s="29" t="n">
        <x:f>COUNTIFS(Resultados!$B$6:$B$5005,A60,Resultados!$G$6:$G$5005,"Pendiente")</x:f>
        <x:v>72</x:v>
      </x:c>
      <x:c r="H60" s="29" t="str">
        <x:v>Órdenes de entrega: guías de despacho</x:v>
      </x:c>
      <x:c r="I60" s="2"/>
    </x:row>
    <x:row r="61" ht="26" customHeight="1">
      <x:c r="A61" s="29" t="str">
        <x:v>ODI</x:v>
      </x:c>
      <x:c r="B61" s="29" t="n">
        <x:f>COUNTIFS(Resultados!$B$6:$B$5005,A61)</x:f>
        <x:v>45</x:v>
      </x:c>
      <x:c r="C61" s="29" t="n">
        <x:f>COUNTIFS(Resultados!$B$6:$B$5005,A61,Resultados!$G$6:$G$5005,"Aprobó")</x:f>
        <x:v>0</x:v>
      </x:c>
      <x:c r="D61" s="29" t="n">
        <x:f>COUNTIFS(Resultados!$B$6:$B$5005,A61,Resultados!$G$6:$G$5005,"Reprobó")</x:f>
        <x:v>0</x:v>
      </x:c>
      <x:c r="E61" s="29" t="n">
        <x:f>COUNTIFS(Resultados!$B$6:$B$5005,A61,Resultados!$G$6:$G$5005,"Bloqueada")</x:f>
        <x:v>0</x:v>
      </x:c>
      <x:c r="F61" s="29" t="n">
        <x:f>COUNTIFS(Resultados!$B$6:$B$5005,A61,Resultados!$G$6:$G$5005,"No aplica")</x:f>
        <x:v>0</x:v>
      </x:c>
      <x:c r="G61" s="29" t="n">
        <x:f>COUNTIFS(Resultados!$B$6:$B$5005,A61,Resultados!$G$6:$G$5005,"Pendiente")</x:f>
        <x:v>45</x:v>
      </x:c>
      <x:c r="H61" s="29" t="str">
        <x:v>Inventario, conversiones y relaciones</x:v>
      </x:c>
      <x:c r="I61" s="2"/>
    </x:row>
    <x:row r="62" ht="26" customHeight="1">
      <x:c r="A62" s="30" t="str">
        <x:v>NRI</x:v>
      </x:c>
      <x:c r="B62" s="30" t="n">
        <x:f>COUNTIFS(Resultados!$B$6:$B$5005,A62)</x:f>
        <x:v>32</x:v>
      </x:c>
      <x:c r="C62" s="29" t="n">
        <x:f>COUNTIFS(Resultados!$B$6:$B$5005,A62,Resultados!$G$6:$G$5005,"Aprobó")</x:f>
        <x:v>0</x:v>
      </x:c>
      <x:c r="D62" s="29" t="n">
        <x:f>COUNTIFS(Resultados!$B$6:$B$5005,A62,Resultados!$G$6:$G$5005,"Reprobó")</x:f>
        <x:v>0</x:v>
      </x:c>
      <x:c r="E62" s="29" t="n">
        <x:f>COUNTIFS(Resultados!$B$6:$B$5005,A62,Resultados!$G$6:$G$5005,"Bloqueada")</x:f>
        <x:v>0</x:v>
      </x:c>
      <x:c r="F62" s="29" t="n">
        <x:f>COUNTIFS(Resultados!$B$6:$B$5005,A62,Resultados!$G$6:$G$5005,"No aplica")</x:f>
        <x:v>0</x:v>
      </x:c>
      <x:c r="G62" s="29" t="n">
        <x:f>COUNTIFS(Resultados!$B$6:$B$5005,A62,Resultados!$G$6:$G$5005,"Pendiente")</x:f>
        <x:v>32</x:v>
      </x:c>
      <x:c r="H62" s="29" t="str">
        <x:v>Integración y regresión de notas y órdenes</x:v>
      </x:c>
      <x:c r="I62" s="2"/>
    </x:row>
    <x:row r="63" ht="25" customHeight="1">
      <x:c r="A63" s="2"/>
      <x:c r="B63" s="14"/>
      <x:c r="C63" s="2"/>
      <x:c r="D63" s="2"/>
      <x:c r="E63" s="2"/>
      <x:c r="F63" s="2"/>
      <x:c r="G63" s="2"/>
      <x:c r="H63" s="2"/>
      <x:c r="I63" s="2"/>
    </x:row>
    <x:row r="64">
      <x:c r="A64" s="2"/>
      <x:c r="B64" s="14"/>
      <x:c r="C64" s="2"/>
      <x:c r="D64" s="2"/>
      <x:c r="E64" s="2"/>
      <x:c r="F64" s="2"/>
      <x:c r="G64" s="2"/>
      <x:c r="H64" s="2"/>
      <x:c r="I64" s="2"/>
    </x:row>
    <x:row r="65">
      <x:c r="A65" s="2"/>
      <x:c r="B65" s="14"/>
      <x:c r="C65" s="2"/>
      <x:c r="D65" s="2"/>
      <x:c r="E65" s="2"/>
      <x:c r="F65" s="2"/>
      <x:c r="G65" s="2"/>
      <x:c r="H65" s="2"/>
      <x:c r="I65" s="2"/>
    </x:row>
    <x:row r="66">
      <x:c r="A66" s="17" t="str">
        <x:v>Variantes registradas (conteo separado)</x:v>
      </x:c>
      <x:c r="B66" s="2"/>
      <x:c r="C66" s="2"/>
      <x:c r="D66" s="2"/>
      <x:c r="E66" s="2"/>
      <x:c r="F66" s="2"/>
      <x:c r="G66" s="2"/>
      <x:c r="H66" s="2"/>
      <x:c r="I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</x:row>
    <x:row r="68">
      <x:c r="A68" s="8" t="str">
        <x:v>Métrica de variantes</x:v>
      </x:c>
      <x:c r="B68" s="8" t="str">
        <x:v>Cantidad</x:v>
      </x:c>
      <x:c r="C68" s="2"/>
      <x:c r="D68" s="2"/>
      <x:c r="E68" s="2"/>
      <x:c r="F68" s="2"/>
      <x:c r="G68" s="2"/>
      <x:c r="H68" s="2"/>
    </x:row>
    <x:row r="69">
      <x:c r="A69" s="2" t="str">
        <x:v>Total variantes</x:v>
      </x:c>
      <x:c r="B69" s="14" t="n">
        <x:f>COUNTA(Variantes!$A$6:$A$5005)</x:f>
        <x:v>0</x:v>
      </x:c>
      <x:c r="C69" s="2"/>
      <x:c r="D69" s="2"/>
      <x:c r="E69" s="2"/>
      <x:c r="F69" s="2"/>
      <x:c r="G69" s="2"/>
      <x:c r="H69" s="2"/>
    </x:row>
    <x:row r="70">
      <x:c r="A70" s="2" t="str">
        <x:v>Aprobó</x:v>
      </x:c>
      <x:c r="B70" s="14" t="n">
        <x:f>COUNTIF(Variantes!$G$6:$G$5005,"Aprobó")</x:f>
        <x:v>0</x:v>
      </x:c>
      <x:c r="C70" s="2"/>
      <x:c r="D70" s="2"/>
      <x:c r="E70" s="2"/>
      <x:c r="F70" s="2"/>
      <x:c r="G70" s="2"/>
      <x:c r="H70" s="2"/>
    </x:row>
    <x:row r="71">
      <x:c r="A71" s="2" t="str">
        <x:v>Reprobó</x:v>
      </x:c>
      <x:c r="B71" s="14" t="n">
        <x:f>COUNTIF(Variantes!$G$6:$G$5005,"Reprobó")</x:f>
        <x:v>0</x:v>
      </x:c>
      <x:c r="C71" s="2"/>
      <x:c r="D71" s="2"/>
      <x:c r="E71" s="2"/>
      <x:c r="F71" s="2"/>
      <x:c r="G71" s="2"/>
      <x:c r="H71" s="2"/>
    </x:row>
    <x:row r="72">
      <x:c r="A72" s="2" t="str">
        <x:v>Bloqueada</x:v>
      </x:c>
      <x:c r="B72" s="14" t="n">
        <x:f>COUNTIF(Variantes!$G$6:$G$5005,"Bloqueada")</x:f>
        <x:v>0</x:v>
      </x:c>
      <x:c r="C72" s="2"/>
      <x:c r="D72" s="2"/>
      <x:c r="E72" s="2"/>
      <x:c r="F72" s="2"/>
      <x:c r="G72" s="2"/>
      <x:c r="H72" s="2"/>
    </x:row>
    <x:row r="73">
      <x:c r="A73" s="2" t="str">
        <x:v>No aplica</x:v>
      </x:c>
      <x:c r="B73" s="14" t="n">
        <x:f>COUNTIF(Variantes!$G$6:$G$5005,"No aplica")</x:f>
        <x:v>0</x:v>
      </x:c>
      <x:c r="C73" s="2"/>
      <x:c r="D73" s="2"/>
      <x:c r="E73" s="2"/>
      <x:c r="F73" s="2"/>
      <x:c r="G73" s="2"/>
      <x:c r="H73" s="2"/>
    </x:row>
    <x:row r="74">
      <x:c r="A74" s="2" t="str">
        <x:v>Pendiente</x:v>
      </x:c>
      <x:c r="B74" s="14" t="n">
        <x:f>COUNTIF(Variantes!$G$6:$G$5005,"Pendiente")</x:f>
        <x:v>0</x:v>
      </x:c>
      <x:c r="C74" s="2"/>
      <x:c r="D74" s="2"/>
      <x:c r="E74" s="2"/>
      <x:c r="F74" s="2"/>
      <x:c r="G74" s="2"/>
      <x:c r="H74" s="2"/>
    </x:row>
  </x:sheetData>
  <x:conditionalFormatting sqref="B16:B16">
    <x:cfRule type="cellIs" dxfId="4" priority="1" operator="greater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7678C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9" hidden="0" customWidth="1"/>
    <x:col min="2" max="2" width="10" hidden="0" customWidth="1"/>
    <x:col min="3" max="3" width="55" hidden="0" customWidth="1"/>
    <x:col min="4" max="4" width="12" hidden="0" customWidth="1"/>
    <x:col min="5" max="5" width="19" hidden="0" customWidth="1"/>
    <x:col min="6" max="6" width="31" hidden="0" customWidth="1"/>
    <x:col min="7" max="7" width="15" hidden="0" customWidth="1"/>
    <x:col min="8" max="8" width="64" hidden="0" customWidth="1"/>
    <x:col min="9" max="9" width="49" hidden="0" customWidth="1"/>
    <x:col min="10" max="10" width="49" hidden="0" customWidth="1"/>
    <x:col min="11" max="11" width="24" hidden="0" customWidth="1"/>
    <x:col min="12" max="12" width="25" hidden="0" customWidth="1"/>
    <x:col min="13" max="13" width="12" hidden="0" customWidth="1"/>
    <x:col min="14" max="14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7" customHeight="1">
      <x:c r="A2" s="3" t="str">
        <x:v>Registro de pruebas de facturación digital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5" customHeight="1">
      <x:c r="A3" s="2" t="str">
        <x:v>Medios digitales / DEMO | Referencia 14-10-2026: 76690125 + órdenes locales | 1702 casos: 1121 anteriores + 581 nuevos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</x:row>
    <x:row r="5" ht="36" customHeight="1">
      <x:c r="A5" s="8" t="str">
        <x:v>ID</x:v>
      </x:c>
      <x:c r="B5" s="8" t="str">
        <x:v>Grupo</x:v>
      </x:c>
      <x:c r="C5" s="8" t="str">
        <x:v>Caso</x:v>
      </x:c>
      <x:c r="D5" s="8" t="str">
        <x:v>Prioridad</x:v>
      </x:c>
      <x:c r="E5" s="8" t="str">
        <x:v>Clase</x:v>
      </x:c>
      <x:c r="F5" s="8" t="str">
        <x:v>Capa requerida</x:v>
      </x:c>
      <x:c r="G5" s="8" t="str">
        <x:v>Estado</x:v>
      </x:c>
      <x:c r="H5" s="8" t="str">
        <x:v>Resultado observado</x:v>
      </x:c>
      <x:c r="I5" s="8" t="str">
        <x:v>Evidencia</x:v>
      </x:c>
      <x:c r="J5" s="8" t="str">
        <x:v>Defecto / bloqueo</x:v>
      </x:c>
      <x:c r="K5" s="8" t="str">
        <x:v>Agente</x:v>
      </x:c>
      <x:c r="L5" s="8" t="str">
        <x:v>Fecha y hora Caracas</x:v>
      </x:c>
      <x:c r="M5" s="8" t="str">
        <x:v>Iteración</x:v>
      </x:c>
      <x:c r="N5" s="8" t="str">
        <x:v>Documento / operación</x:v>
      </x:c>
    </x:row>
    <x:row r="6" ht="25" customHeight="1">
      <x:c r="A6" s="9" t="str">
        <x:v>QA-ENT-001</x:v>
      </x:c>
      <x:c r="B6" s="9" t="str">
        <x:v>ENT</x:v>
      </x:c>
      <x:c r="C6" s="9" t="str">
        <x:v>Identificar la versión ejecutada</x:v>
      </x:c>
      <x:c r="D6" s="9" t="str">
        <x:v>P0</x:v>
      </x:c>
      <x:c r="E6" s="9" t="str">
        <x:v>Positiva</x:v>
      </x:c>
      <x:c r="F6" s="9" t="str">
        <x:v>Navegador + HTTP + persistencia</x:v>
      </x:c>
      <x:c r="G6" s="10" t="str">
        <x:v>Pendiente</x:v>
      </x:c>
      <x:c r="H6" s="10"/>
      <x:c r="I6" s="10"/>
      <x:c r="J6" s="10"/>
      <x:c r="K6" s="10"/>
      <x:c r="L6" s="11"/>
      <x:c r="M6" s="12"/>
      <x:c r="N6" s="10"/>
    </x:row>
    <x:row r="7" ht="25" customHeight="1">
      <x:c r="A7" s="9" t="str">
        <x:v>QA-ENT-002</x:v>
      </x:c>
      <x:c r="B7" s="9" t="str">
        <x:v>ENT</x:v>
      </x:c>
      <x:c r="C7" s="9" t="str">
        <x:v>Confirmar modalidad digital y ambiente DEMO</x:v>
      </x:c>
      <x:c r="D7" s="9" t="str">
        <x:v>P0</x:v>
      </x:c>
      <x:c r="E7" s="9" t="str">
        <x:v>Positiva</x:v>
      </x:c>
      <x:c r="F7" s="9" t="str">
        <x:v>Navegador + HTTP + persistencia</x:v>
      </x:c>
      <x:c r="G7" s="10" t="str">
        <x:v>Pendiente</x:v>
      </x:c>
      <x:c r="H7" s="10"/>
      <x:c r="I7" s="10"/>
      <x:c r="J7" s="10"/>
      <x:c r="K7" s="10"/>
      <x:c r="L7" s="11"/>
      <x:c r="M7" s="12"/>
      <x:c r="N7" s="10"/>
    </x:row>
    <x:row r="8" ht="25" customHeight="1">
      <x:c r="A8" s="9" t="str">
        <x:v>QA-ENT-003</x:v>
      </x:c>
      <x:c r="B8" s="9" t="str">
        <x:v>ENT</x:v>
      </x:c>
      <x:c r="C8" s="9" t="str">
        <x:v>Verificar separación de datos QA</x:v>
      </x:c>
      <x:c r="D8" s="9" t="str">
        <x:v>P0</x:v>
      </x:c>
      <x:c r="E8" s="9" t="str">
        <x:v>Positiva</x:v>
      </x:c>
      <x:c r="F8" s="9" t="str">
        <x:v>Navegador + HTTP + persistencia</x:v>
      </x:c>
      <x:c r="G8" s="10" t="str">
        <x:v>Pendiente</x:v>
      </x:c>
      <x:c r="H8" s="10"/>
      <x:c r="I8" s="10"/>
      <x:c r="J8" s="10"/>
      <x:c r="K8" s="10"/>
      <x:c r="L8" s="11"/>
      <x:c r="M8" s="12"/>
      <x:c r="N8" s="10"/>
    </x:row>
    <x:row r="9" ht="25" customHeight="1">
      <x:c r="A9" s="9" t="str">
        <x:v>QA-ENT-004</x:v>
      </x:c>
      <x:c r="B9" s="9" t="str">
        <x:v>ENT</x:v>
      </x:c>
      <x:c r="C9" s="9" t="str">
        <x:v>Inventariar todas las opciones visibles</x:v>
      </x:c>
      <x:c r="D9" s="9" t="str">
        <x:v>P0</x:v>
      </x:c>
      <x:c r="E9" s="9" t="str">
        <x:v>Positiva</x:v>
      </x:c>
      <x:c r="F9" s="9" t="str">
        <x:v>Navegador + HTTP + persistencia</x:v>
      </x:c>
      <x:c r="G9" s="10" t="str">
        <x:v>Pendiente</x:v>
      </x:c>
      <x:c r="H9" s="10"/>
      <x:c r="I9" s="10"/>
      <x:c r="J9" s="10"/>
      <x:c r="K9" s="10"/>
      <x:c r="L9" s="11"/>
      <x:c r="M9" s="12"/>
      <x:c r="N9" s="10"/>
    </x:row>
    <x:row r="10" ht="25" customHeight="1">
      <x:c r="A10" s="9" t="str">
        <x:v>QA-ENT-005</x:v>
      </x:c>
      <x:c r="B10" s="9" t="str">
        <x:v>ENT</x:v>
      </x:c>
      <x:c r="C10" s="9" t="str">
        <x:v>Inventariar módulos y canales instalados</x:v>
      </x:c>
      <x:c r="D10" s="9" t="str">
        <x:v>P1</x:v>
      </x:c>
      <x:c r="E10" s="9" t="str">
        <x:v>Positiva</x:v>
      </x:c>
      <x:c r="F10" s="9" t="str">
        <x:v>Navegador + HTTP + persistencia</x:v>
      </x:c>
      <x:c r="G10" s="10" t="str">
        <x:v>Pendiente</x:v>
      </x:c>
      <x:c r="H10" s="10"/>
      <x:c r="I10" s="10"/>
      <x:c r="J10" s="10"/>
      <x:c r="K10" s="10"/>
      <x:c r="L10" s="11"/>
      <x:c r="M10" s="12"/>
      <x:c r="N10" s="10"/>
    </x:row>
    <x:row r="11" ht="25" customHeight="1">
      <x:c r="A11" s="9" t="str">
        <x:v>QA-ENT-006</x:v>
      </x:c>
      <x:c r="B11" s="9" t="str">
        <x:v>ENT</x:v>
      </x:c>
      <x:c r="C11" s="9" t="str">
        <x:v>Preparar caja, bancos y permisos</x:v>
      </x:c>
      <x:c r="D11" s="9" t="str">
        <x:v>P0</x:v>
      </x:c>
      <x:c r="E11" s="9" t="str">
        <x:v>Positiva</x:v>
      </x:c>
      <x:c r="F11" s="9" t="str">
        <x:v>Navegador + HTTP + persistencia</x:v>
      </x:c>
      <x:c r="G11" s="10" t="str">
        <x:v>Pendiente</x:v>
      </x:c>
      <x:c r="H11" s="10"/>
      <x:c r="I11" s="10"/>
      <x:c r="J11" s="10"/>
      <x:c r="K11" s="10"/>
      <x:c r="L11" s="11"/>
      <x:c r="M11" s="12"/>
      <x:c r="N11" s="10"/>
    </x:row>
    <x:row r="12" ht="25" customHeight="1">
      <x:c r="A12" s="9" t="str">
        <x:v>QA-ENT-007</x:v>
      </x:c>
      <x:c r="B12" s="9" t="str">
        <x:v>ENT</x:v>
      </x:c>
      <x:c r="C12" s="9" t="str">
        <x:v>Preparar compradores domésticos</x:v>
      </x:c>
      <x:c r="D12" s="9" t="str">
        <x:v>P1</x:v>
      </x:c>
      <x:c r="E12" s="9" t="str">
        <x:v>Positiva</x:v>
      </x:c>
      <x:c r="F12" s="9" t="str">
        <x:v>Navegador + HTTP + persistencia</x:v>
      </x:c>
      <x:c r="G12" s="10" t="str">
        <x:v>Pendiente</x:v>
      </x:c>
      <x:c r="H12" s="10"/>
      <x:c r="I12" s="10"/>
      <x:c r="J12" s="10"/>
      <x:c r="K12" s="10"/>
      <x:c r="L12" s="11"/>
      <x:c r="M12" s="12"/>
      <x:c r="N12" s="10"/>
    </x:row>
    <x:row r="13" ht="25" customHeight="1">
      <x:c r="A13" s="9" t="str">
        <x:v>QA-ENT-008</x:v>
      </x:c>
      <x:c r="B13" s="9" t="str">
        <x:v>ENT</x:v>
      </x:c>
      <x:c r="C13" s="9" t="str">
        <x:v>Preparar compradores ND y terceros</x:v>
      </x:c>
      <x:c r="D13" s="9" t="str">
        <x:v>P1</x:v>
      </x:c>
      <x:c r="E13" s="9" t="str">
        <x:v>Positiva</x:v>
      </x:c>
      <x:c r="F13" s="9" t="str">
        <x:v>Navegador + HTTP + persistencia</x:v>
      </x:c>
      <x:c r="G13" s="10" t="str">
        <x:v>Pendiente</x:v>
      </x:c>
      <x:c r="H13" s="10"/>
      <x:c r="I13" s="10"/>
      <x:c r="J13" s="10"/>
      <x:c r="K13" s="10"/>
      <x:c r="L13" s="11"/>
      <x:c r="M13" s="12"/>
      <x:c r="N13" s="10"/>
    </x:row>
    <x:row r="14" ht="25" customHeight="1">
      <x:c r="A14" s="9" t="str">
        <x:v>QA-ENT-009</x:v>
      </x:c>
      <x:c r="B14" s="9" t="str">
        <x:v>ENT</x:v>
      </x:c>
      <x:c r="C14" s="9" t="str">
        <x:v>Preparar productos y stock</x:v>
      </x:c>
      <x:c r="D14" s="9" t="str">
        <x:v>P1</x:v>
      </x:c>
      <x:c r="E14" s="9" t="str">
        <x:v>Positiva</x:v>
      </x:c>
      <x:c r="F14" s="9" t="str">
        <x:v>Navegador + HTTP + persistencia</x:v>
      </x:c>
      <x:c r="G14" s="10" t="str">
        <x:v>Pendiente</x:v>
      </x:c>
      <x:c r="H14" s="10"/>
      <x:c r="I14" s="10"/>
      <x:c r="J14" s="10"/>
      <x:c r="K14" s="10"/>
      <x:c r="L14" s="11"/>
      <x:c r="M14" s="12"/>
      <x:c r="N14" s="10"/>
    </x:row>
    <x:row r="15" ht="25" customHeight="1">
      <x:c r="A15" s="9" t="str">
        <x:v>QA-ENT-010</x:v>
      </x:c>
      <x:c r="B15" s="9" t="str">
        <x:v>ENT</x:v>
      </x:c>
      <x:c r="C15" s="9" t="str">
        <x:v>Preparar estados fiscales controlados</x:v>
      </x:c>
      <x:c r="D15" s="9" t="str">
        <x:v>P0</x:v>
      </x:c>
      <x:c r="E15" s="9" t="str">
        <x:v>Simulación</x:v>
      </x:c>
      <x:c r="F15" s="9" t="str">
        <x:v>Navegador + HTTP + persistencia</x:v>
      </x:c>
      <x:c r="G15" s="10" t="str">
        <x:v>Pendiente</x:v>
      </x:c>
      <x:c r="H15" s="10"/>
      <x:c r="I15" s="10"/>
      <x:c r="J15" s="10"/>
      <x:c r="K15" s="10"/>
      <x:c r="L15" s="11"/>
      <x:c r="M15" s="12"/>
      <x:c r="N15" s="10"/>
    </x:row>
    <x:row r="16" ht="25" customHeight="1">
      <x:c r="A16" s="9" t="str">
        <x:v>QA-ENT-011</x:v>
      </x:c>
      <x:c r="B16" s="9" t="str">
        <x:v>ENT</x:v>
      </x:c>
      <x:c r="C16" s="9" t="str">
        <x:v>Preparar fallos y evidencias</x:v>
      </x:c>
      <x:c r="D16" s="9" t="str">
        <x:v>P1</x:v>
      </x:c>
      <x:c r="E16" s="9" t="str">
        <x:v>Positiva</x:v>
      </x:c>
      <x:c r="F16" s="9" t="str">
        <x:v>Navegador + HTTP + persistencia</x:v>
      </x:c>
      <x:c r="G16" s="10" t="str">
        <x:v>Pendiente</x:v>
      </x:c>
      <x:c r="H16" s="10"/>
      <x:c r="I16" s="10"/>
      <x:c r="J16" s="10"/>
      <x:c r="K16" s="10"/>
      <x:c r="L16" s="11"/>
      <x:c r="M16" s="12"/>
      <x:c r="N16" s="10"/>
    </x:row>
    <x:row r="17" ht="25" customHeight="1">
      <x:c r="A17" s="9" t="str">
        <x:v>QA-ENT-012</x:v>
      </x:c>
      <x:c r="B17" s="9" t="str">
        <x:v>ENT</x:v>
      </x:c>
      <x:c r="C17" s="9" t="str">
        <x:v>Comprobar el registro de ejecución</x:v>
      </x:c>
      <x:c r="D17" s="9" t="str">
        <x:v>P1</x:v>
      </x:c>
      <x:c r="E17" s="9" t="str">
        <x:v>Positiva</x:v>
      </x:c>
      <x:c r="F17" s="9" t="str">
        <x:v>Navegador + HTTP + persistencia</x:v>
      </x:c>
      <x:c r="G17" s="10" t="str">
        <x:v>Pendiente</x:v>
      </x:c>
      <x:c r="H17" s="10"/>
      <x:c r="I17" s="10"/>
      <x:c r="J17" s="10"/>
      <x:c r="K17" s="10"/>
      <x:c r="L17" s="11"/>
      <x:c r="M17" s="12"/>
      <x:c r="N17" s="10"/>
    </x:row>
    <x:row r="18" ht="25" customHeight="1">
      <x:c r="A18" s="9" t="str">
        <x:v>QA-CFG-001</x:v>
      </x:c>
      <x:c r="B18" s="9" t="str">
        <x:v>CFG</x:v>
      </x:c>
      <x:c r="C18" s="9" t="str">
        <x:v>Guardar digital sin credenciales</x:v>
      </x:c>
      <x:c r="D18" s="9" t="str">
        <x:v>P1</x:v>
      </x:c>
      <x:c r="E18" s="9" t="str">
        <x:v>Positiva</x:v>
      </x:c>
      <x:c r="F18" s="9" t="str">
        <x:v>Navegador + HTTP + persistencia</x:v>
      </x:c>
      <x:c r="G18" s="10" t="str">
        <x:v>Pendiente</x:v>
      </x:c>
      <x:c r="H18" s="10"/>
      <x:c r="I18" s="10"/>
      <x:c r="J18" s="10"/>
      <x:c r="K18" s="10"/>
      <x:c r="L18" s="11"/>
      <x:c r="M18" s="12"/>
      <x:c r="N18" s="10"/>
    </x:row>
    <x:row r="19" ht="25" customHeight="1">
      <x:c r="A19" s="9" t="str">
        <x:v>QA-CFG-002</x:v>
      </x:c>
      <x:c r="B19" s="9" t="str">
        <x:v>CFG</x:v>
      </x:c>
      <x:c r="C19" s="9" t="str">
        <x:v>Autenticar con datos válidos</x:v>
      </x:c>
      <x:c r="D19" s="9" t="str">
        <x:v>P0</x:v>
      </x:c>
      <x:c r="E19" s="9" t="str">
        <x:v>Positiva</x:v>
      </x:c>
      <x:c r="F19" s="9" t="str">
        <x:v>Navegador + HTTP + persistencia</x:v>
      </x:c>
      <x:c r="G19" s="10" t="str">
        <x:v>Pendiente</x:v>
      </x:c>
      <x:c r="H19" s="10"/>
      <x:c r="I19" s="10"/>
      <x:c r="J19" s="10"/>
      <x:c r="K19" s="10"/>
      <x:c r="L19" s="11"/>
      <x:c r="M19" s="12"/>
      <x:c r="N19" s="10"/>
    </x:row>
    <x:row r="20" ht="25" customHeight="1">
      <x:c r="A20" s="9" t="str">
        <x:v>QA-CFG-003</x:v>
      </x:c>
      <x:c r="B20" s="9" t="str">
        <x:v>CFG</x:v>
      </x:c>
      <x:c r="C20" s="9" t="str">
        <x:v>Credenciales incorrectas</x:v>
      </x:c>
      <x:c r="D20" s="9" t="str">
        <x:v>P0</x:v>
      </x:c>
      <x:c r="E20" s="9" t="str">
        <x:v>Negativa</x:v>
      </x:c>
      <x:c r="F20" s="9" t="str">
        <x:v>Navegador + HTTP + persistencia</x:v>
      </x:c>
      <x:c r="G20" s="10" t="str">
        <x:v>Pendiente</x:v>
      </x:c>
      <x:c r="H20" s="10"/>
      <x:c r="I20" s="10"/>
      <x:c r="J20" s="10"/>
      <x:c r="K20" s="10"/>
      <x:c r="L20" s="11"/>
      <x:c r="M20" s="12"/>
      <x:c r="N20" s="10"/>
    </x:row>
    <x:row r="21" ht="25" customHeight="1">
      <x:c r="A21" s="9" t="str">
        <x:v>QA-CFG-004</x:v>
      </x:c>
      <x:c r="B21" s="9" t="str">
        <x:v>CFG</x:v>
      </x:c>
      <x:c r="C21" s="9" t="str">
        <x:v>Autenticación incompleta</x:v>
      </x:c>
      <x:c r="D21" s="9" t="str">
        <x:v>P1</x:v>
      </x:c>
      <x:c r="E21" s="9" t="str">
        <x:v>Negativa</x:v>
      </x:c>
      <x:c r="F21" s="9" t="str">
        <x:v>Navegador + HTTP + persistencia</x:v>
      </x:c>
      <x:c r="G21" s="10" t="str">
        <x:v>Pendiente</x:v>
      </x:c>
      <x:c r="H21" s="10"/>
      <x:c r="I21" s="10"/>
      <x:c r="J21" s="10"/>
      <x:c r="K21" s="10"/>
      <x:c r="L21" s="11"/>
      <x:c r="M21" s="12"/>
      <x:c r="N21" s="10"/>
    </x:row>
    <x:row r="22" ht="25" customHeight="1">
      <x:c r="A22" s="9" t="str">
        <x:v>QA-CFG-005</x:v>
      </x:c>
      <x:c r="B22" s="9" t="str">
        <x:v>CFG</x:v>
      </x:c>
      <x:c r="C22" s="9" t="str">
        <x:v>Timeout de autenticación</x:v>
      </x:c>
      <x:c r="D22" s="9" t="str">
        <x:v>P1</x:v>
      </x:c>
      <x:c r="E22" s="9" t="str">
        <x:v>Negativa</x:v>
      </x:c>
      <x:c r="F22" s="9" t="str">
        <x:v>Navegador + HTTP + persistencia</x:v>
      </x:c>
      <x:c r="G22" s="10" t="str">
        <x:v>Pendiente</x:v>
      </x:c>
      <x:c r="H22" s="10"/>
      <x:c r="I22" s="10"/>
      <x:c r="J22" s="10"/>
      <x:c r="K22" s="10"/>
      <x:c r="L22" s="11"/>
      <x:c r="M22" s="12"/>
      <x:c r="N22" s="10"/>
    </x:row>
    <x:row r="23" ht="25" customHeight="1">
      <x:c r="A23" s="9" t="str">
        <x:v>QA-CFG-006</x:v>
      </x:c>
      <x:c r="B23" s="9" t="str">
        <x:v>CFG</x:v>
      </x:c>
      <x:c r="C23" s="9" t="str">
        <x:v>Campos vacíos conservan secreto</x:v>
      </x:c>
      <x:c r="D23" s="9" t="str">
        <x:v>P1</x:v>
      </x:c>
      <x:c r="E23" s="9" t="str">
        <x:v>Positiva</x:v>
      </x:c>
      <x:c r="F23" s="9" t="str">
        <x:v>Navegador + HTTP + persistencia</x:v>
      </x:c>
      <x:c r="G23" s="10" t="str">
        <x:v>Pendiente</x:v>
      </x:c>
      <x:c r="H23" s="10"/>
      <x:c r="I23" s="10"/>
      <x:c r="J23" s="10"/>
      <x:c r="K23" s="10"/>
      <x:c r="L23" s="11"/>
      <x:c r="M23" s="12"/>
      <x:c r="N23" s="10"/>
    </x:row>
    <x:row r="24" ht="25" customHeight="1">
      <x:c r="A24" s="9" t="str">
        <x:v>QA-CFG-007</x:v>
      </x:c>
      <x:c r="B24" s="9" t="str">
        <x:v>CFG</x:v>
      </x:c>
      <x:c r="C24" s="9" t="str">
        <x:v>Borrado explícito de credenciales</x:v>
      </x:c>
      <x:c r="D24" s="9" t="str">
        <x:v>P1</x:v>
      </x:c>
      <x:c r="E24" s="9" t="str">
        <x:v>Negativa</x:v>
      </x:c>
      <x:c r="F24" s="9" t="str">
        <x:v>Navegador + HTTP + persistencia</x:v>
      </x:c>
      <x:c r="G24" s="10" t="str">
        <x:v>Pendiente</x:v>
      </x:c>
      <x:c r="H24" s="10"/>
      <x:c r="I24" s="10"/>
      <x:c r="J24" s="10"/>
      <x:c r="K24" s="10"/>
      <x:c r="L24" s="11"/>
      <x:c r="M24" s="12"/>
      <x:c r="N24" s="10"/>
    </x:row>
    <x:row r="25" ht="25" customHeight="1">
      <x:c r="A25" s="9" t="str">
        <x:v>QA-CFG-008</x:v>
      </x:c>
      <x:c r="B25" s="9" t="str">
        <x:v>CFG</x:v>
      </x:c>
      <x:c r="C25" s="9" t="str">
        <x:v>Permisos sobre configuración fiscal</x:v>
      </x:c>
      <x:c r="D25" s="9" t="str">
        <x:v>P0</x:v>
      </x:c>
      <x:c r="E25" s="9" t="str">
        <x:v>Seguridad</x:v>
      </x:c>
      <x:c r="F25" s="9" t="str">
        <x:v>Navegador + HTTP + persistencia</x:v>
      </x:c>
      <x:c r="G25" s="10" t="str">
        <x:v>Pendiente</x:v>
      </x:c>
      <x:c r="H25" s="10"/>
      <x:c r="I25" s="10"/>
      <x:c r="J25" s="10"/>
      <x:c r="K25" s="10"/>
      <x:c r="L25" s="11"/>
      <x:c r="M25" s="12"/>
      <x:c r="N25" s="10"/>
    </x:row>
    <x:row r="26" ht="25" customHeight="1">
      <x:c r="A26" s="9" t="str">
        <x:v>QA-CFG-009</x:v>
      </x:c>
      <x:c r="B26" s="9" t="str">
        <x:v>CFG</x:v>
      </x:c>
      <x:c r="C26" s="9" t="str">
        <x:v>El editor general no cambia datos fiscales</x:v>
      </x:c>
      <x:c r="D26" s="9" t="str">
        <x:v>P0</x:v>
      </x:c>
      <x:c r="E26" s="9" t="str">
        <x:v>Negativa</x:v>
      </x:c>
      <x:c r="F26" s="9" t="str">
        <x:v>Navegador + HTTP + persistencia</x:v>
      </x:c>
      <x:c r="G26" s="10" t="str">
        <x:v>Pendiente</x:v>
      </x:c>
      <x:c r="H26" s="10"/>
      <x:c r="I26" s="10"/>
      <x:c r="J26" s="10"/>
      <x:c r="K26" s="10"/>
      <x:c r="L26" s="11"/>
      <x:c r="M26" s="12"/>
      <x:c r="N26" s="10"/>
    </x:row>
    <x:row r="27" ht="25" customHeight="1">
      <x:c r="A27" s="9" t="str">
        <x:v>QA-CFG-010</x:v>
      </x:c>
      <x:c r="B27" s="9" t="str">
        <x:v>CFG</x:v>
      </x:c>
      <x:c r="C27" s="9" t="str">
        <x:v>Ambiente bloqueado después de operar</x:v>
      </x:c>
      <x:c r="D27" s="9" t="str">
        <x:v>P0</x:v>
      </x:c>
      <x:c r="E27" s="9" t="str">
        <x:v>Negativa</x:v>
      </x:c>
      <x:c r="F27" s="9" t="str">
        <x:v>Navegador + HTTP + persistencia</x:v>
      </x:c>
      <x:c r="G27" s="10" t="str">
        <x:v>Pendiente</x:v>
      </x:c>
      <x:c r="H27" s="10"/>
      <x:c r="I27" s="10"/>
      <x:c r="J27" s="10"/>
      <x:c r="K27" s="10"/>
      <x:c r="L27" s="11"/>
      <x:c r="M27" s="12"/>
      <x:c r="N27" s="10"/>
    </x:row>
    <x:row r="28" ht="25" customHeight="1">
      <x:c r="A28" s="9" t="str">
        <x:v>QA-CFG-011</x:v>
      </x:c>
      <x:c r="B28" s="9" t="str">
        <x:v>CFG</x:v>
      </x:c>
      <x:c r="C28" s="9" t="str">
        <x:v>Ambiente enviado por el cliente</x:v>
      </x:c>
      <x:c r="D28" s="9" t="str">
        <x:v>P0</x:v>
      </x:c>
      <x:c r="E28" s="9" t="str">
        <x:v>Seguridad</x:v>
      </x:c>
      <x:c r="F28" s="9" t="str">
        <x:v>Navegador + HTTP + persistencia</x:v>
      </x:c>
      <x:c r="G28" s="10" t="str">
        <x:v>Pendiente</x:v>
      </x:c>
      <x:c r="H28" s="10"/>
      <x:c r="I28" s="10"/>
      <x:c r="J28" s="10"/>
      <x:c r="K28" s="10"/>
      <x:c r="L28" s="11"/>
      <x:c r="M28" s="12"/>
      <x:c r="N28" s="10"/>
    </x:row>
    <x:row r="29" ht="25" customHeight="1">
      <x:c r="A29" s="9" t="str">
        <x:v>QA-CFG-012</x:v>
      </x:c>
      <x:c r="B29" s="9" t="str">
        <x:v>CFG</x:v>
      </x:c>
      <x:c r="C29" s="9" t="str">
        <x:v>Auditoría fiscal sin secretos</x:v>
      </x:c>
      <x:c r="D29" s="9" t="str">
        <x:v>P0</x:v>
      </x:c>
      <x:c r="E29" s="9" t="str">
        <x:v>Seguridad</x:v>
      </x:c>
      <x:c r="F29" s="9" t="str">
        <x:v>Navegador + HTTP + persistencia</x:v>
      </x:c>
      <x:c r="G29" s="10" t="str">
        <x:v>Pendiente</x:v>
      </x:c>
      <x:c r="H29" s="10"/>
      <x:c r="I29" s="10"/>
      <x:c r="J29" s="10"/>
      <x:c r="K29" s="10"/>
      <x:c r="L29" s="11"/>
      <x:c r="M29" s="12"/>
      <x:c r="N29" s="10"/>
    </x:row>
    <x:row r="30" ht="25" customHeight="1">
      <x:c r="A30" s="9" t="str">
        <x:v>QA-CFG-013</x:v>
      </x:c>
      <x:c r="B30" s="9" t="str">
        <x:v>CFG</x:v>
      </x:c>
      <x:c r="C30" s="9" t="str">
        <x:v>IGTF deshabilitado inicialmente</x:v>
      </x:c>
      <x:c r="D30" s="9" t="str">
        <x:v>P1</x:v>
      </x:c>
      <x:c r="E30" s="9" t="str">
        <x:v>Negativa</x:v>
      </x:c>
      <x:c r="F30" s="9" t="str">
        <x:v>Navegador + HTTP + persistencia</x:v>
      </x:c>
      <x:c r="G30" s="10" t="str">
        <x:v>Pendiente</x:v>
      </x:c>
      <x:c r="H30" s="10"/>
      <x:c r="I30" s="10"/>
      <x:c r="J30" s="10"/>
      <x:c r="K30" s="10"/>
      <x:c r="L30" s="11"/>
      <x:c r="M30" s="12"/>
      <x:c r="N30" s="10"/>
    </x:row>
    <x:row r="31" ht="25" customHeight="1">
      <x:c r="A31" s="9" t="str">
        <x:v>QA-CFG-014</x:v>
      </x:c>
      <x:c r="B31" s="9" t="str">
        <x:v>CFG</x:v>
      </x:c>
      <x:c r="C31" s="9" t="str">
        <x:v>Configurar IGTF operativo</x:v>
      </x:c>
      <x:c r="D31" s="9" t="str">
        <x:v>P1</x:v>
      </x:c>
      <x:c r="E31" s="9" t="str">
        <x:v>Positiva</x:v>
      </x:c>
      <x:c r="F31" s="9" t="str">
        <x:v>Navegador + HTTP + persistencia</x:v>
      </x:c>
      <x:c r="G31" s="10" t="str">
        <x:v>Pendiente</x:v>
      </x:c>
      <x:c r="H31" s="10"/>
      <x:c r="I31" s="10"/>
      <x:c r="J31" s="10"/>
      <x:c r="K31" s="10"/>
      <x:c r="L31" s="11"/>
      <x:c r="M31" s="12"/>
      <x:c r="N31" s="10"/>
    </x:row>
    <x:row r="32" ht="25" customHeight="1">
      <x:c r="A32" s="9" t="str">
        <x:v>QA-CFG-015</x:v>
      </x:c>
      <x:c r="B32" s="9" t="str">
        <x:v>CFG</x:v>
      </x:c>
      <x:c r="C32" s="9" t="str">
        <x:v>Rechazar IGTF sin tasa o fuera de rango</x:v>
      </x:c>
      <x:c r="D32" s="9" t="str">
        <x:v>P1</x:v>
      </x:c>
      <x:c r="E32" s="9" t="str">
        <x:v>Negativa</x:v>
      </x:c>
      <x:c r="F32" s="9" t="str">
        <x:v>Navegador + HTTP + persistencia</x:v>
      </x:c>
      <x:c r="G32" s="10" t="str">
        <x:v>Pendiente</x:v>
      </x:c>
      <x:c r="H32" s="10"/>
      <x:c r="I32" s="10"/>
      <x:c r="J32" s="10"/>
      <x:c r="K32" s="10"/>
      <x:c r="L32" s="11"/>
      <x:c r="M32" s="12"/>
      <x:c r="N32" s="10"/>
    </x:row>
    <x:row r="33" ht="25" customHeight="1">
      <x:c r="A33" s="9" t="str">
        <x:v>QA-CFG-016</x:v>
      </x:c>
      <x:c r="B33" s="9" t="str">
        <x:v>CFG</x:v>
      </x:c>
      <x:c r="C33" s="9" t="str">
        <x:v>Catálogos efectivos de facturación</x:v>
      </x:c>
      <x:c r="D33" s="9" t="str">
        <x:v>P1</x:v>
      </x:c>
      <x:c r="E33" s="9" t="str">
        <x:v>Positiva</x:v>
      </x:c>
      <x:c r="F33" s="9" t="str">
        <x:v>Navegador + HTTP + persistencia</x:v>
      </x:c>
      <x:c r="G33" s="10" t="str">
        <x:v>Pendiente</x:v>
      </x:c>
      <x:c r="H33" s="10"/>
      <x:c r="I33" s="10"/>
      <x:c r="J33" s="10"/>
      <x:c r="K33" s="10"/>
      <x:c r="L33" s="11"/>
      <x:c r="M33" s="12"/>
      <x:c r="N33" s="10"/>
    </x:row>
    <x:row r="34" ht="25" customHeight="1">
      <x:c r="A34" s="9" t="str">
        <x:v>QA-CFG-017</x:v>
      </x:c>
      <x:c r="B34" s="9" t="str">
        <x:v>CFG</x:v>
      </x:c>
      <x:c r="C34" s="9" t="str">
        <x:v>Bloqueo de producción digital</x:v>
      </x:c>
      <x:c r="D34" s="9" t="str">
        <x:v>P0</x:v>
      </x:c>
      <x:c r="E34" s="9" t="str">
        <x:v>Negativa</x:v>
      </x:c>
      <x:c r="F34" s="9" t="str">
        <x:v>Navegador + HTTP + persistencia</x:v>
      </x:c>
      <x:c r="G34" s="10" t="str">
        <x:v>Pendiente</x:v>
      </x:c>
      <x:c r="H34" s="10"/>
      <x:c r="I34" s="10"/>
      <x:c r="J34" s="10"/>
      <x:c r="K34" s="10"/>
      <x:c r="L34" s="11"/>
      <x:c r="M34" s="12"/>
      <x:c r="N34" s="10"/>
    </x:row>
    <x:row r="35" ht="25" customHeight="1">
      <x:c r="A35" s="9" t="str">
        <x:v>QA-NUM-001</x:v>
      </x:c>
      <x:c r="B35" s="9" t="str">
        <x:v>NUM</x:v>
      </x:c>
      <x:c r="C35" s="9" t="str">
        <x:v>Series iniciales del tenant digital</x:v>
      </x:c>
      <x:c r="D35" s="9" t="str">
        <x:v>P1</x:v>
      </x:c>
      <x:c r="E35" s="9" t="str">
        <x:v>Positiva</x:v>
      </x:c>
      <x:c r="F35" s="9" t="str">
        <x:v>Navegador + HTTP + persistencia</x:v>
      </x:c>
      <x:c r="G35" s="10" t="str">
        <x:v>Pendiente</x:v>
      </x:c>
      <x:c r="H35" s="10"/>
      <x:c r="I35" s="10"/>
      <x:c r="J35" s="10"/>
      <x:c r="K35" s="10"/>
      <x:c r="L35" s="11"/>
      <x:c r="M35" s="12"/>
      <x:c r="N35" s="10"/>
    </x:row>
    <x:row r="36" ht="25" customHeight="1">
      <x:c r="A36" s="9" t="str">
        <x:v>QA-NUM-002</x:v>
      </x:c>
      <x:c r="B36" s="9" t="str">
        <x:v>NUM</x:v>
      </x:c>
      <x:c r="C36" s="9" t="str">
        <x:v>Crear serie vacía</x:v>
      </x:c>
      <x:c r="D36" s="9" t="str">
        <x:v>P1</x:v>
      </x:c>
      <x:c r="E36" s="9" t="str">
        <x:v>Positiva</x:v>
      </x:c>
      <x:c r="F36" s="9" t="str">
        <x:v>Navegador + HTTP + persistencia</x:v>
      </x:c>
      <x:c r="G36" s="10" t="str">
        <x:v>Pendiente</x:v>
      </x:c>
      <x:c r="H36" s="10"/>
      <x:c r="I36" s="10"/>
      <x:c r="J36" s="10"/>
      <x:c r="K36" s="10"/>
      <x:c r="L36" s="11"/>
      <x:c r="M36" s="12"/>
      <x:c r="N36" s="10"/>
    </x:row>
    <x:row r="37" ht="25" customHeight="1">
      <x:c r="A37" s="9" t="str">
        <x:v>QA-NUM-003</x:v>
      </x:c>
      <x:c r="B37" s="9" t="str">
        <x:v>NUM</x:v>
      </x:c>
      <x:c r="C37" s="9" t="str">
        <x:v>Normalizar serie con guiones</x:v>
      </x:c>
      <x:c r="D37" s="9" t="str">
        <x:v>P1</x:v>
      </x:c>
      <x:c r="E37" s="9" t="str">
        <x:v>Positiva</x:v>
      </x:c>
      <x:c r="F37" s="9" t="str">
        <x:v>Navegador + HTTP + persistencia</x:v>
      </x:c>
      <x:c r="G37" s="10" t="str">
        <x:v>Pendiente</x:v>
      </x:c>
      <x:c r="H37" s="10"/>
      <x:c r="I37" s="10"/>
      <x:c r="J37" s="10"/>
      <x:c r="K37" s="10"/>
      <x:c r="L37" s="11"/>
      <x:c r="M37" s="12"/>
      <x:c r="N37" s="10"/>
    </x:row>
    <x:row r="38" ht="25" customHeight="1">
      <x:c r="A38" s="9" t="str">
        <x:v>QA-NUM-004</x:v>
      </x:c>
      <x:c r="B38" s="9" t="str">
        <x:v>NUM</x:v>
      </x:c>
      <x:c r="C38" s="9" t="str">
        <x:v>Longitud y caracteres de serie</x:v>
      </x:c>
      <x:c r="D38" s="9" t="str">
        <x:v>P1</x:v>
      </x:c>
      <x:c r="E38" s="9" t="str">
        <x:v>Negativa</x:v>
      </x:c>
      <x:c r="F38" s="9" t="str">
        <x:v>Navegador + HTTP + persistencia</x:v>
      </x:c>
      <x:c r="G38" s="10" t="str">
        <x:v>Pendiente</x:v>
      </x:c>
      <x:c r="H38" s="10"/>
      <x:c r="I38" s="10"/>
      <x:c r="J38" s="10"/>
      <x:c r="K38" s="10"/>
      <x:c r="L38" s="11"/>
      <x:c r="M38" s="12"/>
      <x:c r="N38" s="10"/>
    </x:row>
    <x:row r="39" ht="25" customHeight="1">
      <x:c r="A39" s="9" t="str">
        <x:v>QA-NUM-005</x:v>
      </x:c>
      <x:c r="B39" s="9" t="str">
        <x:v>NUM</x:v>
      </x:c>
      <x:c r="C39" s="9" t="str">
        <x:v>Prefijo libre en tipo vigente</x:v>
      </x:c>
      <x:c r="D39" s="9" t="str">
        <x:v>P1</x:v>
      </x:c>
      <x:c r="E39" s="9" t="str">
        <x:v>Positiva</x:v>
      </x:c>
      <x:c r="F39" s="9" t="str">
        <x:v>Navegador + HTTP + persistencia</x:v>
      </x:c>
      <x:c r="G39" s="10" t="str">
        <x:v>Pendiente</x:v>
      </x:c>
      <x:c r="H39" s="10"/>
      <x:c r="I39" s="10"/>
      <x:c r="J39" s="10"/>
      <x:c r="K39" s="10"/>
      <x:c r="L39" s="11"/>
      <x:c r="M39" s="12"/>
      <x:c r="N39" s="10"/>
    </x:row>
    <x:row r="40" ht="25" customHeight="1">
      <x:c r="A40" s="9" t="str">
        <x:v>QA-NUM-006</x:v>
      </x:c>
      <x:c r="B40" s="9" t="str">
        <x:v>NUM</x:v>
      </x:c>
      <x:c r="C40" s="9" t="str">
        <x:v>Inicio configurado 100</x:v>
      </x:c>
      <x:c r="D40" s="9" t="str">
        <x:v>P0</x:v>
      </x:c>
      <x:c r="E40" s="9" t="str">
        <x:v>Positiva</x:v>
      </x:c>
      <x:c r="F40" s="9" t="str">
        <x:v>Navegador + HTTP + persistencia</x:v>
      </x:c>
      <x:c r="G40" s="10" t="str">
        <x:v>Pendiente</x:v>
      </x:c>
      <x:c r="H40" s="10"/>
      <x:c r="I40" s="10"/>
      <x:c r="J40" s="10"/>
      <x:c r="K40" s="10"/>
      <x:c r="L40" s="11"/>
      <x:c r="M40" s="12"/>
      <x:c r="N40" s="10"/>
    </x:row>
    <x:row r="41" ht="25" customHeight="1">
      <x:c r="A41" s="9" t="str">
        <x:v>QA-NUM-007</x:v>
      </x:c>
      <x:c r="B41" s="9" t="str">
        <x:v>NUM</x:v>
      </x:c>
      <x:c r="C41" s="9" t="str">
        <x:v>Rollback no consume uso ni factura</x:v>
      </x:c>
      <x:c r="D41" s="9" t="str">
        <x:v>P0</x:v>
      </x:c>
      <x:c r="E41" s="9" t="str">
        <x:v>Transaccional</x:v>
      </x:c>
      <x:c r="F41" s="9" t="str">
        <x:v>Navegador + HTTP + persistencia</x:v>
      </x:c>
      <x:c r="G41" s="10" t="str">
        <x:v>Pendiente</x:v>
      </x:c>
      <x:c r="H41" s="10"/>
      <x:c r="I41" s="10"/>
      <x:c r="J41" s="10"/>
      <x:c r="K41" s="10"/>
      <x:c r="L41" s="11"/>
      <x:c r="M41" s="12"/>
      <x:c r="N41" s="10"/>
    </x:row>
    <x:row r="42" ht="25" customHeight="1">
      <x:c r="A42" s="9" t="str">
        <x:v>QA-NUM-008</x:v>
      </x:c>
      <x:c r="B42" s="9" t="str">
        <x:v>NUM</x:v>
      </x:c>
      <x:c r="C42" s="9" t="str">
        <x:v>Serie utilizada no se modifica ni elimina</x:v>
      </x:c>
      <x:c r="D42" s="9" t="str">
        <x:v>P0</x:v>
      </x:c>
      <x:c r="E42" s="9" t="str">
        <x:v>Negativa</x:v>
      </x:c>
      <x:c r="F42" s="9" t="str">
        <x:v>Navegador + HTTP + persistencia</x:v>
      </x:c>
      <x:c r="G42" s="10" t="str">
        <x:v>Pendiente</x:v>
      </x:c>
      <x:c r="H42" s="10"/>
      <x:c r="I42" s="10"/>
      <x:c r="J42" s="10"/>
      <x:c r="K42" s="10"/>
      <x:c r="L42" s="11"/>
      <x:c r="M42" s="12"/>
      <x:c r="N42" s="10"/>
    </x:row>
    <x:row r="43" ht="25" customHeight="1">
      <x:c r="A43" s="9" t="str">
        <x:v>QA-NUM-009</x:v>
      </x:c>
      <x:c r="B43" s="9" t="str">
        <x:v>NUM</x:v>
      </x:c>
      <x:c r="C43" s="9" t="str">
        <x:v>Unicidad de serie vacía por sucursal y tipo</x:v>
      </x:c>
      <x:c r="D43" s="9" t="str">
        <x:v>P1</x:v>
      </x:c>
      <x:c r="E43" s="9" t="str">
        <x:v>Negativa</x:v>
      </x:c>
      <x:c r="F43" s="9" t="str">
        <x:v>Navegador + HTTP + persistencia</x:v>
      </x:c>
      <x:c r="G43" s="10" t="str">
        <x:v>Pendiente</x:v>
      </x:c>
      <x:c r="H43" s="10"/>
      <x:c r="I43" s="10"/>
      <x:c r="J43" s="10"/>
      <x:c r="K43" s="10"/>
      <x:c r="L43" s="11"/>
      <x:c r="M43" s="12"/>
      <x:c r="N43" s="10"/>
    </x:row>
    <x:row r="44" ht="25" customHeight="1">
      <x:c r="A44" s="9" t="str">
        <x:v>QA-NUM-010</x:v>
      </x:c>
      <x:c r="B44" s="9" t="str">
        <x:v>NUM</x:v>
      </x:c>
      <x:c r="C44" s="9" t="str">
        <x:v>Código con contenido duplicado entre sucursales</x:v>
      </x:c>
      <x:c r="D44" s="9" t="str">
        <x:v>P0</x:v>
      </x:c>
      <x:c r="E44" s="9" t="str">
        <x:v>Concurrencia</x:v>
      </x:c>
      <x:c r="F44" s="9" t="str">
        <x:v>Navegador + HTTP + persistencia</x:v>
      </x:c>
      <x:c r="G44" s="10" t="str">
        <x:v>Pendiente</x:v>
      </x:c>
      <x:c r="H44" s="10"/>
      <x:c r="I44" s="10"/>
      <x:c r="J44" s="10"/>
      <x:c r="K44" s="10"/>
      <x:c r="L44" s="11"/>
      <x:c r="M44" s="12"/>
      <x:c r="N44" s="10"/>
    </x:row>
    <x:row r="45" ht="25" customHeight="1">
      <x:c r="A45" s="9" t="str">
        <x:v>QA-NUM-011</x:v>
      </x:c>
      <x:c r="B45" s="9" t="str">
        <x:v>NUM</x:v>
      </x:c>
      <x:c r="C45" s="9" t="str">
        <x:v>Concurrencia del correlativo</x:v>
      </x:c>
      <x:c r="D45" s="9" t="str">
        <x:v>P0</x:v>
      </x:c>
      <x:c r="E45" s="9" t="str">
        <x:v>Concurrencia</x:v>
      </x:c>
      <x:c r="F45" s="9" t="str">
        <x:v>Navegador + HTTP + persistencia</x:v>
      </x:c>
      <x:c r="G45" s="10" t="str">
        <x:v>Pendiente</x:v>
      </x:c>
      <x:c r="H45" s="10"/>
      <x:c r="I45" s="10"/>
      <x:c r="J45" s="10"/>
      <x:c r="K45" s="10"/>
      <x:c r="L45" s="11"/>
      <x:c r="M45" s="12"/>
      <x:c r="N45" s="10"/>
    </x:row>
    <x:row r="46" ht="25" customHeight="1">
      <x:c r="A46" s="9" t="str">
        <x:v>QA-NUM-012</x:v>
      </x:c>
      <x:c r="B46" s="9" t="str">
        <x:v>NUM</x:v>
      </x:c>
      <x:c r="C46" s="9" t="str">
        <x:v>Número explícito duplicado</x:v>
      </x:c>
      <x:c r="D46" s="9" t="str">
        <x:v>P0</x:v>
      </x:c>
      <x:c r="E46" s="9" t="str">
        <x:v>Negativa</x:v>
      </x:c>
      <x:c r="F46" s="9" t="str">
        <x:v>Navegador + HTTP + persistencia</x:v>
      </x:c>
      <x:c r="G46" s="10" t="str">
        <x:v>Pendiente</x:v>
      </x:c>
      <x:c r="H46" s="10"/>
      <x:c r="I46" s="10"/>
      <x:c r="J46" s="10"/>
      <x:c r="K46" s="10"/>
      <x:c r="L46" s="11"/>
      <x:c r="M46" s="12"/>
      <x:c r="N46" s="10"/>
    </x:row>
    <x:row r="47" ht="25" customHeight="1">
      <x:c r="A47" s="9" t="str">
        <x:v>QA-NUM-013</x:v>
      </x:c>
      <x:c r="B47" s="9" t="str">
        <x:v>NUM</x:v>
      </x:c>
      <x:c r="C47" s="9" t="str">
        <x:v>Grupo dedicado del dispositivo</x:v>
      </x:c>
      <x:c r="D47" s="9" t="str">
        <x:v>P0</x:v>
      </x:c>
      <x:c r="E47" s="9" t="str">
        <x:v>Seguridad</x:v>
      </x:c>
      <x:c r="F47" s="9" t="str">
        <x:v>Navegador + HTTP + persistencia</x:v>
      </x:c>
      <x:c r="G47" s="10" t="str">
        <x:v>Pendiente</x:v>
      </x:c>
      <x:c r="H47" s="10"/>
      <x:c r="I47" s="10"/>
      <x:c r="J47" s="10"/>
      <x:c r="K47" s="10"/>
      <x:c r="L47" s="11"/>
      <x:c r="M47" s="12"/>
      <x:c r="N47" s="10"/>
    </x:row>
    <x:row r="48" ht="25" customHeight="1">
      <x:c r="A48" s="9" t="str">
        <x:v>QA-NUM-014</x:v>
      </x:c>
      <x:c r="B48" s="9" t="str">
        <x:v>NUM</x:v>
      </x:c>
      <x:c r="C48" s="9" t="str">
        <x:v>Equipo sin grupo</x:v>
      </x:c>
      <x:c r="D48" s="9" t="str">
        <x:v>P0</x:v>
      </x:c>
      <x:c r="E48" s="9" t="str">
        <x:v>Negativa</x:v>
      </x:c>
      <x:c r="F48" s="9" t="str">
        <x:v>Navegador + HTTP + persistencia</x:v>
      </x:c>
      <x:c r="G48" s="10" t="str">
        <x:v>Pendiente</x:v>
      </x:c>
      <x:c r="H48" s="10"/>
      <x:c r="I48" s="10"/>
      <x:c r="J48" s="10"/>
      <x:c r="K48" s="10"/>
      <x:c r="L48" s="11"/>
      <x:c r="M48" s="12"/>
      <x:c r="N48" s="10"/>
    </x:row>
    <x:row r="49" ht="25" customHeight="1">
      <x:c r="A49" s="9" t="str">
        <x:v>QA-NUM-015</x:v>
      </x:c>
      <x:c r="B49" s="9" t="str">
        <x:v>NUM</x:v>
      </x:c>
      <x:c r="C49" s="9" t="str">
        <x:v>Desvincular y recuperar equipo</x:v>
      </x:c>
      <x:c r="D49" s="9" t="str">
        <x:v>P1</x:v>
      </x:c>
      <x:c r="E49" s="9" t="str">
        <x:v>Positiva</x:v>
      </x:c>
      <x:c r="F49" s="9" t="str">
        <x:v>Navegador + HTTP + persistencia</x:v>
      </x:c>
      <x:c r="G49" s="10" t="str">
        <x:v>Pendiente</x:v>
      </x:c>
      <x:c r="H49" s="10"/>
      <x:c r="I49" s="10"/>
      <x:c r="J49" s="10"/>
      <x:c r="K49" s="10"/>
      <x:c r="L49" s="11"/>
      <x:c r="M49" s="12"/>
      <x:c r="N49" s="10"/>
    </x:row>
    <x:row r="50" ht="25" customHeight="1">
      <x:c r="A50" s="9" t="str">
        <x:v>QA-NUM-016</x:v>
      </x:c>
      <x:c r="B50" s="9" t="str">
        <x:v>NUM</x:v>
      </x:c>
      <x:c r="C50" s="9" t="str">
        <x:v>Todas las pestañas de numeración</x:v>
      </x:c>
      <x:c r="D50" s="9" t="str">
        <x:v>P1</x:v>
      </x:c>
      <x:c r="E50" s="9" t="str">
        <x:v>Positiva</x:v>
      </x:c>
      <x:c r="F50" s="9" t="str">
        <x:v>Navegador + HTTP + persistencia</x:v>
      </x:c>
      <x:c r="G50" s="10" t="str">
        <x:v>Pendiente</x:v>
      </x:c>
      <x:c r="H50" s="10"/>
      <x:c r="I50" s="10"/>
      <x:c r="J50" s="10"/>
      <x:c r="K50" s="10"/>
      <x:c r="L50" s="11"/>
      <x:c r="M50" s="12"/>
      <x:c r="N50" s="10"/>
    </x:row>
    <x:row r="51" ht="25" customHeight="1">
      <x:c r="A51" s="9" t="str">
        <x:v>QA-NUM-017</x:v>
      </x:c>
      <x:c r="B51" s="9" t="str">
        <x:v>NUM</x:v>
      </x:c>
      <x:c r="C51" s="9" t="str">
        <x:v>Permiso de administrar series</x:v>
      </x:c>
      <x:c r="D51" s="9" t="str">
        <x:v>P0</x:v>
      </x:c>
      <x:c r="E51" s="9" t="str">
        <x:v>Seguridad</x:v>
      </x:c>
      <x:c r="F51" s="9" t="str">
        <x:v>Navegador + HTTP + persistencia</x:v>
      </x:c>
      <x:c r="G51" s="10" t="str">
        <x:v>Pendiente</x:v>
      </x:c>
      <x:c r="H51" s="10"/>
      <x:c r="I51" s="10"/>
      <x:c r="J51" s="10"/>
      <x:c r="K51" s="10"/>
      <x:c r="L51" s="11"/>
      <x:c r="M51" s="12"/>
      <x:c r="N51" s="10"/>
    </x:row>
    <x:row r="52" ht="25" customHeight="1">
      <x:c r="A52" s="9" t="str">
        <x:v>QA-NUM-018</x:v>
      </x:c>
      <x:c r="B52" s="9" t="str">
        <x:v>NUM</x:v>
      </x:c>
      <x:c r="C52" s="9" t="str">
        <x:v>Ocho dígitos y números largos</x:v>
      </x:c>
      <x:c r="D52" s="9" t="str">
        <x:v>P1</x:v>
      </x:c>
      <x:c r="E52" s="9" t="str">
        <x:v>Positiva</x:v>
      </x:c>
      <x:c r="F52" s="9" t="str">
        <x:v>Navegador + HTTP + persistencia</x:v>
      </x:c>
      <x:c r="G52" s="10" t="str">
        <x:v>Pendiente</x:v>
      </x:c>
      <x:c r="H52" s="10"/>
      <x:c r="I52" s="10"/>
      <x:c r="J52" s="10"/>
      <x:c r="K52" s="10"/>
      <x:c r="L52" s="11"/>
      <x:c r="M52" s="12"/>
      <x:c r="N52" s="10"/>
    </x:row>
    <x:row r="53" ht="25" customHeight="1">
      <x:c r="A53" s="9" t="str">
        <x:v>QA-NUM-019</x:v>
      </x:c>
      <x:c r="B53" s="9" t="str">
        <x:v>NUM</x:v>
      </x:c>
      <x:c r="C53" s="9" t="str">
        <x:v>Dos sucursales sin serie y mismo número</x:v>
      </x:c>
      <x:c r="D53" s="9" t="str">
        <x:v>P0</x:v>
      </x:c>
      <x:c r="E53" s="9" t="str">
        <x:v>Negativa</x:v>
      </x:c>
      <x:c r="F53" s="9" t="str">
        <x:v>Navegador + HTTP + persistencia</x:v>
      </x:c>
      <x:c r="G53" s="10" t="str">
        <x:v>Pendiente</x:v>
      </x:c>
      <x:c r="H53" s="10"/>
      <x:c r="I53" s="10"/>
      <x:c r="J53" s="10"/>
      <x:c r="K53" s="10"/>
      <x:c r="L53" s="11"/>
      <x:c r="M53" s="12"/>
      <x:c r="N53" s="10"/>
    </x:row>
    <x:row r="54" ht="25" customHeight="1">
      <x:c r="A54" s="9" t="str">
        <x:v>QA-NUM-020</x:v>
      </x:c>
      <x:c r="B54" s="9" t="str">
        <x:v>NUM</x:v>
      </x:c>
      <x:c r="C54" s="9" t="str">
        <x:v>Filtro de serie vacía</x:v>
      </x:c>
      <x:c r="D54" s="9" t="str">
        <x:v>P1</x:v>
      </x:c>
      <x:c r="E54" s="9" t="str">
        <x:v>Positiva</x:v>
      </x:c>
      <x:c r="F54" s="9" t="str">
        <x:v>Navegador + HTTP + persistencia</x:v>
      </x:c>
      <x:c r="G54" s="10" t="str">
        <x:v>Pendiente</x:v>
      </x:c>
      <x:c r="H54" s="10"/>
      <x:c r="I54" s="10"/>
      <x:c r="J54" s="10"/>
      <x:c r="K54" s="10"/>
      <x:c r="L54" s="11"/>
      <x:c r="M54" s="12"/>
      <x:c r="N54" s="10"/>
    </x:row>
    <x:row r="55" ht="25" customHeight="1">
      <x:c r="A55" s="9" t="str">
        <x:v>QA-NUM-021</x:v>
      </x:c>
      <x:c r="B55" s="9" t="str">
        <x:v>NUM</x:v>
      </x:c>
      <x:c r="C55" s="9" t="str">
        <x:v>Número de control independiente</x:v>
      </x:c>
      <x:c r="D55" s="9" t="str">
        <x:v>P0</x:v>
      </x:c>
      <x:c r="E55" s="9" t="str">
        <x:v>Negativa</x:v>
      </x:c>
      <x:c r="F55" s="9" t="str">
        <x:v>Navegador + HTTP + persistencia</x:v>
      </x:c>
      <x:c r="G55" s="10" t="str">
        <x:v>Pendiente</x:v>
      </x:c>
      <x:c r="H55" s="10"/>
      <x:c r="I55" s="10"/>
      <x:c r="J55" s="10"/>
      <x:c r="K55" s="10"/>
      <x:c r="L55" s="11"/>
      <x:c r="M55" s="12"/>
      <x:c r="N55" s="10"/>
    </x:row>
    <x:row r="56" ht="25" customHeight="1">
      <x:c r="A56" s="9" t="str">
        <x:v>QA-CLI-001</x:v>
      </x:c>
      <x:c r="B56" s="9" t="str">
        <x:v>CLI</x:v>
      </x:c>
      <x:c r="C56" s="9" t="str">
        <x:v>Buscar por nombre y número</x:v>
      </x:c>
      <x:c r="D56" s="9" t="str">
        <x:v>P1</x:v>
      </x:c>
      <x:c r="E56" s="9" t="str">
        <x:v>Positiva</x:v>
      </x:c>
      <x:c r="F56" s="9" t="str">
        <x:v>Navegador + HTTP + persistencia</x:v>
      </x:c>
      <x:c r="G56" s="10" t="str">
        <x:v>Pendiente</x:v>
      </x:c>
      <x:c r="H56" s="10"/>
      <x:c r="I56" s="10"/>
      <x:c r="J56" s="10"/>
      <x:c r="K56" s="10"/>
      <x:c r="L56" s="11"/>
      <x:c r="M56" s="12"/>
      <x:c r="N56" s="10"/>
    </x:row>
    <x:row r="57" ht="25" customHeight="1">
      <x:c r="A57" s="9" t="str">
        <x:v>QA-CLI-002</x:v>
      </x:c>
      <x:c r="B57" s="9" t="str">
        <x:v>CLI</x:v>
      </x:c>
      <x:c r="C57" s="9" t="str">
        <x:v>Crear comprador desde formulario</x:v>
      </x:c>
      <x:c r="D57" s="9" t="str">
        <x:v>P1</x:v>
      </x:c>
      <x:c r="E57" s="9" t="str">
        <x:v>Positiva</x:v>
      </x:c>
      <x:c r="F57" s="9" t="str">
        <x:v>Navegador + HTTP + persistencia</x:v>
      </x:c>
      <x:c r="G57" s="10" t="str">
        <x:v>Pendiente</x:v>
      </x:c>
      <x:c r="H57" s="10"/>
      <x:c r="I57" s="10"/>
      <x:c r="J57" s="10"/>
      <x:c r="K57" s="10"/>
      <x:c r="L57" s="11"/>
      <x:c r="M57" s="12"/>
      <x:c r="N57" s="10"/>
    </x:row>
    <x:row r="58" ht="25" customHeight="1">
      <x:c r="A58" s="9" t="str">
        <x:v>QA-CLI-003</x:v>
      </x:c>
      <x:c r="B58" s="9" t="str">
        <x:v>CLI</x:v>
      </x:c>
      <x:c r="C58" s="9" t="str">
        <x:v>Editar comprador y cancelar</x:v>
      </x:c>
      <x:c r="D58" s="9" t="str">
        <x:v>P1</x:v>
      </x:c>
      <x:c r="E58" s="9" t="str">
        <x:v>Positiva</x:v>
      </x:c>
      <x:c r="F58" s="9" t="str">
        <x:v>Navegador + HTTP + persistencia</x:v>
      </x:c>
      <x:c r="G58" s="10" t="str">
        <x:v>Pendiente</x:v>
      </x:c>
      <x:c r="H58" s="10"/>
      <x:c r="I58" s="10"/>
      <x:c r="J58" s="10"/>
      <x:c r="K58" s="10"/>
      <x:c r="L58" s="11"/>
      <x:c r="M58" s="12"/>
      <x:c r="N58" s="10"/>
    </x:row>
    <x:row r="59" ht="25" customHeight="1">
      <x:c r="A59" s="9" t="str">
        <x:v>QA-CLI-004</x:v>
      </x:c>
      <x:c r="B59" s="9" t="str">
        <x:v>CLI</x:v>
      </x:c>
      <x:c r="C59" s="9" t="str">
        <x:v>Cambiar comprador con varias direcciones</x:v>
      </x:c>
      <x:c r="D59" s="9" t="str">
        <x:v>P0</x:v>
      </x:c>
      <x:c r="E59" s="9" t="str">
        <x:v>Negativa</x:v>
      </x:c>
      <x:c r="F59" s="9" t="str">
        <x:v>Navegador + HTTP + persistencia</x:v>
      </x:c>
      <x:c r="G59" s="10" t="str">
        <x:v>Pendiente</x:v>
      </x:c>
      <x:c r="H59" s="10"/>
      <x:c r="I59" s="10"/>
      <x:c r="J59" s="10"/>
      <x:c r="K59" s="10"/>
      <x:c r="L59" s="11"/>
      <x:c r="M59" s="12"/>
      <x:c r="N59" s="10"/>
    </x:row>
    <x:row r="60" ht="25" customHeight="1">
      <x:c r="A60" s="9" t="str">
        <x:v>QA-CLI-005</x:v>
      </x:c>
      <x:c r="B60" s="9" t="str">
        <x:v>CLI</x:v>
      </x:c>
      <x:c r="C60" s="9" t="str">
        <x:v>Clientes de identidad desactivada</x:v>
      </x:c>
      <x:c r="D60" s="9" t="str">
        <x:v>P0</x:v>
      </x:c>
      <x:c r="E60" s="9" t="str">
        <x:v>Negativa</x:v>
      </x:c>
      <x:c r="F60" s="9" t="str">
        <x:v>Navegador + HTTP + persistencia</x:v>
      </x:c>
      <x:c r="G60" s="10" t="str">
        <x:v>Pendiente</x:v>
      </x:c>
      <x:c r="H60" s="10"/>
      <x:c r="I60" s="10"/>
      <x:c r="J60" s="10"/>
      <x:c r="K60" s="10"/>
      <x:c r="L60" s="11"/>
      <x:c r="M60" s="12"/>
      <x:c r="N60" s="10"/>
    </x:row>
    <x:row r="61" ht="25" customHeight="1">
      <x:c r="A61" s="9" t="str">
        <x:v>QA-CLI-006</x:v>
      </x:c>
      <x:c r="B61" s="9" t="str">
        <x:v>CLI</x:v>
      </x:c>
      <x:c r="C61" s="9" t="str">
        <x:v>ND excluido de venta interna</x:v>
      </x:c>
      <x:c r="D61" s="9" t="str">
        <x:v>P0</x:v>
      </x:c>
      <x:c r="E61" s="9" t="str">
        <x:v>Negativa</x:v>
      </x:c>
      <x:c r="F61" s="9" t="str">
        <x:v>Navegador + HTTP + persistencia</x:v>
      </x:c>
      <x:c r="G61" s="10" t="str">
        <x:v>Pendiente</x:v>
      </x:c>
      <x:c r="H61" s="10"/>
      <x:c r="I61" s="10"/>
      <x:c r="J61" s="10"/>
      <x:c r="K61" s="10"/>
      <x:c r="L61" s="11"/>
      <x:c r="M61" s="12"/>
      <x:c r="N61" s="10"/>
    </x:row>
    <x:row r="62" ht="25" customHeight="1">
      <x:c r="A62" s="9" t="str">
        <x:v>QA-CLI-007</x:v>
      </x:c>
      <x:c r="B62" s="9" t="str">
        <x:v>CLI</x:v>
      </x:c>
      <x:c r="C62" s="9" t="str">
        <x:v>Identidad sin letras en número doméstico</x:v>
      </x:c>
      <x:c r="D62" s="9" t="str">
        <x:v>P1</x:v>
      </x:c>
      <x:c r="E62" s="9" t="str">
        <x:v>Positiva</x:v>
      </x:c>
      <x:c r="F62" s="9" t="str">
        <x:v>Navegador + HTTP + persistencia</x:v>
      </x:c>
      <x:c r="G62" s="10" t="str">
        <x:v>Pendiente</x:v>
      </x:c>
      <x:c r="H62" s="10"/>
      <x:c r="I62" s="10"/>
      <x:c r="J62" s="10"/>
      <x:c r="K62" s="10"/>
      <x:c r="L62" s="11"/>
      <x:c r="M62" s="12"/>
      <x:c r="N62" s="10"/>
    </x:row>
    <x:row r="63" ht="25" customHeight="1">
      <x:c r="A63" s="9" t="str">
        <x:v>QA-CLI-008</x:v>
      </x:c>
      <x:c r="B63" s="9" t="str">
        <x:v>CLI</x:v>
      </x:c>
      <x:c r="C63" s="9" t="str">
        <x:v>Extranjero y pasaporte sin territorio VE</x:v>
      </x:c>
      <x:c r="D63" s="9" t="str">
        <x:v>P1</x:v>
      </x:c>
      <x:c r="E63" s="9" t="str">
        <x:v>Positiva</x:v>
      </x:c>
      <x:c r="F63" s="9" t="str">
        <x:v>Navegador + HTTP + persistencia</x:v>
      </x:c>
      <x:c r="G63" s="10" t="str">
        <x:v>Pendiente</x:v>
      </x:c>
      <x:c r="H63" s="10"/>
      <x:c r="I63" s="10"/>
      <x:c r="J63" s="10"/>
      <x:c r="K63" s="10"/>
      <x:c r="L63" s="11"/>
      <x:c r="M63" s="12"/>
      <x:c r="N63" s="10"/>
    </x:row>
    <x:row r="64" ht="25" customHeight="1">
      <x:c r="A64" s="9" t="str">
        <x:v>QA-CLI-009</x:v>
      </x:c>
      <x:c r="B64" s="9" t="str">
        <x:v>CLI</x:v>
      </x:c>
      <x:c r="C64" s="9" t="str">
        <x:v>Formato de identidad en documentos</x:v>
      </x:c>
      <x:c r="D64" s="9" t="str">
        <x:v>P1</x:v>
      </x:c>
      <x:c r="E64" s="9" t="str">
        <x:v>Positiva</x:v>
      </x:c>
      <x:c r="F64" s="9" t="str">
        <x:v>Navegador + HTTP + persistencia</x:v>
      </x:c>
      <x:c r="G64" s="10" t="str">
        <x:v>Pendiente</x:v>
      </x:c>
      <x:c r="H64" s="10"/>
      <x:c r="I64" s="10"/>
      <x:c r="J64" s="10"/>
      <x:c r="K64" s="10"/>
      <x:c r="L64" s="11"/>
      <x:c r="M64" s="12"/>
      <x:c r="N64" s="10"/>
    </x:row>
    <x:row r="65" ht="25" customHeight="1">
      <x:c r="A65" s="9" t="str">
        <x:v>QA-CLI-010</x:v>
      </x:c>
      <x:c r="B65" s="9" t="str">
        <x:v>CLI</x:v>
      </x:c>
      <x:c r="C65" s="9" t="str">
        <x:v>Cliente sin contacto</x:v>
      </x:c>
      <x:c r="D65" s="9" t="str">
        <x:v>P1</x:v>
      </x:c>
      <x:c r="E65" s="9" t="str">
        <x:v>Positiva</x:v>
      </x:c>
      <x:c r="F65" s="9" t="str">
        <x:v>Navegador + HTTP + persistencia</x:v>
      </x:c>
      <x:c r="G65" s="10" t="str">
        <x:v>Pendiente</x:v>
      </x:c>
      <x:c r="H65" s="10"/>
      <x:c r="I65" s="10"/>
      <x:c r="J65" s="10"/>
      <x:c r="K65" s="10"/>
      <x:c r="L65" s="11"/>
      <x:c r="M65" s="12"/>
      <x:c r="N65" s="10"/>
    </x:row>
    <x:row r="66" ht="25" customHeight="1">
      <x:c r="A66" s="9" t="str">
        <x:v>QA-CLI-011</x:v>
      </x:c>
      <x:c r="B66" s="9" t="str">
        <x:v>CLI</x:v>
      </x:c>
      <x:c r="C66" s="9" t="str">
        <x:v>Snapshot del comprador</x:v>
      </x:c>
      <x:c r="D66" s="9" t="str">
        <x:v>P0</x:v>
      </x:c>
      <x:c r="E66" s="9" t="str">
        <x:v>Positiva</x:v>
      </x:c>
      <x:c r="F66" s="9" t="str">
        <x:v>Navegador + HTTP + persistencia</x:v>
      </x:c>
      <x:c r="G66" s="10" t="str">
        <x:v>Pendiente</x:v>
      </x:c>
      <x:c r="H66" s="10"/>
      <x:c r="I66" s="10"/>
      <x:c r="J66" s="10"/>
      <x:c r="K66" s="10"/>
      <x:c r="L66" s="11"/>
      <x:c r="M66" s="12"/>
      <x:c r="N66" s="10"/>
    </x:row>
    <x:row r="67" ht="25" customHeight="1">
      <x:c r="A67" s="9" t="str">
        <x:v>QA-CLI-012</x:v>
      </x:c>
      <x:c r="B67" s="9" t="str">
        <x:v>CLI</x:v>
      </x:c>
      <x:c r="C67" s="9" t="str">
        <x:v>Vendedor y asignación de clientes</x:v>
      </x:c>
      <x:c r="D67" s="9" t="str">
        <x:v>P0</x:v>
      </x:c>
      <x:c r="E67" s="9" t="str">
        <x:v>Seguridad</x:v>
      </x:c>
      <x:c r="F67" s="9" t="str">
        <x:v>Navegador + HTTP + persistencia</x:v>
      </x:c>
      <x:c r="G67" s="10" t="str">
        <x:v>Pendiente</x:v>
      </x:c>
      <x:c r="H67" s="10"/>
      <x:c r="I67" s="10"/>
      <x:c r="J67" s="10"/>
      <x:c r="K67" s="10"/>
      <x:c r="L67" s="11"/>
      <x:c r="M67" s="12"/>
      <x:c r="N67" s="10"/>
    </x:row>
    <x:row r="68" ht="25" customHeight="1">
      <x:c r="A68" s="9" t="str">
        <x:v>QA-CLI-013</x:v>
      </x:c>
      <x:c r="B68" s="9" t="str">
        <x:v>CLI</x:v>
      </x:c>
      <x:c r="C68" s="9" t="str">
        <x:v>Fecha de emisión y vencimiento</x:v>
      </x:c>
      <x:c r="D68" s="9" t="str">
        <x:v>P1</x:v>
      </x:c>
      <x:c r="E68" s="9" t="str">
        <x:v>Negativa</x:v>
      </x:c>
      <x:c r="F68" s="9" t="str">
        <x:v>Navegador + HTTP + persistencia</x:v>
      </x:c>
      <x:c r="G68" s="10" t="str">
        <x:v>Pendiente</x:v>
      </x:c>
      <x:c r="H68" s="10"/>
      <x:c r="I68" s="10"/>
      <x:c r="J68" s="10"/>
      <x:c r="K68" s="10"/>
      <x:c r="L68" s="11"/>
      <x:c r="M68" s="12"/>
      <x:c r="N68" s="10"/>
    </x:row>
    <x:row r="69" ht="25" customHeight="1">
      <x:c r="A69" s="9" t="str">
        <x:v>QA-CLI-014</x:v>
      </x:c>
      <x:c r="B69" s="9" t="str">
        <x:v>CLI</x:v>
      </x:c>
      <x:c r="C69" s="9" t="str">
        <x:v>Orden de compra y observaciones</x:v>
      </x:c>
      <x:c r="D69" s="9" t="str">
        <x:v>P1</x:v>
      </x:c>
      <x:c r="E69" s="9" t="str">
        <x:v>Positiva</x:v>
      </x:c>
      <x:c r="F69" s="9" t="str">
        <x:v>Navegador + HTTP + persistencia</x:v>
      </x:c>
      <x:c r="G69" s="10" t="str">
        <x:v>Pendiente</x:v>
      </x:c>
      <x:c r="H69" s="10"/>
      <x:c r="I69" s="10"/>
      <x:c r="J69" s="10"/>
      <x:c r="K69" s="10"/>
      <x:c r="L69" s="11"/>
      <x:c r="M69" s="12"/>
      <x:c r="N69" s="10"/>
    </x:row>
    <x:row r="70" ht="25" customHeight="1">
      <x:c r="A70" s="9" t="str">
        <x:v>QA-CLI-015</x:v>
      </x:c>
      <x:c r="B70" s="9" t="str">
        <x:v>CLI</x:v>
      </x:c>
      <x:c r="C70" s="9" t="str">
        <x:v>Consignado, vendedor y placa</x:v>
      </x:c>
      <x:c r="D70" s="9" t="str">
        <x:v>P1</x:v>
      </x:c>
      <x:c r="E70" s="9" t="str">
        <x:v>Positiva</x:v>
      </x:c>
      <x:c r="F70" s="9" t="str">
        <x:v>Navegador + HTTP + persistencia</x:v>
      </x:c>
      <x:c r="G70" s="10" t="str">
        <x:v>Pendiente</x:v>
      </x:c>
      <x:c r="H70" s="10"/>
      <x:c r="I70" s="10"/>
      <x:c r="J70" s="10"/>
      <x:c r="K70" s="10"/>
      <x:c r="L70" s="11"/>
      <x:c r="M70" s="12"/>
      <x:c r="N70" s="10"/>
    </x:row>
    <x:row r="71" ht="25" customHeight="1">
      <x:c r="A71" s="9" t="str">
        <x:v>QA-CLI-016</x:v>
      </x:c>
      <x:c r="B71" s="9" t="str">
        <x:v>CLI</x:v>
      </x:c>
      <x:c r="C71" s="9" t="str">
        <x:v>Venta itinerante</x:v>
      </x:c>
      <x:c r="D71" s="9" t="str">
        <x:v>P1</x:v>
      </x:c>
      <x:c r="E71" s="9" t="str">
        <x:v>Positiva</x:v>
      </x:c>
      <x:c r="F71" s="9" t="str">
        <x:v>Navegador + HTTP + persistencia</x:v>
      </x:c>
      <x:c r="G71" s="10" t="str">
        <x:v>Pendiente</x:v>
      </x:c>
      <x:c r="H71" s="10"/>
      <x:c r="I71" s="10"/>
      <x:c r="J71" s="10"/>
      <x:c r="K71" s="10"/>
      <x:c r="L71" s="11"/>
      <x:c r="M71" s="12"/>
      <x:c r="N71" s="10"/>
    </x:row>
    <x:row r="72" ht="25" customHeight="1">
      <x:c r="A72" s="9" t="str">
        <x:v>QA-CLI-017</x:v>
      </x:c>
      <x:c r="B72" s="9" t="str">
        <x:v>CLI</x:v>
      </x:c>
      <x:c r="C72" s="9" t="str">
        <x:v>Personalizar formulario</x:v>
      </x:c>
      <x:c r="D72" s="9" t="str">
        <x:v>P1</x:v>
      </x:c>
      <x:c r="E72" s="9" t="str">
        <x:v>Positiva</x:v>
      </x:c>
      <x:c r="F72" s="9" t="str">
        <x:v>Navegador + HTTP + persistencia</x:v>
      </x:c>
      <x:c r="G72" s="10" t="str">
        <x:v>Pendiente</x:v>
      </x:c>
      <x:c r="H72" s="10"/>
      <x:c r="I72" s="10"/>
      <x:c r="J72" s="10"/>
      <x:c r="K72" s="10"/>
      <x:c r="L72" s="11"/>
      <x:c r="M72" s="12"/>
      <x:c r="N72" s="10"/>
    </x:row>
    <x:row r="73" ht="25" customHeight="1">
      <x:c r="A73" s="9" t="str">
        <x:v>QA-CLI-018</x:v>
      </x:c>
      <x:c r="B73" s="9" t="str">
        <x:v>CLI</x:v>
      </x:c>
      <x:c r="C73" s="9" t="str">
        <x:v>Información adicional y barra fijada</x:v>
      </x:c>
      <x:c r="D73" s="9" t="str">
        <x:v>P1</x:v>
      </x:c>
      <x:c r="E73" s="9" t="str">
        <x:v>Positiva</x:v>
      </x:c>
      <x:c r="F73" s="9" t="str">
        <x:v>Navegador + HTTP + persistencia</x:v>
      </x:c>
      <x:c r="G73" s="10" t="str">
        <x:v>Pendiente</x:v>
      </x:c>
      <x:c r="H73" s="10"/>
      <x:c r="I73" s="10"/>
      <x:c r="J73" s="10"/>
      <x:c r="K73" s="10"/>
      <x:c r="L73" s="11"/>
      <x:c r="M73" s="12"/>
      <x:c r="N73" s="10"/>
    </x:row>
    <x:row r="74" ht="25" customHeight="1">
      <x:c r="A74" s="9" t="str">
        <x:v>QA-ITM-001</x:v>
      </x:c>
      <x:c r="B74" s="9" t="str">
        <x:v>ITM</x:v>
      </x:c>
      <x:c r="C74" s="9" t="str">
        <x:v>Agregar producto gravado</x:v>
      </x:c>
      <x:c r="D74" s="9" t="str">
        <x:v>P0</x:v>
      </x:c>
      <x:c r="E74" s="9" t="str">
        <x:v>Positiva</x:v>
      </x:c>
      <x:c r="F74" s="9" t="str">
        <x:v>Navegador + HTTP + persistencia</x:v>
      </x:c>
      <x:c r="G74" s="10" t="str">
        <x:v>Pendiente</x:v>
      </x:c>
      <x:c r="H74" s="10"/>
      <x:c r="I74" s="10"/>
      <x:c r="J74" s="10"/>
      <x:c r="K74" s="10"/>
      <x:c r="L74" s="11"/>
      <x:c r="M74" s="12"/>
      <x:c r="N74" s="10"/>
    </x:row>
    <x:row r="75" ht="25" customHeight="1">
      <x:c r="A75" s="9" t="str">
        <x:v>QA-ITM-002</x:v>
      </x:c>
      <x:c r="B75" s="9" t="str">
        <x:v>ITM</x:v>
      </x:c>
      <x:c r="C75" s="9" t="str">
        <x:v>Agregar exento</x:v>
      </x:c>
      <x:c r="D75" s="9" t="str">
        <x:v>P1</x:v>
      </x:c>
      <x:c r="E75" s="9" t="str">
        <x:v>Positiva</x:v>
      </x:c>
      <x:c r="F75" s="9" t="str">
        <x:v>Navegador + HTTP + persistencia</x:v>
      </x:c>
      <x:c r="G75" s="10" t="str">
        <x:v>Pendiente</x:v>
      </x:c>
      <x:c r="H75" s="10"/>
      <x:c r="I75" s="10"/>
      <x:c r="J75" s="10"/>
      <x:c r="K75" s="10"/>
      <x:c r="L75" s="11"/>
      <x:c r="M75" s="12"/>
      <x:c r="N75" s="10"/>
    </x:row>
    <x:row r="76" ht="25" customHeight="1">
      <x:c r="A76" s="9" t="str">
        <x:v>QA-ITM-003</x:v>
      </x:c>
      <x:c r="B76" s="9" t="str">
        <x:v>ITM</x:v>
      </x:c>
      <x:c r="C76" s="9" t="str">
        <x:v>Agregar servicio</x:v>
      </x:c>
      <x:c r="D76" s="9" t="str">
        <x:v>P0</x:v>
      </x:c>
      <x:c r="E76" s="9" t="str">
        <x:v>Positiva</x:v>
      </x:c>
      <x:c r="F76" s="9" t="str">
        <x:v>Navegador + HTTP + persistencia</x:v>
      </x:c>
      <x:c r="G76" s="10" t="str">
        <x:v>Pendiente</x:v>
      </x:c>
      <x:c r="H76" s="10"/>
      <x:c r="I76" s="10"/>
      <x:c r="J76" s="10"/>
      <x:c r="K76" s="10"/>
      <x:c r="L76" s="11"/>
      <x:c r="M76" s="12"/>
      <x:c r="N76" s="10"/>
    </x:row>
    <x:row r="77" ht="25" customHeight="1">
      <x:c r="A77" s="9" t="str">
        <x:v>QA-ITM-004</x:v>
      </x:c>
      <x:c r="B77" s="9" t="str">
        <x:v>ITM</x:v>
      </x:c>
      <x:c r="C77" s="9" t="str">
        <x:v>Factura mixta de producto y servicio</x:v>
      </x:c>
      <x:c r="D77" s="9" t="str">
        <x:v>P0</x:v>
      </x:c>
      <x:c r="E77" s="9" t="str">
        <x:v>Positiva</x:v>
      </x:c>
      <x:c r="F77" s="9" t="str">
        <x:v>Navegador + HTTP + persistencia</x:v>
      </x:c>
      <x:c r="G77" s="10" t="str">
        <x:v>Pendiente</x:v>
      </x:c>
      <x:c r="H77" s="10"/>
      <x:c r="I77" s="10"/>
      <x:c r="J77" s="10"/>
      <x:c r="K77" s="10"/>
      <x:c r="L77" s="11"/>
      <x:c r="M77" s="12"/>
      <x:c r="N77" s="10"/>
    </x:row>
    <x:row r="78" ht="25" customHeight="1">
      <x:c r="A78" s="9" t="str">
        <x:v>QA-ITM-005</x:v>
      </x:c>
      <x:c r="B78" s="9" t="str">
        <x:v>ITM</x:v>
      </x:c>
      <x:c r="C78" s="9" t="str">
        <x:v>Buscar por código y código de barras</x:v>
      </x:c>
      <x:c r="D78" s="9" t="str">
        <x:v>P1</x:v>
      </x:c>
      <x:c r="E78" s="9" t="str">
        <x:v>Positiva</x:v>
      </x:c>
      <x:c r="F78" s="9" t="str">
        <x:v>Navegador + HTTP + persistencia</x:v>
      </x:c>
      <x:c r="G78" s="10" t="str">
        <x:v>Pendiente</x:v>
      </x:c>
      <x:c r="H78" s="10"/>
      <x:c r="I78" s="10"/>
      <x:c r="J78" s="10"/>
      <x:c r="K78" s="10"/>
      <x:c r="L78" s="11"/>
      <x:c r="M78" s="12"/>
      <x:c r="N78" s="10"/>
    </x:row>
    <x:row r="79" ht="25" customHeight="1">
      <x:c r="A79" s="9" t="str">
        <x:v>QA-ITM-006</x:v>
      </x:c>
      <x:c r="B79" s="9" t="str">
        <x:v>ITM</x:v>
      </x:c>
      <x:c r="C79" s="9" t="str">
        <x:v>Producto variable</x:v>
      </x:c>
      <x:c r="D79" s="9" t="str">
        <x:v>P0</x:v>
      </x:c>
      <x:c r="E79" s="9" t="str">
        <x:v>Positiva</x:v>
      </x:c>
      <x:c r="F79" s="9" t="str">
        <x:v>Navegador + HTTP + persistencia</x:v>
      </x:c>
      <x:c r="G79" s="10" t="str">
        <x:v>Pendiente</x:v>
      </x:c>
      <x:c r="H79" s="10"/>
      <x:c r="I79" s="10"/>
      <x:c r="J79" s="10"/>
      <x:c r="K79" s="10"/>
      <x:c r="L79" s="11"/>
      <x:c r="M79" s="12"/>
      <x:c r="N79" s="10"/>
    </x:row>
    <x:row r="80" ht="25" customHeight="1">
      <x:c r="A80" s="9" t="str">
        <x:v>QA-ITM-007</x:v>
      </x:c>
      <x:c r="B80" s="9" t="str">
        <x:v>ITM</x:v>
      </x:c>
      <x:c r="C80" s="9" t="str">
        <x:v>Variación sin stock</x:v>
      </x:c>
      <x:c r="D80" s="9" t="str">
        <x:v>P1</x:v>
      </x:c>
      <x:c r="E80" s="9" t="str">
        <x:v>Negativa</x:v>
      </x:c>
      <x:c r="F80" s="9" t="str">
        <x:v>Navegador + HTTP + persistencia</x:v>
      </x:c>
      <x:c r="G80" s="10" t="str">
        <x:v>Pendiente</x:v>
      </x:c>
      <x:c r="H80" s="10"/>
      <x:c r="I80" s="10"/>
      <x:c r="J80" s="10"/>
      <x:c r="K80" s="10"/>
      <x:c r="L80" s="11"/>
      <x:c r="M80" s="12"/>
      <x:c r="N80" s="10"/>
    </x:row>
    <x:row r="81" ht="25" customHeight="1">
      <x:c r="A81" s="9" t="str">
        <x:v>QA-ITM-008</x:v>
      </x:c>
      <x:c r="B81" s="9" t="str">
        <x:v>ITM</x:v>
      </x:c>
      <x:c r="C81" s="9" t="str">
        <x:v>Presentación y unidad alternativa</x:v>
      </x:c>
      <x:c r="D81" s="9" t="str">
        <x:v>P1</x:v>
      </x:c>
      <x:c r="E81" s="9" t="str">
        <x:v>Positiva</x:v>
      </x:c>
      <x:c r="F81" s="9" t="str">
        <x:v>Navegador + HTTP + persistencia</x:v>
      </x:c>
      <x:c r="G81" s="10" t="str">
        <x:v>Pendiente</x:v>
      </x:c>
      <x:c r="H81" s="10"/>
      <x:c r="I81" s="10"/>
      <x:c r="J81" s="10"/>
      <x:c r="K81" s="10"/>
      <x:c r="L81" s="11"/>
      <x:c r="M81" s="12"/>
      <x:c r="N81" s="10"/>
    </x:row>
    <x:row r="82" ht="25" customHeight="1">
      <x:c r="A82" s="9" t="str">
        <x:v>QA-ITM-009</x:v>
      </x:c>
      <x:c r="B82" s="9" t="str">
        <x:v>ITM</x:v>
      </x:c>
      <x:c r="C82" s="9" t="str">
        <x:v>Precios múltiples y último precio</x:v>
      </x:c>
      <x:c r="D82" s="9" t="str">
        <x:v>P1</x:v>
      </x:c>
      <x:c r="E82" s="9" t="str">
        <x:v>Positiva</x:v>
      </x:c>
      <x:c r="F82" s="9" t="str">
        <x:v>Navegador + HTTP + persistencia</x:v>
      </x:c>
      <x:c r="G82" s="10" t="str">
        <x:v>Pendiente</x:v>
      </x:c>
      <x:c r="H82" s="10"/>
      <x:c r="I82" s="10"/>
      <x:c r="J82" s="10"/>
      <x:c r="K82" s="10"/>
      <x:c r="L82" s="11"/>
      <x:c r="M82" s="12"/>
      <x:c r="N82" s="10"/>
    </x:row>
    <x:row r="83" ht="25" customHeight="1">
      <x:c r="A83" s="9" t="str">
        <x:v>QA-ITM-010</x:v>
      </x:c>
      <x:c r="B83" s="9" t="str">
        <x:v>ITM</x:v>
      </x:c>
      <x:c r="C83" s="9" t="str">
        <x:v>Conversión de moneda del artículo</x:v>
      </x:c>
      <x:c r="D83" s="9" t="str">
        <x:v>P1</x:v>
      </x:c>
      <x:c r="E83" s="9" t="str">
        <x:v>Positiva</x:v>
      </x:c>
      <x:c r="F83" s="9" t="str">
        <x:v>Navegador + HTTP + persistencia</x:v>
      </x:c>
      <x:c r="G83" s="10" t="str">
        <x:v>Pendiente</x:v>
      </x:c>
      <x:c r="H83" s="10"/>
      <x:c r="I83" s="10"/>
      <x:c r="J83" s="10"/>
      <x:c r="K83" s="10"/>
      <x:c r="L83" s="11"/>
      <x:c r="M83" s="12"/>
      <x:c r="N83" s="10"/>
    </x:row>
    <x:row r="84" ht="25" customHeight="1">
      <x:c r="A84" s="9" t="str">
        <x:v>QA-ITM-011</x:v>
      </x:c>
      <x:c r="B84" s="9" t="str">
        <x:v>ITM</x:v>
      </x:c>
      <x:c r="C84" s="9" t="str">
        <x:v>Pack o conjunto</x:v>
      </x:c>
      <x:c r="D84" s="9" t="str">
        <x:v>P1</x:v>
      </x:c>
      <x:c r="E84" s="9" t="str">
        <x:v>Positiva</x:v>
      </x:c>
      <x:c r="F84" s="9" t="str">
        <x:v>Navegador + HTTP + persistencia</x:v>
      </x:c>
      <x:c r="G84" s="10" t="str">
        <x:v>Pendiente</x:v>
      </x:c>
      <x:c r="H84" s="10"/>
      <x:c r="I84" s="10"/>
      <x:c r="J84" s="10"/>
      <x:c r="K84" s="10"/>
      <x:c r="L84" s="11"/>
      <x:c r="M84" s="12"/>
      <x:c r="N84" s="10"/>
    </x:row>
    <x:row r="85" ht="25" customHeight="1">
      <x:c r="A85" s="9" t="str">
        <x:v>QA-ITM-012</x:v>
      </x:c>
      <x:c r="B85" s="9" t="str">
        <x:v>ITM</x:v>
      </x:c>
      <x:c r="C85" s="9" t="str">
        <x:v>Selección de lotes obligatoria</x:v>
      </x:c>
      <x:c r="D85" s="9" t="str">
        <x:v>P0</x:v>
      </x:c>
      <x:c r="E85" s="9" t="str">
        <x:v>Negativa</x:v>
      </x:c>
      <x:c r="F85" s="9" t="str">
        <x:v>Navegador + HTTP + persistencia</x:v>
      </x:c>
      <x:c r="G85" s="10" t="str">
        <x:v>Pendiente</x:v>
      </x:c>
      <x:c r="H85" s="10"/>
      <x:c r="I85" s="10"/>
      <x:c r="J85" s="10"/>
      <x:c r="K85" s="10"/>
      <x:c r="L85" s="11"/>
      <x:c r="M85" s="12"/>
      <x:c r="N85" s="10"/>
    </x:row>
    <x:row r="86" ht="25" customHeight="1">
      <x:c r="A86" s="9" t="str">
        <x:v>QA-ITM-013</x:v>
      </x:c>
      <x:c r="B86" s="9" t="str">
        <x:v>ITM</x:v>
      </x:c>
      <x:c r="C86" s="9" t="str">
        <x:v>Distribuir cantidad en lotes</x:v>
      </x:c>
      <x:c r="D86" s="9" t="str">
        <x:v>P0</x:v>
      </x:c>
      <x:c r="E86" s="9" t="str">
        <x:v>Positiva</x:v>
      </x:c>
      <x:c r="F86" s="9" t="str">
        <x:v>Navegador + HTTP + persistencia</x:v>
      </x:c>
      <x:c r="G86" s="10" t="str">
        <x:v>Pendiente</x:v>
      </x:c>
      <x:c r="H86" s="10"/>
      <x:c r="I86" s="10"/>
      <x:c r="J86" s="10"/>
      <x:c r="K86" s="10"/>
      <x:c r="L86" s="11"/>
      <x:c r="M86" s="12"/>
      <x:c r="N86" s="10"/>
    </x:row>
    <x:row r="87" ht="25" customHeight="1">
      <x:c r="A87" s="9" t="str">
        <x:v>QA-ITM-014</x:v>
      </x:c>
      <x:c r="B87" s="9" t="str">
        <x:v>ITM</x:v>
      </x:c>
      <x:c r="C87" s="9" t="str">
        <x:v>Lotes inválidos o suma distinta</x:v>
      </x:c>
      <x:c r="D87" s="9" t="str">
        <x:v>P0</x:v>
      </x:c>
      <x:c r="E87" s="9" t="str">
        <x:v>Negativa</x:v>
      </x:c>
      <x:c r="F87" s="9" t="str">
        <x:v>Navegador + HTTP + persistencia</x:v>
      </x:c>
      <x:c r="G87" s="10" t="str">
        <x:v>Pendiente</x:v>
      </x:c>
      <x:c r="H87" s="10"/>
      <x:c r="I87" s="10"/>
      <x:c r="J87" s="10"/>
      <x:c r="K87" s="10"/>
      <x:c r="L87" s="11"/>
      <x:c r="M87" s="12"/>
      <x:c r="N87" s="10"/>
    </x:row>
    <x:row r="88" ht="25" customHeight="1">
      <x:c r="A88" s="9" t="str">
        <x:v>QA-ITM-015</x:v>
      </x:c>
      <x:c r="B88" s="9" t="str">
        <x:v>ITM</x:v>
      </x:c>
      <x:c r="C88" s="9" t="str">
        <x:v>Seriales únicos</x:v>
      </x:c>
      <x:c r="D88" s="9" t="str">
        <x:v>P0</x:v>
      </x:c>
      <x:c r="E88" s="9" t="str">
        <x:v>Negativa</x:v>
      </x:c>
      <x:c r="F88" s="9" t="str">
        <x:v>Navegador + HTTP + persistencia</x:v>
      </x:c>
      <x:c r="G88" s="10" t="str">
        <x:v>Pendiente</x:v>
      </x:c>
      <x:c r="H88" s="10"/>
      <x:c r="I88" s="10"/>
      <x:c r="J88" s="10"/>
      <x:c r="K88" s="10"/>
      <x:c r="L88" s="11"/>
      <x:c r="M88" s="12"/>
      <x:c r="N88" s="10"/>
    </x:row>
    <x:row r="89" ht="25" customHeight="1">
      <x:c r="A89" s="9" t="str">
        <x:v>QA-ITM-016</x:v>
      </x:c>
      <x:c r="B89" s="9" t="str">
        <x:v>ITM</x:v>
      </x:c>
      <x:c r="C89" s="9" t="str">
        <x:v>Elegir almacén</x:v>
      </x:c>
      <x:c r="D89" s="9" t="str">
        <x:v>P0</x:v>
      </x:c>
      <x:c r="E89" s="9" t="str">
        <x:v>Seguridad</x:v>
      </x:c>
      <x:c r="F89" s="9" t="str">
        <x:v>Navegador + HTTP + persistencia</x:v>
      </x:c>
      <x:c r="G89" s="10" t="str">
        <x:v>Pendiente</x:v>
      </x:c>
      <x:c r="H89" s="10"/>
      <x:c r="I89" s="10"/>
      <x:c r="J89" s="10"/>
      <x:c r="K89" s="10"/>
      <x:c r="L89" s="11"/>
      <x:c r="M89" s="12"/>
      <x:c r="N89" s="10"/>
    </x:row>
    <x:row r="90" ht="25" customHeight="1">
      <x:c r="A90" s="9" t="str">
        <x:v>QA-ITM-017</x:v>
      </x:c>
      <x:c r="B90" s="9" t="str">
        <x:v>ITM</x:v>
      </x:c>
      <x:c r="C90" s="9" t="str">
        <x:v>Cantidad decimal y precisión</x:v>
      </x:c>
      <x:c r="D90" s="9" t="str">
        <x:v>P1</x:v>
      </x:c>
      <x:c r="E90" s="9" t="str">
        <x:v>Positiva</x:v>
      </x:c>
      <x:c r="F90" s="9" t="str">
        <x:v>Navegador + HTTP + persistencia</x:v>
      </x:c>
      <x:c r="G90" s="10" t="str">
        <x:v>Pendiente</x:v>
      </x:c>
      <x:c r="H90" s="10"/>
      <x:c r="I90" s="10"/>
      <x:c r="J90" s="10"/>
      <x:c r="K90" s="10"/>
      <x:c r="L90" s="11"/>
      <x:c r="M90" s="12"/>
      <x:c r="N90" s="10"/>
    </x:row>
    <x:row r="91" ht="25" customHeight="1">
      <x:c r="A91" s="9" t="str">
        <x:v>QA-ITM-018</x:v>
      </x:c>
      <x:c r="B91" s="9" t="str">
        <x:v>ITM</x:v>
      </x:c>
      <x:c r="C91" s="9" t="str">
        <x:v>Cantidad inválida</x:v>
      </x:c>
      <x:c r="D91" s="9" t="str">
        <x:v>P0</x:v>
      </x:c>
      <x:c r="E91" s="9" t="str">
        <x:v>Negativa</x:v>
      </x:c>
      <x:c r="F91" s="9" t="str">
        <x:v>Navegador + HTTP + persistencia</x:v>
      </x:c>
      <x:c r="G91" s="10" t="str">
        <x:v>Pendiente</x:v>
      </x:c>
      <x:c r="H91" s="10"/>
      <x:c r="I91" s="10"/>
      <x:c r="J91" s="10"/>
      <x:c r="K91" s="10"/>
      <x:c r="L91" s="11"/>
      <x:c r="M91" s="12"/>
      <x:c r="N91" s="10"/>
    </x:row>
    <x:row r="92" ht="25" customHeight="1">
      <x:c r="A92" s="9" t="str">
        <x:v>QA-ITM-019</x:v>
      </x:c>
      <x:c r="B92" s="9" t="str">
        <x:v>ITM</x:v>
      </x:c>
      <x:c r="C92" s="9" t="str">
        <x:v>Precio cero y precio negativo</x:v>
      </x:c>
      <x:c r="D92" s="9" t="str">
        <x:v>P1</x:v>
      </x:c>
      <x:c r="E92" s="9" t="str">
        <x:v>Negativa</x:v>
      </x:c>
      <x:c r="F92" s="9" t="str">
        <x:v>Navegador + HTTP + persistencia</x:v>
      </x:c>
      <x:c r="G92" s="10" t="str">
        <x:v>Pendiente</x:v>
      </x:c>
      <x:c r="H92" s="10"/>
      <x:c r="I92" s="10"/>
      <x:c r="J92" s="10"/>
      <x:c r="K92" s="10"/>
      <x:c r="L92" s="11"/>
      <x:c r="M92" s="12"/>
      <x:c r="N92" s="10"/>
    </x:row>
    <x:row r="93" ht="25" customHeight="1">
      <x:c r="A93" s="9" t="str">
        <x:v>QA-ITM-020</x:v>
      </x:c>
      <x:c r="B93" s="9" t="str">
        <x:v>ITM</x:v>
      </x:c>
      <x:c r="C93" s="9" t="str">
        <x:v>Editar y eliminar línea</x:v>
      </x:c>
      <x:c r="D93" s="9" t="str">
        <x:v>P1</x:v>
      </x:c>
      <x:c r="E93" s="9" t="str">
        <x:v>Positiva</x:v>
      </x:c>
      <x:c r="F93" s="9" t="str">
        <x:v>Navegador + HTTP + persistencia</x:v>
      </x:c>
      <x:c r="G93" s="10" t="str">
        <x:v>Pendiente</x:v>
      </x:c>
      <x:c r="H93" s="10"/>
      <x:c r="I93" s="10"/>
      <x:c r="J93" s="10"/>
      <x:c r="K93" s="10"/>
      <x:c r="L93" s="11"/>
      <x:c r="M93" s="12"/>
      <x:c r="N93" s="10"/>
    </x:row>
    <x:row r="94" ht="25" customHeight="1">
      <x:c r="A94" s="9" t="str">
        <x:v>QA-ITM-021</x:v>
      </x:c>
      <x:c r="B94" s="9" t="str">
        <x:v>ITM</x:v>
      </x:c>
      <x:c r="C94" s="9" t="str">
        <x:v>Descripción comercial para PDF</x:v>
      </x:c>
      <x:c r="D94" s="9" t="str">
        <x:v>P1</x:v>
      </x:c>
      <x:c r="E94" s="9" t="str">
        <x:v>Positiva</x:v>
      </x:c>
      <x:c r="F94" s="9" t="str">
        <x:v>Navegador + HTTP + persistencia</x:v>
      </x:c>
      <x:c r="G94" s="10" t="str">
        <x:v>Pendiente</x:v>
      </x:c>
      <x:c r="H94" s="10"/>
      <x:c r="I94" s="10"/>
      <x:c r="J94" s="10"/>
      <x:c r="K94" s="10"/>
      <x:c r="L94" s="11"/>
      <x:c r="M94" s="12"/>
      <x:c r="N94" s="10"/>
    </x:row>
    <x:row r="95" ht="25" customHeight="1">
      <x:c r="A95" s="9" t="str">
        <x:v>QA-ITM-022</x:v>
      </x:c>
      <x:c r="B95" s="9" t="str">
        <x:v>ITM</x:v>
      </x:c>
      <x:c r="C95" s="9" t="str">
        <x:v>Atributos especiales de línea</x:v>
      </x:c>
      <x:c r="D95" s="9" t="str">
        <x:v>P1</x:v>
      </x:c>
      <x:c r="E95" s="9" t="str">
        <x:v>Positiva</x:v>
      </x:c>
      <x:c r="F95" s="9" t="str">
        <x:v>Navegador + HTTP + persistencia</x:v>
      </x:c>
      <x:c r="G95" s="10" t="str">
        <x:v>Pendiente</x:v>
      </x:c>
      <x:c r="H95" s="10"/>
      <x:c r="I95" s="10"/>
      <x:c r="J95" s="10"/>
      <x:c r="K95" s="10"/>
      <x:c r="L95" s="11"/>
      <x:c r="M95" s="12"/>
      <x:c r="N95" s="10"/>
    </x:row>
    <x:row r="96" ht="25" customHeight="1">
      <x:c r="A96" s="9" t="str">
        <x:v>QA-ITM-023</x:v>
      </x:c>
      <x:c r="B96" s="9" t="str">
        <x:v>ITM</x:v>
      </x:c>
      <x:c r="C96" s="9" t="str">
        <x:v>Producto restringido por comprobante</x:v>
      </x:c>
      <x:c r="D96" s="9" t="str">
        <x:v>P1</x:v>
      </x:c>
      <x:c r="E96" s="9" t="str">
        <x:v>Negativa</x:v>
      </x:c>
      <x:c r="F96" s="9" t="str">
        <x:v>Navegador + HTTP + persistencia</x:v>
      </x:c>
      <x:c r="G96" s="10" t="str">
        <x:v>Pendiente</x:v>
      </x:c>
      <x:c r="H96" s="10"/>
      <x:c r="I96" s="10"/>
      <x:c r="J96" s="10"/>
      <x:c r="K96" s="10"/>
      <x:c r="L96" s="11"/>
      <x:c r="M96" s="12"/>
      <x:c r="N96" s="10"/>
    </x:row>
    <x:row r="97" ht="25" customHeight="1">
      <x:c r="A97" s="9" t="str">
        <x:v>QA-ITM-024</x:v>
      </x:c>
      <x:c r="B97" s="9" t="str">
        <x:v>ITM</x:v>
      </x:c>
      <x:c r="C97" s="9" t="str">
        <x:v>Unidad inactiva o sin equivalencia HKA</x:v>
      </x:c>
      <x:c r="D97" s="9" t="str">
        <x:v>P1</x:v>
      </x:c>
      <x:c r="E97" s="9" t="str">
        <x:v>Negativa</x:v>
      </x:c>
      <x:c r="F97" s="9" t="str">
        <x:v>Navegador + HTTP + persistencia</x:v>
      </x:c>
      <x:c r="G97" s="10" t="str">
        <x:v>Pendiente</x:v>
      </x:c>
      <x:c r="H97" s="10"/>
      <x:c r="I97" s="10"/>
      <x:c r="J97" s="10"/>
      <x:c r="K97" s="10"/>
      <x:c r="L97" s="11"/>
      <x:c r="M97" s="12"/>
      <x:c r="N97" s="10"/>
    </x:row>
    <x:row r="98" ht="25" customHeight="1">
      <x:c r="A98" s="9" t="str">
        <x:v>QA-ITM-025</x:v>
      </x:c>
      <x:c r="B98" s="9" t="str">
        <x:v>ITM</x:v>
      </x:c>
      <x:c r="C98" s="9" t="str">
        <x:v>Producto inexistente o deshabilitado</x:v>
      </x:c>
      <x:c r="D98" s="9" t="str">
        <x:v>P0</x:v>
      </x:c>
      <x:c r="E98" s="9" t="str">
        <x:v>Seguridad</x:v>
      </x:c>
      <x:c r="F98" s="9" t="str">
        <x:v>Navegador + HTTP + persistencia</x:v>
      </x:c>
      <x:c r="G98" s="10" t="str">
        <x:v>Pendiente</x:v>
      </x:c>
      <x:c r="H98" s="10"/>
      <x:c r="I98" s="10"/>
      <x:c r="J98" s="10"/>
      <x:c r="K98" s="10"/>
      <x:c r="L98" s="11"/>
      <x:c r="M98" s="12"/>
      <x:c r="N98" s="10"/>
    </x:row>
    <x:row r="99" ht="25" customHeight="1">
      <x:c r="A99" s="9" t="str">
        <x:v>QA-CAL-001</x:v>
      </x:c>
      <x:c r="B99" s="9" t="str">
        <x:v>CAL</x:v>
      </x:c>
      <x:c r="C99" s="9" t="str">
        <x:v>IVA incluido y no incluido en alta de producto</x:v>
      </x:c>
      <x:c r="D99" s="9" t="str">
        <x:v>P0</x:v>
      </x:c>
      <x:c r="E99" s="9" t="str">
        <x:v>Positiva</x:v>
      </x:c>
      <x:c r="F99" s="9" t="str">
        <x:v>Navegador + HTTP + persistencia</x:v>
      </x:c>
      <x:c r="G99" s="10" t="str">
        <x:v>Pendiente</x:v>
      </x:c>
      <x:c r="H99" s="10"/>
      <x:c r="I99" s="10"/>
      <x:c r="J99" s="10"/>
      <x:c r="K99" s="10"/>
      <x:c r="L99" s="11"/>
      <x:c r="M99" s="12"/>
      <x:c r="N99" s="10"/>
    </x:row>
    <x:row r="100" ht="25" customHeight="1">
      <x:c r="A100" s="9" t="str">
        <x:v>QA-CAL-002</x:v>
      </x:c>
      <x:c r="B100" s="9" t="str">
        <x:v>CAL</x:v>
      </x:c>
      <x:c r="C100" s="9" t="str">
        <x:v>Recalcular totales manipulados</x:v>
      </x:c>
      <x:c r="D100" s="9" t="str">
        <x:v>P0</x:v>
      </x:c>
      <x:c r="E100" s="9" t="str">
        <x:v>Seguridad</x:v>
      </x:c>
      <x:c r="F100" s="9" t="str">
        <x:v>Navegador + HTTP + persistencia</x:v>
      </x:c>
      <x:c r="G100" s="10" t="str">
        <x:v>Pendiente</x:v>
      </x:c>
      <x:c r="H100" s="10"/>
      <x:c r="I100" s="10"/>
      <x:c r="J100" s="10"/>
      <x:c r="K100" s="10"/>
      <x:c r="L100" s="11"/>
      <x:c r="M100" s="12"/>
      <x:c r="N100" s="10"/>
    </x:row>
    <x:row r="101" ht="25" customHeight="1">
      <x:c r="A101" s="9" t="str">
        <x:v>QA-CAL-003</x:v>
      </x:c>
      <x:c r="B101" s="9" t="str">
        <x:v>CAL</x:v>
      </x:c>
      <x:c r="C101" s="9" t="str">
        <x:v>IVA configurado distinto al defecto</x:v>
      </x:c>
      <x:c r="D101" s="9" t="str">
        <x:v>P1</x:v>
      </x:c>
      <x:c r="E101" s="9" t="str">
        <x:v>Positiva</x:v>
      </x:c>
      <x:c r="F101" s="9" t="str">
        <x:v>Navegador + HTTP + persistencia</x:v>
      </x:c>
      <x:c r="G101" s="10" t="str">
        <x:v>Pendiente</x:v>
      </x:c>
      <x:c r="H101" s="10"/>
      <x:c r="I101" s="10"/>
      <x:c r="J101" s="10"/>
      <x:c r="K101" s="10"/>
      <x:c r="L101" s="11"/>
      <x:c r="M101" s="12"/>
      <x:c r="N101" s="10"/>
    </x:row>
    <x:row r="102" ht="25" customHeight="1">
      <x:c r="A102" s="9" t="str">
        <x:v>QA-CAL-004</x:v>
      </x:c>
      <x:c r="B102" s="9" t="str">
        <x:v>CAL</x:v>
      </x:c>
      <x:c r="C102" s="9" t="str">
        <x:v>Exento permanece a cero</x:v>
      </x:c>
      <x:c r="D102" s="9" t="str">
        <x:v>P1</x:v>
      </x:c>
      <x:c r="E102" s="9" t="str">
        <x:v>Positiva</x:v>
      </x:c>
      <x:c r="F102" s="9" t="str">
        <x:v>Navegador + HTTP + persistencia</x:v>
      </x:c>
      <x:c r="G102" s="10" t="str">
        <x:v>Pendiente</x:v>
      </x:c>
      <x:c r="H102" s="10"/>
      <x:c r="I102" s="10"/>
      <x:c r="J102" s="10"/>
      <x:c r="K102" s="10"/>
      <x:c r="L102" s="11"/>
      <x:c r="M102" s="12"/>
      <x:c r="N102" s="10"/>
    </x:row>
    <x:row r="103" ht="25" customHeight="1">
      <x:c r="A103" s="9" t="str">
        <x:v>QA-CAL-005</x:v>
      </x:c>
      <x:c r="B103" s="9" t="str">
        <x:v>CAL</x:v>
      </x:c>
      <x:c r="C103" s="9" t="str">
        <x:v>Afectaciones retiradas</x:v>
      </x:c>
      <x:c r="D103" s="9" t="str">
        <x:v>P0</x:v>
      </x:c>
      <x:c r="E103" s="9" t="str">
        <x:v>Negativa</x:v>
      </x:c>
      <x:c r="F103" s="9" t="str">
        <x:v>Navegador + HTTP + persistencia</x:v>
      </x:c>
      <x:c r="G103" s="10" t="str">
        <x:v>Pendiente</x:v>
      </x:c>
      <x:c r="H103" s="10"/>
      <x:c r="I103" s="10"/>
      <x:c r="J103" s="10"/>
      <x:c r="K103" s="10"/>
      <x:c r="L103" s="11"/>
      <x:c r="M103" s="12"/>
      <x:c r="N103" s="10"/>
    </x:row>
    <x:row r="104" ht="25" customHeight="1">
      <x:c r="A104" s="9" t="str">
        <x:v>QA-CAL-006</x:v>
      </x:c>
      <x:c r="B104" s="9" t="str">
        <x:v>CAL</x:v>
      </x:c>
      <x:c r="C104" s="9" t="str">
        <x:v>Descuento de línea sobre base</x:v>
      </x:c>
      <x:c r="D104" s="9" t="str">
        <x:v>P0</x:v>
      </x:c>
      <x:c r="E104" s="9" t="str">
        <x:v>Positiva</x:v>
      </x:c>
      <x:c r="F104" s="9" t="str">
        <x:v>Navegador + HTTP + persistencia</x:v>
      </x:c>
      <x:c r="G104" s="10" t="str">
        <x:v>Pendiente</x:v>
      </x:c>
      <x:c r="H104" s="10"/>
      <x:c r="I104" s="10"/>
      <x:c r="J104" s="10"/>
      <x:c r="K104" s="10"/>
      <x:c r="L104" s="11"/>
      <x:c r="M104" s="12"/>
      <x:c r="N104" s="10"/>
    </x:row>
    <x:row r="105" ht="25" customHeight="1">
      <x:c r="A105" s="9" t="str">
        <x:v>QA-CAL-007</x:v>
      </x:c>
      <x:c r="B105" s="9" t="str">
        <x:v>CAL</x:v>
      </x:c>
      <x:c r="C105" s="9" t="str">
        <x:v>Descuento de línea por importe</x:v>
      </x:c>
      <x:c r="D105" s="9" t="str">
        <x:v>P1</x:v>
      </x:c>
      <x:c r="E105" s="9" t="str">
        <x:v>Positiva</x:v>
      </x:c>
      <x:c r="F105" s="9" t="str">
        <x:v>Navegador + HTTP + persistencia</x:v>
      </x:c>
      <x:c r="G105" s="10" t="str">
        <x:v>Pendiente</x:v>
      </x:c>
      <x:c r="H105" s="10"/>
      <x:c r="I105" s="10"/>
      <x:c r="J105" s="10"/>
      <x:c r="K105" s="10"/>
      <x:c r="L105" s="11"/>
      <x:c r="M105" s="12"/>
      <x:c r="N105" s="10"/>
    </x:row>
    <x:row r="106" ht="25" customHeight="1">
      <x:c r="A106" s="9" t="str">
        <x:v>QA-CAL-008</x:v>
      </x:c>
      <x:c r="B106" s="9" t="str">
        <x:v>CAL</x:v>
      </x:c>
      <x:c r="C106" s="9" t="str">
        <x:v>Descuento sin afectar base</x:v>
      </x:c>
      <x:c r="D106" s="9" t="str">
        <x:v>P1</x:v>
      </x:c>
      <x:c r="E106" s="9" t="str">
        <x:v>Positiva</x:v>
      </x:c>
      <x:c r="F106" s="9" t="str">
        <x:v>Navegador + HTTP + persistencia</x:v>
      </x:c>
      <x:c r="G106" s="10" t="str">
        <x:v>Pendiente</x:v>
      </x:c>
      <x:c r="H106" s="10"/>
      <x:c r="I106" s="10"/>
      <x:c r="J106" s="10"/>
      <x:c r="K106" s="10"/>
      <x:c r="L106" s="11"/>
      <x:c r="M106" s="12"/>
      <x:c r="N106" s="10"/>
    </x:row>
    <x:row r="107" ht="25" customHeight="1">
      <x:c r="A107" s="9" t="str">
        <x:v>QA-CAL-009</x:v>
      </x:c>
      <x:c r="B107" s="9" t="str">
        <x:v>CAL</x:v>
      </x:c>
      <x:c r="C107" s="9" t="str">
        <x:v>Descuento global gravado</x:v>
      </x:c>
      <x:c r="D107" s="9" t="str">
        <x:v>P0</x:v>
      </x:c>
      <x:c r="E107" s="9" t="str">
        <x:v>Positiva</x:v>
      </x:c>
      <x:c r="F107" s="9" t="str">
        <x:v>Navegador + HTTP + persistencia</x:v>
      </x:c>
      <x:c r="G107" s="10" t="str">
        <x:v>Pendiente</x:v>
      </x:c>
      <x:c r="H107" s="10"/>
      <x:c r="I107" s="10"/>
      <x:c r="J107" s="10"/>
      <x:c r="K107" s="10"/>
      <x:c r="L107" s="11"/>
      <x:c r="M107" s="12"/>
      <x:c r="N107" s="10"/>
    </x:row>
    <x:row r="108" ht="25" customHeight="1">
      <x:c r="A108" s="9" t="str">
        <x:v>QA-CAL-010</x:v>
      </x:c>
      <x:c r="B108" s="9" t="str">
        <x:v>CAL</x:v>
      </x:c>
      <x:c r="C108" s="9" t="str">
        <x:v>Descuento global exento</x:v>
      </x:c>
      <x:c r="D108" s="9" t="str">
        <x:v>P1</x:v>
      </x:c>
      <x:c r="E108" s="9" t="str">
        <x:v>Positiva</x:v>
      </x:c>
      <x:c r="F108" s="9" t="str">
        <x:v>Navegador + HTTP + persistencia</x:v>
      </x:c>
      <x:c r="G108" s="10" t="str">
        <x:v>Pendiente</x:v>
      </x:c>
      <x:c r="H108" s="10"/>
      <x:c r="I108" s="10"/>
      <x:c r="J108" s="10"/>
      <x:c r="K108" s="10"/>
      <x:c r="L108" s="11"/>
      <x:c r="M108" s="12"/>
      <x:c r="N108" s="10"/>
    </x:row>
    <x:row r="109" ht="25" customHeight="1">
      <x:c r="A109" s="9" t="str">
        <x:v>QA-CAL-011</x:v>
      </x:c>
      <x:c r="B109" s="9" t="str">
        <x:v>CAL</x:v>
      </x:c>
      <x:c r="C109" s="9" t="str">
        <x:v>Factura mixta con global</x:v>
      </x:c>
      <x:c r="D109" s="9" t="str">
        <x:v>P0</x:v>
      </x:c>
      <x:c r="E109" s="9" t="str">
        <x:v>Positiva</x:v>
      </x:c>
      <x:c r="F109" s="9" t="str">
        <x:v>Navegador + HTTP + persistencia</x:v>
      </x:c>
      <x:c r="G109" s="10" t="str">
        <x:v>Pendiente</x:v>
      </x:c>
      <x:c r="H109" s="10"/>
      <x:c r="I109" s="10"/>
      <x:c r="J109" s="10"/>
      <x:c r="K109" s="10"/>
      <x:c r="L109" s="11"/>
      <x:c r="M109" s="12"/>
      <x:c r="N109" s="10"/>
    </x:row>
    <x:row r="110" ht="25" customHeight="1">
      <x:c r="A110" s="9" t="str">
        <x:v>QA-CAL-012</x:v>
      </x:c>
      <x:c r="B110" s="9" t="str">
        <x:v>CAL</x:v>
      </x:c>
      <x:c r="C110" s="9" t="str">
        <x:v>Descuentos inválidos</x:v>
      </x:c>
      <x:c r="D110" s="9" t="str">
        <x:v>P0</x:v>
      </x:c>
      <x:c r="E110" s="9" t="str">
        <x:v>Negativa</x:v>
      </x:c>
      <x:c r="F110" s="9" t="str">
        <x:v>Navegador + HTTP + persistencia</x:v>
      </x:c>
      <x:c r="G110" s="10" t="str">
        <x:v>Pendiente</x:v>
      </x:c>
      <x:c r="H110" s="10"/>
      <x:c r="I110" s="10"/>
      <x:c r="J110" s="10"/>
      <x:c r="K110" s="10"/>
      <x:c r="L110" s="11"/>
      <x:c r="M110" s="12"/>
      <x:c r="N110" s="10"/>
    </x:row>
    <x:row r="111" ht="25" customHeight="1">
      <x:c r="A111" s="9" t="str">
        <x:v>QA-CAL-013</x:v>
      </x:c>
      <x:c r="B111" s="9" t="str">
        <x:v>CAL</x:v>
      </x:c>
      <x:c r="C111" s="9" t="str">
        <x:v>Cargos de línea</x:v>
      </x:c>
      <x:c r="D111" s="9" t="str">
        <x:v>P1</x:v>
      </x:c>
      <x:c r="E111" s="9" t="str">
        <x:v>Positiva</x:v>
      </x:c>
      <x:c r="F111" s="9" t="str">
        <x:v>Navegador + HTTP + persistencia</x:v>
      </x:c>
      <x:c r="G111" s="10" t="str">
        <x:v>Pendiente</x:v>
      </x:c>
      <x:c r="H111" s="10"/>
      <x:c r="I111" s="10"/>
      <x:c r="J111" s="10"/>
      <x:c r="K111" s="10"/>
      <x:c r="L111" s="11"/>
      <x:c r="M111" s="12"/>
      <x:c r="N111" s="10"/>
    </x:row>
    <x:row r="112" ht="25" customHeight="1">
      <x:c r="A112" s="9" t="str">
        <x:v>QA-CAL-014</x:v>
      </x:c>
      <x:c r="B112" s="9" t="str">
        <x:v>CAL</x:v>
      </x:c>
      <x:c r="C112" s="9" t="str">
        <x:v>Cargos globales</x:v>
      </x:c>
      <x:c r="D112" s="9" t="str">
        <x:v>P1</x:v>
      </x:c>
      <x:c r="E112" s="9" t="str">
        <x:v>Positiva</x:v>
      </x:c>
      <x:c r="F112" s="9" t="str">
        <x:v>Navegador + HTTP + persistencia</x:v>
      </x:c>
      <x:c r="G112" s="10" t="str">
        <x:v>Pendiente</x:v>
      </x:c>
      <x:c r="H112" s="10"/>
      <x:c r="I112" s="10"/>
      <x:c r="J112" s="10"/>
      <x:c r="K112" s="10"/>
      <x:c r="L112" s="11"/>
      <x:c r="M112" s="12"/>
      <x:c r="N112" s="10"/>
    </x:row>
    <x:row r="113" ht="25" customHeight="1">
      <x:c r="A113" s="9" t="str">
        <x:v>QA-CAL-015</x:v>
      </x:c>
      <x:c r="B113" s="9" t="str">
        <x:v>CAL</x:v>
      </x:c>
      <x:c r="C113" s="9" t="str">
        <x:v>Todos los tipos de descuentos y cargos</x:v>
      </x:c>
      <x:c r="D113" s="9" t="str">
        <x:v>P1</x:v>
      </x:c>
      <x:c r="E113" s="9" t="str">
        <x:v>Positiva</x:v>
      </x:c>
      <x:c r="F113" s="9" t="str">
        <x:v>Navegador + HTTP + persistencia</x:v>
      </x:c>
      <x:c r="G113" s="10" t="str">
        <x:v>Pendiente</x:v>
      </x:c>
      <x:c r="H113" s="10"/>
      <x:c r="I113" s="10"/>
      <x:c r="J113" s="10"/>
      <x:c r="K113" s="10"/>
      <x:c r="L113" s="11"/>
      <x:c r="M113" s="12"/>
      <x:c r="N113" s="10"/>
    </x:row>
    <x:row r="114" ht="25" customHeight="1">
      <x:c r="A114" s="9" t="str">
        <x:v>QA-CAL-016</x:v>
      </x:c>
      <x:c r="B114" s="9" t="str">
        <x:v>CAL</x:v>
      </x:c>
      <x:c r="C114" s="9" t="str">
        <x:v>Otros impuestos identificados</x:v>
      </x:c>
      <x:c r="D114" s="9" t="str">
        <x:v>P1</x:v>
      </x:c>
      <x:c r="E114" s="9" t="str">
        <x:v>Negativa</x:v>
      </x:c>
      <x:c r="F114" s="9" t="str">
        <x:v>Navegador + HTTP + persistencia</x:v>
      </x:c>
      <x:c r="G114" s="10" t="str">
        <x:v>Pendiente</x:v>
      </x:c>
      <x:c r="H114" s="10"/>
      <x:c r="I114" s="10"/>
      <x:c r="J114" s="10"/>
      <x:c r="K114" s="10"/>
      <x:c r="L114" s="11"/>
      <x:c r="M114" s="12"/>
      <x:c r="N114" s="10"/>
    </x:row>
    <x:row r="115" ht="25" customHeight="1">
      <x:c r="A115" s="9" t="str">
        <x:v>QA-CAL-017</x:v>
      </x:c>
      <x:c r="B115" s="9" t="str">
        <x:v>CAL</x:v>
      </x:c>
      <x:c r="C115" s="9" t="str">
        <x:v>Redondeo de líneas</x:v>
      </x:c>
      <x:c r="D115" s="9" t="str">
        <x:v>P0</x:v>
      </x:c>
      <x:c r="E115" s="9" t="str">
        <x:v>Positiva</x:v>
      </x:c>
      <x:c r="F115" s="9" t="str">
        <x:v>Navegador + HTTP + persistencia</x:v>
      </x:c>
      <x:c r="G115" s="10" t="str">
        <x:v>Pendiente</x:v>
      </x:c>
      <x:c r="H115" s="10"/>
      <x:c r="I115" s="10"/>
      <x:c r="J115" s="10"/>
      <x:c r="K115" s="10"/>
      <x:c r="L115" s="11"/>
      <x:c r="M115" s="12"/>
      <x:c r="N115" s="10"/>
    </x:row>
    <x:row r="116" ht="25" customHeight="1">
      <x:c r="A116" s="9" t="str">
        <x:v>QA-CAL-018</x:v>
      </x:c>
      <x:c r="B116" s="9" t="str">
        <x:v>CAL</x:v>
      </x:c>
      <x:c r="C116" s="9" t="str">
        <x:v>Descuento con redondeo distribuido</x:v>
      </x:c>
      <x:c r="D116" s="9" t="str">
        <x:v>P0</x:v>
      </x:c>
      <x:c r="E116" s="9" t="str">
        <x:v>Positiva</x:v>
      </x:c>
      <x:c r="F116" s="9" t="str">
        <x:v>Navegador + HTTP + persistencia</x:v>
      </x:c>
      <x:c r="G116" s="10" t="str">
        <x:v>Pendiente</x:v>
      </x:c>
      <x:c r="H116" s="10"/>
      <x:c r="I116" s="10"/>
      <x:c r="J116" s="10"/>
      <x:c r="K116" s="10"/>
      <x:c r="L116" s="11"/>
      <x:c r="M116" s="12"/>
      <x:c r="N116" s="10"/>
    </x:row>
    <x:row r="117" ht="25" customHeight="1">
      <x:c r="A117" s="9" t="str">
        <x:v>QA-CAL-019</x:v>
      </x:c>
      <x:c r="B117" s="9" t="str">
        <x:v>CAL</x:v>
      </x:c>
      <x:c r="C117" s="9" t="str">
        <x:v>Total en letras y equivalentes</x:v>
      </x:c>
      <x:c r="D117" s="9" t="str">
        <x:v>P1</x:v>
      </x:c>
      <x:c r="E117" s="9" t="str">
        <x:v>Positiva</x:v>
      </x:c>
      <x:c r="F117" s="9" t="str">
        <x:v>Navegador + HTTP + persistencia</x:v>
      </x:c>
      <x:c r="G117" s="10" t="str">
        <x:v>Pendiente</x:v>
      </x:c>
      <x:c r="H117" s="10"/>
      <x:c r="I117" s="10"/>
      <x:c r="J117" s="10"/>
      <x:c r="K117" s="10"/>
      <x:c r="L117" s="11"/>
      <x:c r="M117" s="12"/>
      <x:c r="N117" s="10"/>
    </x:row>
    <x:row r="118" ht="25" customHeight="1">
      <x:c r="A118" s="9" t="str">
        <x:v>QA-FAC-001</x:v>
      </x:c>
      <x:c r="B118" s="9" t="str">
        <x:v>FAC</x:v>
      </x:c>
      <x:c r="C118" s="9" t="str">
        <x:v>Venta de contado pagada completamente</x:v>
      </x:c>
      <x:c r="D118" s="9" t="str">
        <x:v>P0</x:v>
      </x:c>
      <x:c r="E118" s="9" t="str">
        <x:v>Positiva</x:v>
      </x:c>
      <x:c r="F118" s="9" t="str">
        <x:v>Navegador + HTTP + persistencia</x:v>
      </x:c>
      <x:c r="G118" s="10" t="str">
        <x:v>Pendiente</x:v>
      </x:c>
      <x:c r="H118" s="10"/>
      <x:c r="I118" s="10"/>
      <x:c r="J118" s="10"/>
      <x:c r="K118" s="10"/>
      <x:c r="L118" s="11"/>
      <x:c r="M118" s="12"/>
      <x:c r="N118" s="10"/>
    </x:row>
    <x:row r="119" ht="25" customHeight="1">
      <x:c r="A119" s="9" t="str">
        <x:v>QA-FAC-002</x:v>
      </x:c>
      <x:c r="B119" s="9" t="str">
        <x:v>FAC</x:v>
      </x:c>
      <x:c r="C119" s="9" t="str">
        <x:v>Contado con varios medios</x:v>
      </x:c>
      <x:c r="D119" s="9" t="str">
        <x:v>P0</x:v>
      </x:c>
      <x:c r="E119" s="9" t="str">
        <x:v>Positiva</x:v>
      </x:c>
      <x:c r="F119" s="9" t="str">
        <x:v>Navegador + HTTP + persistencia</x:v>
      </x:c>
      <x:c r="G119" s="10" t="str">
        <x:v>Pendiente</x:v>
      </x:c>
      <x:c r="H119" s="10"/>
      <x:c r="I119" s="10"/>
      <x:c r="J119" s="10"/>
      <x:c r="K119" s="10"/>
      <x:c r="L119" s="11"/>
      <x:c r="M119" s="12"/>
      <x:c r="N119" s="10"/>
    </x:row>
    <x:row r="120" ht="25" customHeight="1">
      <x:c r="A120" s="9" t="str">
        <x:v>QA-FAC-003</x:v>
      </x:c>
      <x:c r="B120" s="9" t="str">
        <x:v>FAC</x:v>
      </x:c>
      <x:c r="C120" s="9" t="str">
        <x:v>Contado parcial o sin cobro</x:v>
      </x:c>
      <x:c r="D120" s="9" t="str">
        <x:v>P1</x:v>
      </x:c>
      <x:c r="E120" s="9" t="str">
        <x:v>Positiva</x:v>
      </x:c>
      <x:c r="F120" s="9" t="str">
        <x:v>Navegador + HTTP + persistencia</x:v>
      </x:c>
      <x:c r="G120" s="10" t="str">
        <x:v>Pendiente</x:v>
      </x:c>
      <x:c r="H120" s="10"/>
      <x:c r="I120" s="10"/>
      <x:c r="J120" s="10"/>
      <x:c r="K120" s="10"/>
      <x:c r="L120" s="11"/>
      <x:c r="M120" s="12"/>
      <x:c r="N120" s="10"/>
    </x:row>
    <x:row r="121" ht="25" customHeight="1">
      <x:c r="A121" s="9" t="str">
        <x:v>QA-FAC-004</x:v>
      </x:c>
      <x:c r="B121" s="9" t="str">
        <x:v>FAC</x:v>
      </x:c>
      <x:c r="C121" s="9" t="str">
        <x:v>Crédito sin pagos</x:v>
      </x:c>
      <x:c r="D121" s="9" t="str">
        <x:v>P0</x:v>
      </x:c>
      <x:c r="E121" s="9" t="str">
        <x:v>Positiva</x:v>
      </x:c>
      <x:c r="F121" s="9" t="str">
        <x:v>Navegador + HTTP + persistencia</x:v>
      </x:c>
      <x:c r="G121" s="10" t="str">
        <x:v>Pendiente</x:v>
      </x:c>
      <x:c r="H121" s="10"/>
      <x:c r="I121" s="10"/>
      <x:c r="J121" s="10"/>
      <x:c r="K121" s="10"/>
      <x:c r="L121" s="11"/>
      <x:c r="M121" s="12"/>
      <x:c r="N121" s="10"/>
    </x:row>
    <x:row r="122" ht="25" customHeight="1">
      <x:c r="A122" s="9" t="str">
        <x:v>QA-FAC-005</x:v>
      </x:c>
      <x:c r="B122" s="9" t="str">
        <x:v>FAC</x:v>
      </x:c>
      <x:c r="C122" s="9" t="str">
        <x:v>Crédito con inicial</x:v>
      </x:c>
      <x:c r="D122" s="9" t="str">
        <x:v>P1</x:v>
      </x:c>
      <x:c r="E122" s="9" t="str">
        <x:v>Positiva</x:v>
      </x:c>
      <x:c r="F122" s="9" t="str">
        <x:v>Navegador + HTTP + persistencia</x:v>
      </x:c>
      <x:c r="G122" s="10" t="str">
        <x:v>Pendiente</x:v>
      </x:c>
      <x:c r="H122" s="10"/>
      <x:c r="I122" s="10"/>
      <x:c r="J122" s="10"/>
      <x:c r="K122" s="10"/>
      <x:c r="L122" s="11"/>
      <x:c r="M122" s="12"/>
      <x:c r="N122" s="10"/>
    </x:row>
    <x:row r="123" ht="25" customHeight="1">
      <x:c r="A123" s="9" t="str">
        <x:v>QA-FAC-006</x:v>
      </x:c>
      <x:c r="B123" s="9" t="str">
        <x:v>FAC</x:v>
      </x:c>
      <x:c r="C123" s="9" t="str">
        <x:v>Crédito con cuotas</x:v>
      </x:c>
      <x:c r="D123" s="9" t="str">
        <x:v>P1</x:v>
      </x:c>
      <x:c r="E123" s="9" t="str">
        <x:v>Positiva</x:v>
      </x:c>
      <x:c r="F123" s="9" t="str">
        <x:v>Navegador + HTTP + persistencia</x:v>
      </x:c>
      <x:c r="G123" s="10" t="str">
        <x:v>Pendiente</x:v>
      </x:c>
      <x:c r="H123" s="10"/>
      <x:c r="I123" s="10"/>
      <x:c r="J123" s="10"/>
      <x:c r="K123" s="10"/>
      <x:c r="L123" s="11"/>
      <x:c r="M123" s="12"/>
      <x:c r="N123" s="10"/>
    </x:row>
    <x:row r="124" ht="25" customHeight="1">
      <x:c r="A124" s="9" t="str">
        <x:v>QA-FAC-007</x:v>
      </x:c>
      <x:c r="B124" s="9" t="str">
        <x:v>FAC</x:v>
      </x:c>
      <x:c r="C124" s="9" t="str">
        <x:v>Cuotas inválidas</x:v>
      </x:c>
      <x:c r="D124" s="9" t="str">
        <x:v>P1</x:v>
      </x:c>
      <x:c r="E124" s="9" t="str">
        <x:v>Negativa</x:v>
      </x:c>
      <x:c r="F124" s="9" t="str">
        <x:v>Navegador + HTTP + persistencia</x:v>
      </x:c>
      <x:c r="G124" s="10" t="str">
        <x:v>Pendiente</x:v>
      </x:c>
      <x:c r="H124" s="10"/>
      <x:c r="I124" s="10"/>
      <x:c r="J124" s="10"/>
      <x:c r="K124" s="10"/>
      <x:c r="L124" s="11"/>
      <x:c r="M124" s="12"/>
      <x:c r="N124" s="10"/>
    </x:row>
    <x:row r="125" ht="25" customHeight="1">
      <x:c r="A125" s="9" t="str">
        <x:v>QA-FAC-008</x:v>
      </x:c>
      <x:c r="B125" s="9" t="str">
        <x:v>FAC</x:v>
      </x:c>
      <x:c r="C125" s="9" t="str">
        <x:v>Cliente con crédito vencido</x:v>
      </x:c>
      <x:c r="D125" s="9" t="str">
        <x:v>P1</x:v>
      </x:c>
      <x:c r="E125" s="9" t="str">
        <x:v>Positiva</x:v>
      </x:c>
      <x:c r="F125" s="9" t="str">
        <x:v>Navegador + HTTP + persistencia</x:v>
      </x:c>
      <x:c r="G125" s="10" t="str">
        <x:v>Pendiente</x:v>
      </x:c>
      <x:c r="H125" s="10"/>
      <x:c r="I125" s="10"/>
      <x:c r="J125" s="10"/>
      <x:c r="K125" s="10"/>
      <x:c r="L125" s="11"/>
      <x:c r="M125" s="12"/>
      <x:c r="N125" s="10"/>
    </x:row>
    <x:row r="126" ht="25" customHeight="1">
      <x:c r="A126" s="9" t="str">
        <x:v>QA-FAC-009</x:v>
      </x:c>
      <x:c r="B126" s="9" t="str">
        <x:v>FAC</x:v>
      </x:c>
      <x:c r="C126" s="9" t="str">
        <x:v>Caja cerrada al entrar</x:v>
      </x:c>
      <x:c r="D126" s="9" t="str">
        <x:v>P0</x:v>
      </x:c>
      <x:c r="E126" s="9" t="str">
        <x:v>Negativa</x:v>
      </x:c>
      <x:c r="F126" s="9" t="str">
        <x:v>Navegador + HTTP + persistencia</x:v>
      </x:c>
      <x:c r="G126" s="10" t="str">
        <x:v>Pendiente</x:v>
      </x:c>
      <x:c r="H126" s="10"/>
      <x:c r="I126" s="10"/>
      <x:c r="J126" s="10"/>
      <x:c r="K126" s="10"/>
      <x:c r="L126" s="11"/>
      <x:c r="M126" s="12"/>
      <x:c r="N126" s="10"/>
    </x:row>
    <x:row r="127" ht="25" customHeight="1">
      <x:c r="A127" s="9" t="str">
        <x:v>QA-FAC-010</x:v>
      </x:c>
      <x:c r="B127" s="9" t="str">
        <x:v>FAC</x:v>
      </x:c>
      <x:c r="C127" s="9" t="str">
        <x:v>Caja cerrada durante el borrador</x:v>
      </x:c>
      <x:c r="D127" s="9" t="str">
        <x:v>P0</x:v>
      </x:c>
      <x:c r="E127" s="9" t="str">
        <x:v>Concurrencia</x:v>
      </x:c>
      <x:c r="F127" s="9" t="str">
        <x:v>Navegador + HTTP + persistencia</x:v>
      </x:c>
      <x:c r="G127" s="10" t="str">
        <x:v>Pendiente</x:v>
      </x:c>
      <x:c r="H127" s="10"/>
      <x:c r="I127" s="10"/>
      <x:c r="J127" s="10"/>
      <x:c r="K127" s="10"/>
      <x:c r="L127" s="11"/>
      <x:c r="M127" s="12"/>
      <x:c r="N127" s="10"/>
    </x:row>
    <x:row r="128" ht="25" customHeight="1">
      <x:c r="A128" s="9" t="str">
        <x:v>QA-FAC-011</x:v>
      </x:c>
      <x:c r="B128" s="9" t="str">
        <x:v>FAC</x:v>
      </x:c>
      <x:c r="C128" s="9" t="str">
        <x:v>Cancelar borrador</x:v>
      </x:c>
      <x:c r="D128" s="9" t="str">
        <x:v>P1</x:v>
      </x:c>
      <x:c r="E128" s="9" t="str">
        <x:v>Positiva</x:v>
      </x:c>
      <x:c r="F128" s="9" t="str">
        <x:v>Navegador + HTTP + persistencia</x:v>
      </x:c>
      <x:c r="G128" s="10" t="str">
        <x:v>Pendiente</x:v>
      </x:c>
      <x:c r="H128" s="10"/>
      <x:c r="I128" s="10"/>
      <x:c r="J128" s="10"/>
      <x:c r="K128" s="10"/>
      <x:c r="L128" s="11"/>
      <x:c r="M128" s="12"/>
      <x:c r="N128" s="10"/>
    </x:row>
    <x:row r="129" ht="25" customHeight="1">
      <x:c r="A129" s="9" t="str">
        <x:v>QA-FAC-012</x:v>
      </x:c>
      <x:c r="B129" s="9" t="str">
        <x:v>FAC</x:v>
      </x:c>
      <x:c r="C129" s="9" t="str">
        <x:v>Nueva factura después de generar</x:v>
      </x:c>
      <x:c r="D129" s="9" t="str">
        <x:v>P1</x:v>
      </x:c>
      <x:c r="E129" s="9" t="str">
        <x:v>Positiva</x:v>
      </x:c>
      <x:c r="F129" s="9" t="str">
        <x:v>Navegador + HTTP + persistencia</x:v>
      </x:c>
      <x:c r="G129" s="10" t="str">
        <x:v>Pendiente</x:v>
      </x:c>
      <x:c r="H129" s="10"/>
      <x:c r="I129" s="10"/>
      <x:c r="J129" s="10"/>
      <x:c r="K129" s="10"/>
      <x:c r="L129" s="11"/>
      <x:c r="M129" s="12"/>
      <x:c r="N129" s="10"/>
    </x:row>
    <x:row r="130" ht="25" customHeight="1">
      <x:c r="A130" s="9" t="str">
        <x:v>QA-FAC-013</x:v>
      </x:c>
      <x:c r="B130" s="9" t="str">
        <x:v>FAC</x:v>
      </x:c>
      <x:c r="C130" s="9" t="str">
        <x:v>Doble clic Generar</x:v>
      </x:c>
      <x:c r="D130" s="9" t="str">
        <x:v>P0</x:v>
      </x:c>
      <x:c r="E130" s="9" t="str">
        <x:v>Concurrencia</x:v>
      </x:c>
      <x:c r="F130" s="9" t="str">
        <x:v>Navegador + HTTP + persistencia</x:v>
      </x:c>
      <x:c r="G130" s="10" t="str">
        <x:v>Pendiente</x:v>
      </x:c>
      <x:c r="H130" s="10"/>
      <x:c r="I130" s="10"/>
      <x:c r="J130" s="10"/>
      <x:c r="K130" s="10"/>
      <x:c r="L130" s="11"/>
      <x:c r="M130" s="12"/>
      <x:c r="N130" s="10"/>
    </x:row>
    <x:row r="131" ht="25" customHeight="1">
      <x:c r="A131" s="9" t="str">
        <x:v>QA-FAC-014</x:v>
      </x:c>
      <x:c r="B131" s="9" t="str">
        <x:v>FAC</x:v>
      </x:c>
      <x:c r="C131" s="9" t="str">
        <x:v>Pérdida de respuesta de creación</x:v>
      </x:c>
      <x:c r="D131" s="9" t="str">
        <x:v>P0</x:v>
      </x:c>
      <x:c r="E131" s="9" t="str">
        <x:v>Concurrencia</x:v>
      </x:c>
      <x:c r="F131" s="9" t="str">
        <x:v>Navegador + HTTP + persistencia</x:v>
      </x:c>
      <x:c r="G131" s="10" t="str">
        <x:v>Pendiente</x:v>
      </x:c>
      <x:c r="H131" s="10"/>
      <x:c r="I131" s="10"/>
      <x:c r="J131" s="10"/>
      <x:c r="K131" s="10"/>
      <x:c r="L131" s="11"/>
      <x:c r="M131" s="12"/>
      <x:c r="N131" s="10"/>
    </x:row>
    <x:row r="132" ht="25" customHeight="1">
      <x:c r="A132" s="9" t="str">
        <x:v>QA-FAC-015</x:v>
      </x:c>
      <x:c r="B132" s="9" t="str">
        <x:v>FAC</x:v>
      </x:c>
      <x:c r="C132" s="9" t="str">
        <x:v>Límites del plan y tenant bloqueado</x:v>
      </x:c>
      <x:c r="D132" s="9" t="str">
        <x:v>P1</x:v>
      </x:c>
      <x:c r="E132" s="9" t="str">
        <x:v>Negativa</x:v>
      </x:c>
      <x:c r="F132" s="9" t="str">
        <x:v>Navegador + HTTP + persistencia</x:v>
      </x:c>
      <x:c r="G132" s="10" t="str">
        <x:v>Pendiente</x:v>
      </x:c>
      <x:c r="H132" s="10"/>
      <x:c r="I132" s="10"/>
      <x:c r="J132" s="10"/>
      <x:c r="K132" s="10"/>
      <x:c r="L132" s="11"/>
      <x:c r="M132" s="12"/>
      <x:c r="N132" s="10"/>
    </x:row>
    <x:row r="133" ht="25" customHeight="1">
      <x:c r="A133" s="9" t="str">
        <x:v>QA-FAC-016</x:v>
      </x:c>
      <x:c r="B133" s="9" t="str">
        <x:v>FAC</x:v>
      </x:c>
      <x:c r="C133" s="9" t="str">
        <x:v>Emisor conservado</x:v>
      </x:c>
      <x:c r="D133" s="9" t="str">
        <x:v>P0</x:v>
      </x:c>
      <x:c r="E133" s="9" t="str">
        <x:v>Positiva</x:v>
      </x:c>
      <x:c r="F133" s="9" t="str">
        <x:v>Navegador + HTTP + persistencia</x:v>
      </x:c>
      <x:c r="G133" s="10" t="str">
        <x:v>Pendiente</x:v>
      </x:c>
      <x:c r="H133" s="10"/>
      <x:c r="I133" s="10"/>
      <x:c r="J133" s="10"/>
      <x:c r="K133" s="10"/>
      <x:c r="L133" s="11"/>
      <x:c r="M133" s="12"/>
      <x:c r="N133" s="10"/>
    </x:row>
    <x:row r="134" ht="25" customHeight="1">
      <x:c r="A134" s="9" t="str">
        <x:v>QA-EXP-001</x:v>
      </x:c>
      <x:c r="B134" s="9" t="str">
        <x:v>EXP</x:v>
      </x:c>
      <x:c r="C134" s="9" t="str">
        <x:v>Exportación FOB en VES</x:v>
      </x:c>
      <x:c r="D134" s="9" t="str">
        <x:v>P0</x:v>
      </x:c>
      <x:c r="E134" s="9" t="str">
        <x:v>Positiva</x:v>
      </x:c>
      <x:c r="F134" s="9" t="str">
        <x:v>Navegador + HTTP + persistencia</x:v>
      </x:c>
      <x:c r="G134" s="10" t="str">
        <x:v>Pendiente</x:v>
      </x:c>
      <x:c r="H134" s="10"/>
      <x:c r="I134" s="10"/>
      <x:c r="J134" s="10"/>
      <x:c r="K134" s="10"/>
      <x:c r="L134" s="11"/>
      <x:c r="M134" s="12"/>
      <x:c r="N134" s="10"/>
    </x:row>
    <x:row r="135" ht="25" customHeight="1">
      <x:c r="A135" s="9" t="str">
        <x:v>QA-EXP-002</x:v>
      </x:c>
      <x:c r="B135" s="9" t="str">
        <x:v>EXP</x:v>
      </x:c>
      <x:c r="C135" s="9" t="str">
        <x:v>Exportación FOB en USD</x:v>
      </x:c>
      <x:c r="D135" s="9" t="str">
        <x:v>P0</x:v>
      </x:c>
      <x:c r="E135" s="9" t="str">
        <x:v>Positiva</x:v>
      </x:c>
      <x:c r="F135" s="9" t="str">
        <x:v>Navegador + HTTP + persistencia</x:v>
      </x:c>
      <x:c r="G135" s="10" t="str">
        <x:v>Pendiente</x:v>
      </x:c>
      <x:c r="H135" s="10"/>
      <x:c r="I135" s="10"/>
      <x:c r="J135" s="10"/>
      <x:c r="K135" s="10"/>
      <x:c r="L135" s="11"/>
      <x:c r="M135" s="12"/>
      <x:c r="N135" s="10"/>
    </x:row>
    <x:row r="136" ht="25" customHeight="1">
      <x:c r="A136" s="9" t="str">
        <x:v>QA-EXP-003</x:v>
      </x:c>
      <x:c r="B136" s="9" t="str">
        <x:v>EXP</x:v>
      </x:c>
      <x:c r="C136" s="9" t="str">
        <x:v>Exportación CIF en VES</x:v>
      </x:c>
      <x:c r="D136" s="9" t="str">
        <x:v>P0</x:v>
      </x:c>
      <x:c r="E136" s="9" t="str">
        <x:v>Positiva</x:v>
      </x:c>
      <x:c r="F136" s="9" t="str">
        <x:v>Navegador + HTTP + persistencia</x:v>
      </x:c>
      <x:c r="G136" s="10" t="str">
        <x:v>Pendiente</x:v>
      </x:c>
      <x:c r="H136" s="10"/>
      <x:c r="I136" s="10"/>
      <x:c r="J136" s="10"/>
      <x:c r="K136" s="10"/>
      <x:c r="L136" s="11"/>
      <x:c r="M136" s="12"/>
      <x:c r="N136" s="10"/>
    </x:row>
    <x:row r="137" ht="25" customHeight="1">
      <x:c r="A137" s="9" t="str">
        <x:v>QA-EXP-004</x:v>
      </x:c>
      <x:c r="B137" s="9" t="str">
        <x:v>EXP</x:v>
      </x:c>
      <x:c r="C137" s="9" t="str">
        <x:v>Exportación CIF en USD</x:v>
      </x:c>
      <x:c r="D137" s="9" t="str">
        <x:v>P0</x:v>
      </x:c>
      <x:c r="E137" s="9" t="str">
        <x:v>Positiva</x:v>
      </x:c>
      <x:c r="F137" s="9" t="str">
        <x:v>Navegador + HTTP + persistencia</x:v>
      </x:c>
      <x:c r="G137" s="10" t="str">
        <x:v>Pendiente</x:v>
      </x:c>
      <x:c r="H137" s="10"/>
      <x:c r="I137" s="10"/>
      <x:c r="J137" s="10"/>
      <x:c r="K137" s="10"/>
      <x:c r="L137" s="11"/>
      <x:c r="M137" s="12"/>
      <x:c r="N137" s="10"/>
    </x:row>
    <x:row r="138" ht="25" customHeight="1">
      <x:c r="A138" s="9" t="str">
        <x:v>QA-EXP-005</x:v>
      </x:c>
      <x:c r="B138" s="9" t="str">
        <x:v>EXP</x:v>
      </x:c>
      <x:c r="C138" s="9" t="str">
        <x:v>Exportación EXW en VES</x:v>
      </x:c>
      <x:c r="D138" s="9" t="str">
        <x:v>P0</x:v>
      </x:c>
      <x:c r="E138" s="9" t="str">
        <x:v>Positiva</x:v>
      </x:c>
      <x:c r="F138" s="9" t="str">
        <x:v>Navegador + HTTP + persistencia</x:v>
      </x:c>
      <x:c r="G138" s="10" t="str">
        <x:v>Pendiente</x:v>
      </x:c>
      <x:c r="H138" s="10"/>
      <x:c r="I138" s="10"/>
      <x:c r="J138" s="10"/>
      <x:c r="K138" s="10"/>
      <x:c r="L138" s="11"/>
      <x:c r="M138" s="12"/>
      <x:c r="N138" s="10"/>
    </x:row>
    <x:row r="139" ht="25" customHeight="1">
      <x:c r="A139" s="9" t="str">
        <x:v>QA-EXP-006</x:v>
      </x:c>
      <x:c r="B139" s="9" t="str">
        <x:v>EXP</x:v>
      </x:c>
      <x:c r="C139" s="9" t="str">
        <x:v>Exportación EXW en USD</x:v>
      </x:c>
      <x:c r="D139" s="9" t="str">
        <x:v>P0</x:v>
      </x:c>
      <x:c r="E139" s="9" t="str">
        <x:v>Positiva</x:v>
      </x:c>
      <x:c r="F139" s="9" t="str">
        <x:v>Navegador + HTTP + persistencia</x:v>
      </x:c>
      <x:c r="G139" s="10" t="str">
        <x:v>Pendiente</x:v>
      </x:c>
      <x:c r="H139" s="10"/>
      <x:c r="I139" s="10"/>
      <x:c r="J139" s="10"/>
      <x:c r="K139" s="10"/>
      <x:c r="L139" s="11"/>
      <x:c r="M139" s="12"/>
      <x:c r="N139" s="10"/>
    </x:row>
    <x:row r="140" ht="25" customHeight="1">
      <x:c r="A140" s="9" t="str">
        <x:v>QA-EXP-007</x:v>
      </x:c>
      <x:c r="B140" s="9" t="str">
        <x:v>EXP</x:v>
      </x:c>
      <x:c r="C140" s="9" t="str">
        <x:v>Comprador extranjero literal</x:v>
      </x:c>
      <x:c r="D140" s="9" t="str">
        <x:v>P1</x:v>
      </x:c>
      <x:c r="E140" s="9" t="str">
        <x:v>Positiva</x:v>
      </x:c>
      <x:c r="F140" s="9" t="str">
        <x:v>Navegador + HTTP + persistencia</x:v>
      </x:c>
      <x:c r="G140" s="10" t="str">
        <x:v>Pendiente</x:v>
      </x:c>
      <x:c r="H140" s="10"/>
      <x:c r="I140" s="10"/>
      <x:c r="J140" s="10"/>
      <x:c r="K140" s="10"/>
      <x:c r="L140" s="11"/>
      <x:c r="M140" s="12"/>
      <x:c r="N140" s="10"/>
    </x:row>
    <x:row r="141" ht="25" customHeight="1">
      <x:c r="A141" s="9" t="str">
        <x:v>QA-EXP-008</x:v>
      </x:c>
      <x:c r="B141" s="9" t="str">
        <x:v>EXP</x:v>
      </x:c>
      <x:c r="C141" s="9" t="str">
        <x:v>Limpiar comprador al cambiar operación</x:v>
      </x:c>
      <x:c r="D141" s="9" t="str">
        <x:v>P0</x:v>
      </x:c>
      <x:c r="E141" s="9" t="str">
        <x:v>Negativa</x:v>
      </x:c>
      <x:c r="F141" s="9" t="str">
        <x:v>Navegador + HTTP + persistencia</x:v>
      </x:c>
      <x:c r="G141" s="10" t="str">
        <x:v>Pendiente</x:v>
      </x:c>
      <x:c r="H141" s="10"/>
      <x:c r="I141" s="10"/>
      <x:c r="J141" s="10"/>
      <x:c r="K141" s="10"/>
      <x:c r="L141" s="11"/>
      <x:c r="M141" s="12"/>
      <x:c r="N141" s="10"/>
    </x:row>
    <x:row r="142" ht="25" customHeight="1">
      <x:c r="A142" s="9" t="str">
        <x:v>QA-EXP-009</x:v>
      </x:c>
      <x:c r="B142" s="9" t="str">
        <x:v>EXP</x:v>
      </x:c>
      <x:c r="C142" s="9" t="str">
        <x:v>Todas las líneas deben ser EXP</x:v>
      </x:c>
      <x:c r="D142" s="9" t="str">
        <x:v>P0</x:v>
      </x:c>
      <x:c r="E142" s="9" t="str">
        <x:v>Negativa</x:v>
      </x:c>
      <x:c r="F142" s="9" t="str">
        <x:v>Navegador + HTTP + persistencia</x:v>
      </x:c>
      <x:c r="G142" s="10" t="str">
        <x:v>Pendiente</x:v>
      </x:c>
      <x:c r="H142" s="10"/>
      <x:c r="I142" s="10"/>
      <x:c r="J142" s="10"/>
      <x:c r="K142" s="10"/>
      <x:c r="L142" s="11"/>
      <x:c r="M142" s="12"/>
      <x:c r="N142" s="10"/>
    </x:row>
    <x:row r="143" ht="25" customHeight="1">
      <x:c r="A143" s="9" t="str">
        <x:v>QA-EXP-010</x:v>
      </x:c>
      <x:c r="B143" s="9" t="str">
        <x:v>EXP</x:v>
      </x:c>
      <x:c r="C143" s="9" t="str">
        <x:v>Servicios exportados bloqueados</x:v>
      </x:c>
      <x:c r="D143" s="9" t="str">
        <x:v>P0</x:v>
      </x:c>
      <x:c r="E143" s="9" t="str">
        <x:v>Negativa</x:v>
      </x:c>
      <x:c r="F143" s="9" t="str">
        <x:v>Navegador + HTTP + persistencia</x:v>
      </x:c>
      <x:c r="G143" s="10" t="str">
        <x:v>Pendiente</x:v>
      </x:c>
      <x:c r="H143" s="10"/>
      <x:c r="I143" s="10"/>
      <x:c r="J143" s="10"/>
      <x:c r="K143" s="10"/>
      <x:c r="L143" s="11"/>
      <x:c r="M143" s="12"/>
      <x:c r="N143" s="10"/>
    </x:row>
    <x:row r="144" ht="25" customHeight="1">
      <x:c r="A144" s="9" t="str">
        <x:v>QA-EXP-011</x:v>
      </x:c>
      <x:c r="B144" s="9" t="str">
        <x:v>EXP</x:v>
      </x:c>
      <x:c r="C144" s="9" t="str">
        <x:v>Exportación genérica 0200 y código FE</x:v>
      </x:c>
      <x:c r="D144" s="9" t="str">
        <x:v>P0</x:v>
      </x:c>
      <x:c r="E144" s="9" t="str">
        <x:v>Negativa</x:v>
      </x:c>
      <x:c r="F144" s="9" t="str">
        <x:v>Navegador + HTTP + persistencia</x:v>
      </x:c>
      <x:c r="G144" s="10" t="str">
        <x:v>Pendiente</x:v>
      </x:c>
      <x:c r="H144" s="10"/>
      <x:c r="I144" s="10"/>
      <x:c r="J144" s="10"/>
      <x:c r="K144" s="10"/>
      <x:c r="L144" s="11"/>
      <x:c r="M144" s="12"/>
      <x:c r="N144" s="10"/>
    </x:row>
    <x:row r="145" ht="25" customHeight="1">
      <x:c r="A145" s="9" t="str">
        <x:v>QA-EXP-012</x:v>
      </x:c>
      <x:c r="B145" s="9" t="str">
        <x:v>EXP</x:v>
      </x:c>
      <x:c r="C145" s="9" t="str">
        <x:v>Exportación por otros canales bloqueada</x:v>
      </x:c>
      <x:c r="D145" s="9" t="str">
        <x:v>P0</x:v>
      </x:c>
      <x:c r="E145" s="9" t="str">
        <x:v>Seguridad</x:v>
      </x:c>
      <x:c r="F145" s="9" t="str">
        <x:v>Navegador + HTTP + persistencia</x:v>
      </x:c>
      <x:c r="G145" s="10" t="str">
        <x:v>Pendiente</x:v>
      </x:c>
      <x:c r="H145" s="10"/>
      <x:c r="I145" s="10"/>
      <x:c r="J145" s="10"/>
      <x:c r="K145" s="10"/>
      <x:c r="L145" s="11"/>
      <x:c r="M145" s="12"/>
      <x:c r="N145" s="10"/>
    </x:row>
    <x:row r="146" ht="25" customHeight="1">
      <x:c r="A146" s="9" t="str">
        <x:v>QA-EXP-013</x:v>
      </x:c>
      <x:c r="B146" s="9" t="str">
        <x:v>EXP</x:v>
      </x:c>
      <x:c r="C146" s="9" t="str">
        <x:v>Exportación con terceros o regímenes</x:v>
      </x:c>
      <x:c r="D146" s="9" t="str">
        <x:v>P0</x:v>
      </x:c>
      <x:c r="E146" s="9" t="str">
        <x:v>Negativa</x:v>
      </x:c>
      <x:c r="F146" s="9" t="str">
        <x:v>Navegador + HTTP + persistencia</x:v>
      </x:c>
      <x:c r="G146" s="10" t="str">
        <x:v>Pendiente</x:v>
      </x:c>
      <x:c r="H146" s="10"/>
      <x:c r="I146" s="10"/>
      <x:c r="J146" s="10"/>
      <x:c r="K146" s="10"/>
      <x:c r="L146" s="11"/>
      <x:c r="M146" s="12"/>
      <x:c r="N146" s="10"/>
    </x:row>
    <x:row r="147" ht="25" customHeight="1">
      <x:c r="A147" s="9" t="str">
        <x:v>QA-EXP-014</x:v>
      </x:c>
      <x:c r="B147" s="9" t="str">
        <x:v>EXP</x:v>
      </x:c>
      <x:c r="C147" s="9" t="str">
        <x:v>Descuentos y cargos en exportación USD</x:v>
      </x:c>
      <x:c r="D147" s="9" t="str">
        <x:v>P0</x:v>
      </x:c>
      <x:c r="E147" s="9" t="str">
        <x:v>Positiva</x:v>
      </x:c>
      <x:c r="F147" s="9" t="str">
        <x:v>Navegador + HTTP + persistencia</x:v>
      </x:c>
      <x:c r="G147" s="10" t="str">
        <x:v>Pendiente</x:v>
      </x:c>
      <x:c r="H147" s="10"/>
      <x:c r="I147" s="10"/>
      <x:c r="J147" s="10"/>
      <x:c r="K147" s="10"/>
      <x:c r="L147" s="11"/>
      <x:c r="M147" s="12"/>
      <x:c r="N147" s="10"/>
    </x:row>
    <x:row r="148" ht="25" customHeight="1">
      <x:c r="A148" s="9" t="str">
        <x:v>QA-EXP-015</x:v>
      </x:c>
      <x:c r="B148" s="9" t="str">
        <x:v>EXP</x:v>
      </x:c>
      <x:c r="C148" s="9" t="str">
        <x:v>Crédito de exportación sin cobros</x:v>
      </x:c>
      <x:c r="D148" s="9" t="str">
        <x:v>P0</x:v>
      </x:c>
      <x:c r="E148" s="9" t="str">
        <x:v>Límite conocido</x:v>
      </x:c>
      <x:c r="F148" s="9" t="str">
        <x:v>Navegador + HTTP + persistencia</x:v>
      </x:c>
      <x:c r="G148" s="10" t="str">
        <x:v>Pendiente</x:v>
      </x:c>
      <x:c r="H148" s="10"/>
      <x:c r="I148" s="10"/>
      <x:c r="J148" s="10"/>
      <x:c r="K148" s="10"/>
      <x:c r="L148" s="11"/>
      <x:c r="M148" s="12"/>
      <x:c r="N148" s="10"/>
    </x:row>
    <x:row r="149" ht="25" customHeight="1">
      <x:c r="A149" s="9" t="str">
        <x:v>QA-EXP-016</x:v>
      </x:c>
      <x:c r="B149" s="9" t="str">
        <x:v>EXP</x:v>
      </x:c>
      <x:c r="C149" s="9" t="str">
        <x:v>Editar INCOTERM antes de HKA</x:v>
      </x:c>
      <x:c r="D149" s="9" t="str">
        <x:v>P0</x:v>
      </x:c>
      <x:c r="E149" s="9" t="str">
        <x:v>Positiva</x:v>
      </x:c>
      <x:c r="F149" s="9" t="str">
        <x:v>Navegador + HTTP + persistencia</x:v>
      </x:c>
      <x:c r="G149" s="10" t="str">
        <x:v>Pendiente</x:v>
      </x:c>
      <x:c r="H149" s="10"/>
      <x:c r="I149" s="10"/>
      <x:c r="J149" s="10"/>
      <x:c r="K149" s="10"/>
      <x:c r="L149" s="11"/>
      <x:c r="M149" s="12"/>
      <x:c r="N149" s="10"/>
    </x:row>
    <x:row r="150" ht="25" customHeight="1">
      <x:c r="A150" s="9" t="str">
        <x:v>QA-EXP-017</x:v>
      </x:c>
      <x:c r="B150" s="9" t="str">
        <x:v>EXP</x:v>
      </x:c>
      <x:c r="C150" s="9" t="str">
        <x:v>Prohibir conversión interna a exportación</x:v>
      </x:c>
      <x:c r="D150" s="9" t="str">
        <x:v>P0</x:v>
      </x:c>
      <x:c r="E150" s="9" t="str">
        <x:v>Negativa</x:v>
      </x:c>
      <x:c r="F150" s="9" t="str">
        <x:v>Navegador + HTTP + persistencia</x:v>
      </x:c>
      <x:c r="G150" s="10" t="str">
        <x:v>Pendiente</x:v>
      </x:c>
      <x:c r="H150" s="10"/>
      <x:c r="I150" s="10"/>
      <x:c r="J150" s="10"/>
      <x:c r="K150" s="10"/>
      <x:c r="L150" s="11"/>
      <x:c r="M150" s="12"/>
      <x:c r="N150" s="10"/>
    </x:row>
    <x:row r="151" ht="25" customHeight="1">
      <x:c r="A151" s="9" t="str">
        <x:v>QA-EXP-018</x:v>
      </x:c>
      <x:c r="B151" s="9" t="str">
        <x:v>EXP</x:v>
      </x:c>
      <x:c r="C151" s="9" t="str">
        <x:v>Notas e IGTF posterior de exportación</x:v>
      </x:c>
      <x:c r="D151" s="9" t="str">
        <x:v>P0</x:v>
      </x:c>
      <x:c r="E151" s="9" t="str">
        <x:v>Negativa</x:v>
      </x:c>
      <x:c r="F151" s="9" t="str">
        <x:v>Navegador + HTTP + persistencia</x:v>
      </x:c>
      <x:c r="G151" s="10" t="str">
        <x:v>Pendiente</x:v>
      </x:c>
      <x:c r="H151" s="10"/>
      <x:c r="I151" s="10"/>
      <x:c r="J151" s="10"/>
      <x:c r="K151" s="10"/>
      <x:c r="L151" s="11"/>
      <x:c r="M151" s="12"/>
      <x:c r="N151" s="10"/>
    </x:row>
    <x:row r="152" ht="25" customHeight="1">
      <x:c r="A152" s="9" t="str">
        <x:v>QA-TER-001</x:v>
      </x:c>
      <x:c r="B152" s="9" t="str">
        <x:v>TER</x:v>
      </x:c>
      <x:c r="C152" s="9" t="str">
        <x:v>Alta de titular desde factura</x:v>
      </x:c>
      <x:c r="D152" s="9" t="str">
        <x:v>P0</x:v>
      </x:c>
      <x:c r="E152" s="9" t="str">
        <x:v>Positiva</x:v>
      </x:c>
      <x:c r="F152" s="9" t="str">
        <x:v>Navegador + HTTP + persistencia</x:v>
      </x:c>
      <x:c r="G152" s="10" t="str">
        <x:v>Pendiente</x:v>
      </x:c>
      <x:c r="H152" s="10"/>
      <x:c r="I152" s="10"/>
      <x:c r="J152" s="10"/>
      <x:c r="K152" s="10"/>
      <x:c r="L152" s="11"/>
      <x:c r="M152" s="12"/>
      <x:c r="N152" s="10"/>
    </x:row>
    <x:row r="153" ht="25" customHeight="1">
      <x:c r="A153" s="9" t="str">
        <x:v>QA-TER-002</x:v>
      </x:c>
      <x:c r="B153" s="9" t="str">
        <x:v>TER</x:v>
      </x:c>
      <x:c r="C153" s="9" t="str">
        <x:v>Venta por terceros VES</x:v>
      </x:c>
      <x:c r="D153" s="9" t="str">
        <x:v>P0</x:v>
      </x:c>
      <x:c r="E153" s="9" t="str">
        <x:v>Positiva</x:v>
      </x:c>
      <x:c r="F153" s="9" t="str">
        <x:v>Navegador + HTTP + persistencia</x:v>
      </x:c>
      <x:c r="G153" s="10" t="str">
        <x:v>Pendiente</x:v>
      </x:c>
      <x:c r="H153" s="10"/>
      <x:c r="I153" s="10"/>
      <x:c r="J153" s="10"/>
      <x:c r="K153" s="10"/>
      <x:c r="L153" s="11"/>
      <x:c r="M153" s="12"/>
      <x:c r="N153" s="10"/>
    </x:row>
    <x:row r="154" ht="25" customHeight="1">
      <x:c r="A154" s="9" t="str">
        <x:v>QA-TER-003</x:v>
      </x:c>
      <x:c r="B154" s="9" t="str">
        <x:v>TER</x:v>
      </x:c>
      <x:c r="C154" s="9" t="str">
        <x:v>Venta por terceros USD con cargos</x:v>
      </x:c>
      <x:c r="D154" s="9" t="str">
        <x:v>P0</x:v>
      </x:c>
      <x:c r="E154" s="9" t="str">
        <x:v>Positiva</x:v>
      </x:c>
      <x:c r="F154" s="9" t="str">
        <x:v>Navegador + HTTP + persistencia</x:v>
      </x:c>
      <x:c r="G154" s="10" t="str">
        <x:v>Pendiente</x:v>
      </x:c>
      <x:c r="H154" s="10"/>
      <x:c r="I154" s="10"/>
      <x:c r="J154" s="10"/>
      <x:c r="K154" s="10"/>
      <x:c r="L154" s="11"/>
      <x:c r="M154" s="12"/>
      <x:c r="N154" s="10"/>
    </x:row>
    <x:row r="155" ht="25" customHeight="1">
      <x:c r="A155" s="9" t="str">
        <x:v>QA-TER-004</x:v>
      </x:c>
      <x:c r="B155" s="9" t="str">
        <x:v>TER</x:v>
      </x:c>
      <x:c r="C155" s="9" t="str">
        <x:v>Editar titular desde borrador</x:v>
      </x:c>
      <x:c r="D155" s="9" t="str">
        <x:v>P1</x:v>
      </x:c>
      <x:c r="E155" s="9" t="str">
        <x:v>Positiva</x:v>
      </x:c>
      <x:c r="F155" s="9" t="str">
        <x:v>Navegador + HTTP + persistencia</x:v>
      </x:c>
      <x:c r="G155" s="10" t="str">
        <x:v>Pendiente</x:v>
      </x:c>
      <x:c r="H155" s="10"/>
      <x:c r="I155" s="10"/>
      <x:c r="J155" s="10"/>
      <x:c r="K155" s="10"/>
      <x:c r="L155" s="11"/>
      <x:c r="M155" s="12"/>
      <x:c r="N155" s="10"/>
    </x:row>
    <x:row r="156" ht="25" customHeight="1">
      <x:c r="A156" s="9" t="str">
        <x:v>QA-TER-005</x:v>
      </x:c>
      <x:c r="B156" s="9" t="str">
        <x:v>TER</x:v>
      </x:c>
      <x:c r="C156" s="9" t="str">
        <x:v>Titular inválido</x:v>
      </x:c>
      <x:c r="D156" s="9" t="str">
        <x:v>P0</x:v>
      </x:c>
      <x:c r="E156" s="9" t="str">
        <x:v>Seguridad</x:v>
      </x:c>
      <x:c r="F156" s="9" t="str">
        <x:v>Navegador + HTTP + persistencia</x:v>
      </x:c>
      <x:c r="G156" s="10" t="str">
        <x:v>Pendiente</x:v>
      </x:c>
      <x:c r="H156" s="10"/>
      <x:c r="I156" s="10"/>
      <x:c r="J156" s="10"/>
      <x:c r="K156" s="10"/>
      <x:c r="L156" s="11"/>
      <x:c r="M156" s="12"/>
      <x:c r="N156" s="10"/>
    </x:row>
    <x:row r="157" ht="25" customHeight="1">
      <x:c r="A157" s="9" t="str">
        <x:v>QA-TER-006</x:v>
      </x:c>
      <x:c r="B157" s="9" t="str">
        <x:v>TER</x:v>
      </x:c>
      <x:c r="C157" s="9" t="str">
        <x:v>RIF fiscal del titular inválido o duplicado</x:v>
      </x:c>
      <x:c r="D157" s="9" t="str">
        <x:v>P1</x:v>
      </x:c>
      <x:c r="E157" s="9" t="str">
        <x:v>Negativa</x:v>
      </x:c>
      <x:c r="F157" s="9" t="str">
        <x:v>Navegador + HTTP + persistencia</x:v>
      </x:c>
      <x:c r="G157" s="10" t="str">
        <x:v>Pendiente</x:v>
      </x:c>
      <x:c r="H157" s="10"/>
      <x:c r="I157" s="10"/>
      <x:c r="J157" s="10"/>
      <x:c r="K157" s="10"/>
      <x:c r="L157" s="11"/>
      <x:c r="M157" s="12"/>
      <x:c r="N157" s="10"/>
    </x:row>
    <x:row r="158" ht="25" customHeight="1">
      <x:c r="A158" s="9" t="str">
        <x:v>QA-TER-007</x:v>
      </x:c>
      <x:c r="B158" s="9" t="str">
        <x:v>TER</x:v>
      </x:c>
      <x:c r="C158" s="9" t="str">
        <x:v>Terceros requiere contado completo</x:v>
      </x:c>
      <x:c r="D158" s="9" t="str">
        <x:v>P0</x:v>
      </x:c>
      <x:c r="E158" s="9" t="str">
        <x:v>Negativa</x:v>
      </x:c>
      <x:c r="F158" s="9" t="str">
        <x:v>Navegador + HTTP + persistencia</x:v>
      </x:c>
      <x:c r="G158" s="10" t="str">
        <x:v>Pendiente</x:v>
      </x:c>
      <x:c r="H158" s="10"/>
      <x:c r="I158" s="10"/>
      <x:c r="J158" s="10"/>
      <x:c r="K158" s="10"/>
      <x:c r="L158" s="11"/>
      <x:c r="M158" s="12"/>
      <x:c r="N158" s="10"/>
    </x:row>
    <x:row r="159" ht="25" customHeight="1">
      <x:c r="A159" s="9" t="str">
        <x:v>QA-TER-008</x:v>
      </x:c>
      <x:c r="B159" s="9" t="str">
        <x:v>TER</x:v>
      </x:c>
      <x:c r="C159" s="9" t="str">
        <x:v>Categorías de terceros y notas domésticas</x:v>
      </x:c>
      <x:c r="D159" s="9" t="str">
        <x:v>P0</x:v>
      </x:c>
      <x:c r="E159" s="9" t="str">
        <x:v>Regresión contractual</x:v>
      </x:c>
      <x:c r="F159" s="9" t="str">
        <x:v>Navegador + HTTP + persistencia; DEMO separado de doble</x:v>
      </x:c>
      <x:c r="G159" s="10" t="str">
        <x:v>Pendiente</x:v>
      </x:c>
      <x:c r="H159" s="10"/>
      <x:c r="I159" s="10"/>
      <x:c r="J159" s="10"/>
      <x:c r="K159" s="10"/>
      <x:c r="L159" s="11"/>
      <x:c r="M159" s="12"/>
      <x:c r="N159" s="10"/>
    </x:row>
    <x:row r="160" ht="25" customHeight="1">
      <x:c r="A160" s="9" t="str">
        <x:v>QA-TER-009</x:v>
      </x:c>
      <x:c r="B160" s="9" t="str">
        <x:v>TER</x:v>
      </x:c>
      <x:c r="C160" s="9" t="str">
        <x:v>Snapshot de tercero autoritativo</x:v>
      </x:c>
      <x:c r="D160" s="9" t="str">
        <x:v>P0</x:v>
      </x:c>
      <x:c r="E160" s="9" t="str">
        <x:v>Seguridad</x:v>
      </x:c>
      <x:c r="F160" s="9" t="str">
        <x:v>Navegador + HTTP + persistencia</x:v>
      </x:c>
      <x:c r="G160" s="10" t="str">
        <x:v>Pendiente</x:v>
      </x:c>
      <x:c r="H160" s="10"/>
      <x:c r="I160" s="10"/>
      <x:c r="J160" s="10"/>
      <x:c r="K160" s="10"/>
      <x:c r="L160" s="11"/>
      <x:c r="M160" s="12"/>
      <x:c r="N160" s="10"/>
    </x:row>
    <x:row r="161" ht="25" customHeight="1">
      <x:c r="A161" s="9" t="str">
        <x:v>QA-TER-010</x:v>
      </x:c>
      <x:c r="B161" s="9" t="str">
        <x:v>TER</x:v>
      </x:c>
      <x:c r="C161" s="9" t="str">
        <x:v>Desmarcar titular después de facturar</x:v>
      </x:c>
      <x:c r="D161" s="9" t="str">
        <x:v>P1</x:v>
      </x:c>
      <x:c r="E161" s="9" t="str">
        <x:v>Positiva</x:v>
      </x:c>
      <x:c r="F161" s="9" t="str">
        <x:v>Navegador + HTTP + persistencia</x:v>
      </x:c>
      <x:c r="G161" s="10" t="str">
        <x:v>Pendiente</x:v>
      </x:c>
      <x:c r="H161" s="10"/>
      <x:c r="I161" s="10"/>
      <x:c r="J161" s="10"/>
      <x:c r="K161" s="10"/>
      <x:c r="L161" s="11"/>
      <x:c r="M161" s="12"/>
      <x:c r="N161" s="10"/>
    </x:row>
    <x:row r="162" ht="25" customHeight="1">
      <x:c r="A162" s="9" t="str">
        <x:v>QA-TER-011</x:v>
      </x:c>
      <x:c r="B162" s="9" t="str">
        <x:v>TER</x:v>
      </x:c>
      <x:c r="C162" s="9" t="str">
        <x:v>Eliminar titular utilizado</x:v>
      </x:c>
      <x:c r="D162" s="9" t="str">
        <x:v>P0</x:v>
      </x:c>
      <x:c r="E162" s="9" t="str">
        <x:v>Negativa</x:v>
      </x:c>
      <x:c r="F162" s="9" t="str">
        <x:v>Navegador + HTTP + persistencia</x:v>
      </x:c>
      <x:c r="G162" s="10" t="str">
        <x:v>Pendiente</x:v>
      </x:c>
      <x:c r="H162" s="10"/>
      <x:c r="I162" s="10"/>
      <x:c r="J162" s="10"/>
      <x:c r="K162" s="10"/>
      <x:c r="L162" s="11"/>
      <x:c r="M162" s="12"/>
      <x:c r="N162" s="10"/>
    </x:row>
    <x:row r="163" ht="25" customHeight="1">
      <x:c r="A163" s="9" t="str">
        <x:v>QA-TER-012</x:v>
      </x:c>
      <x:c r="B163" s="9" t="str">
        <x:v>TER</x:v>
      </x:c>
      <x:c r="C163" s="9" t="str">
        <x:v>Edición antes de HKA</x:v>
      </x:c>
      <x:c r="D163" s="9" t="str">
        <x:v>P0</x:v>
      </x:c>
      <x:c r="E163" s="9" t="str">
        <x:v>Positiva</x:v>
      </x:c>
      <x:c r="F163" s="9" t="str">
        <x:v>Navegador + HTTP + persistencia</x:v>
      </x:c>
      <x:c r="G163" s="10" t="str">
        <x:v>Pendiente</x:v>
      </x:c>
      <x:c r="H163" s="10"/>
      <x:c r="I163" s="10"/>
      <x:c r="J163" s="10"/>
      <x:c r="K163" s="10"/>
      <x:c r="L163" s="11"/>
      <x:c r="M163" s="12"/>
      <x:c r="N163" s="10"/>
    </x:row>
    <x:row r="164" ht="25" customHeight="1">
      <x:c r="A164" s="9" t="str">
        <x:v>QA-TER-013</x:v>
      </x:c>
      <x:c r="B164" s="9" t="str">
        <x:v>TER</x:v>
      </x:c>
      <x:c r="C164" s="9" t="str">
        <x:v>No convertir propia a terceros</x:v>
      </x:c>
      <x:c r="D164" s="9" t="str">
        <x:v>P0</x:v>
      </x:c>
      <x:c r="E164" s="9" t="str">
        <x:v>Negativa</x:v>
      </x:c>
      <x:c r="F164" s="9" t="str">
        <x:v>Navegador + HTTP + persistencia</x:v>
      </x:c>
      <x:c r="G164" s="10" t="str">
        <x:v>Pendiente</x:v>
      </x:c>
      <x:c r="H164" s="10"/>
      <x:c r="I164" s="10"/>
      <x:c r="J164" s="10"/>
      <x:c r="K164" s="10"/>
      <x:c r="L164" s="11"/>
      <x:c r="M164" s="12"/>
      <x:c r="N164" s="10"/>
    </x:row>
    <x:row r="165" ht="25" customHeight="1">
      <x:c r="A165" s="9" t="str">
        <x:v>QA-TER-014</x:v>
      </x:c>
      <x:c r="B165" s="9" t="str">
        <x:v>TER</x:v>
      </x:c>
      <x:c r="C165" s="9" t="str">
        <x:v>Notas ordinarias sobre terceros habilitadas</x:v>
      </x:c>
      <x:c r="D165" s="9" t="str">
        <x:v>P0</x:v>
      </x:c>
      <x:c r="E165" s="9" t="str">
        <x:v>Regresión contractual</x:v>
      </x:c>
      <x:c r="F165" s="9" t="str">
        <x:v>Navegador + HTTP + persistencia; DEMO separado de doble</x:v>
      </x:c>
      <x:c r="G165" s="10" t="str">
        <x:v>Pendiente</x:v>
      </x:c>
      <x:c r="H165" s="10"/>
      <x:c r="I165" s="10"/>
      <x:c r="J165" s="10"/>
      <x:c r="K165" s="10"/>
      <x:c r="L165" s="11"/>
      <x:c r="M165" s="12"/>
      <x:c r="N165" s="10"/>
    </x:row>
    <x:row r="166" ht="25" customHeight="1">
      <x:c r="A166" s="9" t="str">
        <x:v>QA-TER-015</x:v>
      </x:c>
      <x:c r="B166" s="9" t="str">
        <x:v>TER</x:v>
      </x:c>
      <x:c r="C166" s="9" t="str">
        <x:v>Presentación de titular y receptor</x:v>
      </x:c>
      <x:c r="D166" s="9" t="str">
        <x:v>P1</x:v>
      </x:c>
      <x:c r="E166" s="9" t="str">
        <x:v>Positiva</x:v>
      </x:c>
      <x:c r="F166" s="9" t="str">
        <x:v>Navegador + HTTP + persistencia</x:v>
      </x:c>
      <x:c r="G166" s="10" t="str">
        <x:v>Pendiente</x:v>
      </x:c>
      <x:c r="H166" s="10"/>
      <x:c r="I166" s="10"/>
      <x:c r="J166" s="10"/>
      <x:c r="K166" s="10"/>
      <x:c r="L166" s="11"/>
      <x:c r="M166" s="12"/>
      <x:c r="N166" s="10"/>
    </x:row>
    <x:row r="167" ht="25" customHeight="1">
      <x:c r="A167" s="9" t="str">
        <x:v>QA-NOT-001</x:v>
      </x:c>
      <x:c r="B167" s="9" t="str">
        <x:v>NOT</x:v>
      </x:c>
      <x:c r="C167" s="9" t="str">
        <x:v>NC 01: Anulación total, comercial y HKA DEMO</x:v>
      </x:c>
      <x:c r="D167" s="9" t="str">
        <x:v>P0</x:v>
      </x:c>
      <x:c r="E167" s="9" t="str">
        <x:v>Regresión contractual</x:v>
      </x:c>
      <x:c r="F167" s="9" t="str">
        <x:v>Navegador + HTTP + persistencia; DEMO separado de doble</x:v>
      </x:c>
      <x:c r="G167" s="10" t="str">
        <x:v>Pendiente</x:v>
      </x:c>
      <x:c r="H167" s="10"/>
      <x:c r="I167" s="10"/>
      <x:c r="J167" s="10"/>
      <x:c r="K167" s="10"/>
      <x:c r="L167" s="11"/>
      <x:c r="M167" s="12"/>
      <x:c r="N167" s="10"/>
    </x:row>
    <x:row r="168" ht="25" customHeight="1">
      <x:c r="A168" s="9" t="str">
        <x:v>QA-NOT-002</x:v>
      </x:c>
      <x:c r="B168" s="9" t="str">
        <x:v>NOT</x:v>
      </x:c>
      <x:c r="C168" s="9" t="str">
        <x:v>NC 07: Devolución parcial, comercial y HKA DEMO</x:v>
      </x:c>
      <x:c r="D168" s="9" t="str">
        <x:v>P0</x:v>
      </x:c>
      <x:c r="E168" s="9" t="str">
        <x:v>Regresión contractual</x:v>
      </x:c>
      <x:c r="F168" s="9" t="str">
        <x:v>Navegador + HTTP + persistencia; DEMO separado de doble</x:v>
      </x:c>
      <x:c r="G168" s="10" t="str">
        <x:v>Pendiente</x:v>
      </x:c>
      <x:c r="H168" s="10"/>
      <x:c r="I168" s="10"/>
      <x:c r="J168" s="10"/>
      <x:c r="K168" s="10"/>
      <x:c r="L168" s="11"/>
      <x:c r="M168" s="12"/>
      <x:c r="N168" s="10"/>
    </x:row>
    <x:row r="169" ht="25" customHeight="1">
      <x:c r="A169" s="9" t="str">
        <x:v>QA-NOT-003</x:v>
      </x:c>
      <x:c r="B169" s="9" t="str">
        <x:v>NOT</x:v>
      </x:c>
      <x:c r="C169" s="9" t="str">
        <x:v>NC 04: Descuento, comercial y HKA DEMO</x:v>
      </x:c>
      <x:c r="D169" s="9" t="str">
        <x:v>P0</x:v>
      </x:c>
      <x:c r="E169" s="9" t="str">
        <x:v>Regresión contractual</x:v>
      </x:c>
      <x:c r="F169" s="9" t="str">
        <x:v>Navegador + HTTP + persistencia; DEMO separado de doble</x:v>
      </x:c>
      <x:c r="G169" s="10" t="str">
        <x:v>Pendiente</x:v>
      </x:c>
      <x:c r="H169" s="10"/>
      <x:c r="I169" s="10"/>
      <x:c r="J169" s="10"/>
      <x:c r="K169" s="10"/>
      <x:c r="L169" s="11"/>
      <x:c r="M169" s="12"/>
      <x:c r="N169" s="10"/>
    </x:row>
    <x:row r="170" ht="25" customHeight="1">
      <x:c r="A170" s="9" t="str">
        <x:v>QA-NOT-004</x:v>
      </x:c>
      <x:c r="B170" s="9" t="str">
        <x:v>NOT</x:v>
      </x:c>
      <x:c r="C170" s="9" t="str">
        <x:v>NC 09: Corrección de precios, comercial y HKA DEMO</x:v>
      </x:c>
      <x:c r="D170" s="9" t="str">
        <x:v>P0</x:v>
      </x:c>
      <x:c r="E170" s="9" t="str">
        <x:v>Regresión contractual</x:v>
      </x:c>
      <x:c r="F170" s="9" t="str">
        <x:v>Navegador + HTTP + persistencia; DEMO separado de doble</x:v>
      </x:c>
      <x:c r="G170" s="10" t="str">
        <x:v>Pendiente</x:v>
      </x:c>
      <x:c r="H170" s="10"/>
      <x:c r="I170" s="10"/>
      <x:c r="J170" s="10"/>
      <x:c r="K170" s="10"/>
      <x:c r="L170" s="11"/>
      <x:c r="M170" s="12"/>
      <x:c r="N170" s="10"/>
    </x:row>
    <x:row r="171" ht="25" customHeight="1">
      <x:c r="A171" s="9" t="str">
        <x:v>QA-NOT-005</x:v>
      </x:c>
      <x:c r="B171" s="9" t="str">
        <x:v>NOT</x:v>
      </x:c>
      <x:c r="C171" s="9" t="str">
        <x:v>ND 02: Incremento de precios, comercial y HKA DEMO</x:v>
      </x:c>
      <x:c r="D171" s="9" t="str">
        <x:v>P0</x:v>
      </x:c>
      <x:c r="E171" s="9" t="str">
        <x:v>Regresión contractual</x:v>
      </x:c>
      <x:c r="F171" s="9" t="str">
        <x:v>Navegador + HTTP + persistencia; DEMO separado de doble</x:v>
      </x:c>
      <x:c r="G171" s="10" t="str">
        <x:v>Pendiente</x:v>
      </x:c>
      <x:c r="H171" s="10"/>
      <x:c r="I171" s="10"/>
      <x:c r="J171" s="10"/>
      <x:c r="K171" s="10"/>
      <x:c r="L171" s="11"/>
      <x:c r="M171" s="12"/>
      <x:c r="N171" s="10"/>
    </x:row>
    <x:row r="172" ht="25" customHeight="1">
      <x:c r="A172" s="9" t="str">
        <x:v>QA-NOT-006</x:v>
      </x:c>
      <x:c r="B172" s="9" t="str">
        <x:v>NOT</x:v>
      </x:c>
      <x:c r="C172" s="9" t="str">
        <x:v>ND 01: Intereses, comercial y HKA DEMO</x:v>
      </x:c>
      <x:c r="D172" s="9" t="str">
        <x:v>P0</x:v>
      </x:c>
      <x:c r="E172" s="9" t="str">
        <x:v>Regresión contractual</x:v>
      </x:c>
      <x:c r="F172" s="9" t="str">
        <x:v>Navegador + HTTP + persistencia; DEMO separado de doble</x:v>
      </x:c>
      <x:c r="G172" s="10" t="str">
        <x:v>Pendiente</x:v>
      </x:c>
      <x:c r="H172" s="10"/>
      <x:c r="I172" s="10"/>
      <x:c r="J172" s="10"/>
      <x:c r="K172" s="10"/>
      <x:c r="L172" s="11"/>
      <x:c r="M172" s="12"/>
      <x:c r="N172" s="10"/>
    </x:row>
    <x:row r="173" ht="32" customHeight="1">
      <x:c r="A173" s="9" t="str">
        <x:v>QA-NOT-007</x:v>
      </x:c>
      <x:c r="B173" s="9" t="str">
        <x:v>NOT</x:v>
      </x:c>
      <x:c r="C173" s="9" t="str">
        <x:v>ND 03: Fletes y gastos, comercial y HKA DEMO</x:v>
      </x:c>
      <x:c r="D173" s="9" t="str">
        <x:v>P0</x:v>
      </x:c>
      <x:c r="E173" s="9" t="str">
        <x:v>Regresión contractual</x:v>
      </x:c>
      <x:c r="F173" s="9" t="str">
        <x:v>Navegador + HTTP + persistencia; DEMO separado de doble</x:v>
      </x:c>
      <x:c r="G173" s="10" t="str">
        <x:v>Pendiente</x:v>
      </x:c>
      <x:c r="H173" s="10"/>
      <x:c r="I173" s="10"/>
      <x:c r="J173" s="10"/>
      <x:c r="K173" s="10"/>
      <x:c r="L173" s="11"/>
      <x:c r="M173" s="12"/>
      <x:c r="N173" s="10"/>
    </x:row>
    <x:row r="174" ht="25" customHeight="1">
      <x:c r="A174" s="9" t="str">
        <x:v>QA-NOT-008</x:v>
      </x:c>
      <x:c r="B174" s="9" t="str">
        <x:v>NOT</x:v>
      </x:c>
      <x:c r="C174" s="9" t="str">
        <x:v>Descripción y motivo obligatorios</x:v>
      </x:c>
      <x:c r="D174" s="9" t="str">
        <x:v>P1</x:v>
      </x:c>
      <x:c r="E174" s="9" t="str">
        <x:v>Negativa</x:v>
      </x:c>
      <x:c r="F174" s="9" t="str">
        <x:v>Navegador + HTTP + persistencia</x:v>
      </x:c>
      <x:c r="G174" s="10" t="str">
        <x:v>Pendiente</x:v>
      </x:c>
      <x:c r="H174" s="10"/>
      <x:c r="I174" s="10"/>
      <x:c r="J174" s="10"/>
      <x:c r="K174" s="10"/>
      <x:c r="L174" s="11"/>
      <x:c r="M174" s="12"/>
      <x:c r="N174" s="10"/>
    </x:row>
    <x:row r="175" ht="25" customHeight="1">
      <x:c r="A175" s="9" t="str">
        <x:v>QA-NOT-009</x:v>
      </x:c>
      <x:c r="B175" s="9" t="str">
        <x:v>NOT</x:v>
      </x:c>
      <x:c r="C175" s="9" t="str">
        <x:v>Motivo inactivo o desconocido</x:v>
      </x:c>
      <x:c r="D175" s="9" t="str">
        <x:v>P1</x:v>
      </x:c>
      <x:c r="E175" s="9" t="str">
        <x:v>Negativa</x:v>
      </x:c>
      <x:c r="F175" s="9" t="str">
        <x:v>Navegador + HTTP + persistencia</x:v>
      </x:c>
      <x:c r="G175" s="10" t="str">
        <x:v>Pendiente</x:v>
      </x:c>
      <x:c r="H175" s="10"/>
      <x:c r="I175" s="10"/>
      <x:c r="J175" s="10"/>
      <x:c r="K175" s="10"/>
      <x:c r="L175" s="11"/>
      <x:c r="M175" s="12"/>
      <x:c r="N175" s="10"/>
    </x:row>
    <x:row r="176" ht="25" customHeight="1">
      <x:c r="A176" s="9" t="str">
        <x:v>QA-NOT-010</x:v>
      </x:c>
      <x:c r="B176" s="9" t="str">
        <x:v>NOT</x:v>
      </x:c>
      <x:c r="C176" s="9" t="str">
        <x:v>Referencia incorrecta</x:v>
      </x:c>
      <x:c r="D176" s="9" t="str">
        <x:v>P0</x:v>
      </x:c>
      <x:c r="E176" s="9" t="str">
        <x:v>Seguridad</x:v>
      </x:c>
      <x:c r="F176" s="9" t="str">
        <x:v>Navegador + HTTP + persistencia</x:v>
      </x:c>
      <x:c r="G176" s="10" t="str">
        <x:v>Pendiente</x:v>
      </x:c>
      <x:c r="H176" s="10"/>
      <x:c r="I176" s="10"/>
      <x:c r="J176" s="10"/>
      <x:c r="K176" s="10"/>
      <x:c r="L176" s="11"/>
      <x:c r="M176" s="12"/>
      <x:c r="N176" s="10"/>
    </x:row>
    <x:row r="177" ht="25" customHeight="1">
      <x:c r="A177" s="9" t="str">
        <x:v>QA-NOT-011</x:v>
      </x:c>
      <x:c r="B177" s="9" t="str">
        <x:v>NOT</x:v>
      </x:c>
      <x:c r="C177" s="9" t="str">
        <x:v>Crear nota sin control original bloqueado</x:v>
      </x:c>
      <x:c r="D177" s="9" t="str">
        <x:v>P0</x:v>
      </x:c>
      <x:c r="E177" s="9" t="str">
        <x:v>Regresión contractual</x:v>
      </x:c>
      <x:c r="F177" s="9" t="str">
        <x:v>Navegador + HTTP + persistencia; DEMO separado de doble</x:v>
      </x:c>
      <x:c r="G177" s="10" t="str">
        <x:v>Pendiente</x:v>
      </x:c>
      <x:c r="H177" s="10"/>
      <x:c r="I177" s="10"/>
      <x:c r="J177" s="10"/>
      <x:c r="K177" s="10"/>
      <x:c r="L177" s="11"/>
      <x:c r="M177" s="12"/>
      <x:c r="N177" s="10"/>
    </x:row>
    <x:row r="178" ht="25" customHeight="1">
      <x:c r="A178" s="9" t="str">
        <x:v>QA-NOT-012</x:v>
      </x:c>
      <x:c r="B178" s="9" t="str">
        <x:v>NOT</x:v>
      </x:c>
      <x:c r="C178" s="9" t="str">
        <x:v>Completar control sólo en preparación histórica elegible</x:v>
      </x:c>
      <x:c r="D178" s="9" t="str">
        <x:v>P0</x:v>
      </x:c>
      <x:c r="E178" s="9" t="str">
        <x:v>Regresión contractual</x:v>
      </x:c>
      <x:c r="F178" s="9" t="str">
        <x:v>Navegador + HTTP + persistencia; DEMO separado de doble</x:v>
      </x:c>
      <x:c r="G178" s="10" t="str">
        <x:v>Pendiente</x:v>
      </x:c>
      <x:c r="H178" s="10"/>
      <x:c r="I178" s="10"/>
      <x:c r="J178" s="10"/>
      <x:c r="K178" s="10"/>
      <x:c r="L178" s="11"/>
      <x:c r="M178" s="12"/>
      <x:c r="N178" s="10"/>
    </x:row>
    <x:row r="179" ht="25" customHeight="1">
      <x:c r="A179" s="9" t="str">
        <x:v>QA-NOT-013</x:v>
      </x:c>
      <x:c r="B179" s="9" t="str">
        <x:v>NOT</x:v>
      </x:c>
      <x:c r="C179" s="9" t="str">
        <x:v>Mapeo interno y externo de notas</x:v>
      </x:c>
      <x:c r="D179" s="9" t="str">
        <x:v>P0</x:v>
      </x:c>
      <x:c r="E179" s="9" t="str">
        <x:v>Positiva</x:v>
      </x:c>
      <x:c r="F179" s="9" t="str">
        <x:v>Navegador + HTTP + persistencia</x:v>
      </x:c>
      <x:c r="G179" s="10" t="str">
        <x:v>Pendiente</x:v>
      </x:c>
      <x:c r="H179" s="10"/>
      <x:c r="I179" s="10"/>
      <x:c r="J179" s="10"/>
      <x:c r="K179" s="10"/>
      <x:c r="L179" s="11"/>
      <x:c r="M179" s="12"/>
      <x:c r="N179" s="10"/>
    </x:row>
    <x:row r="180" ht="25" customHeight="1">
      <x:c r="A180" s="9" t="str">
        <x:v>QA-NOT-014</x:v>
      </x:c>
      <x:c r="B180" s="9" t="str">
        <x:v>NOT</x:v>
      </x:c>
      <x:c r="C180" s="9" t="str">
        <x:v>NC que excede cantidad/importe original</x:v>
      </x:c>
      <x:c r="D180" s="9" t="str">
        <x:v>P0</x:v>
      </x:c>
      <x:c r="E180" s="9" t="str">
        <x:v>Negativa</x:v>
      </x:c>
      <x:c r="F180" s="9" t="str">
        <x:v>Navegador + HTTP + persistencia</x:v>
      </x:c>
      <x:c r="G180" s="10" t="str">
        <x:v>Pendiente</x:v>
      </x:c>
      <x:c r="H180" s="10"/>
      <x:c r="I180" s="10"/>
      <x:c r="J180" s="10"/>
      <x:c r="K180" s="10"/>
      <x:c r="L180" s="11"/>
      <x:c r="M180" s="12"/>
      <x:c r="N180" s="10"/>
    </x:row>
    <x:row r="181" ht="25" customHeight="1">
      <x:c r="A181" s="9" t="str">
        <x:v>QA-NOT-015</x:v>
      </x:c>
      <x:c r="B181" s="9" t="str">
        <x:v>NOT</x:v>
      </x:c>
      <x:c r="C181" s="9" t="str">
        <x:v>Notas de factura anulada o ajena</x:v>
      </x:c>
      <x:c r="D181" s="9" t="str">
        <x:v>P0</x:v>
      </x:c>
      <x:c r="E181" s="9" t="str">
        <x:v>Seguridad</x:v>
      </x:c>
      <x:c r="F181" s="9" t="str">
        <x:v>Navegador + HTTP + persistencia</x:v>
      </x:c>
      <x:c r="G181" s="10" t="str">
        <x:v>Pendiente</x:v>
      </x:c>
      <x:c r="H181" s="10"/>
      <x:c r="I181" s="10"/>
      <x:c r="J181" s="10"/>
      <x:c r="K181" s="10"/>
      <x:c r="L181" s="11"/>
      <x:c r="M181" s="12"/>
      <x:c r="N181" s="10"/>
    </x:row>
    <x:row r="182" ht="25" customHeight="1">
      <x:c r="A182" s="9" t="str">
        <x:v>QA-NOT-016</x:v>
      </x:c>
      <x:c r="B182" s="9" t="str">
        <x:v>NOT</x:v>
      </x:c>
      <x:c r="C182" s="9" t="str">
        <x:v>Emisión ordinaria NC ND DEMO habilitada</x:v>
      </x:c>
      <x:c r="D182" s="9" t="str">
        <x:v>P0</x:v>
      </x:c>
      <x:c r="E182" s="9" t="str">
        <x:v>Regresión contractual</x:v>
      </x:c>
      <x:c r="F182" s="9" t="str">
        <x:v>Navegador + HTTP + persistencia; DEMO separado de doble</x:v>
      </x:c>
      <x:c r="G182" s="10" t="str">
        <x:v>Pendiente</x:v>
      </x:c>
      <x:c r="H182" s="10"/>
      <x:c r="I182" s="10"/>
      <x:c r="J182" s="10"/>
      <x:c r="K182" s="10"/>
      <x:c r="L182" s="11"/>
      <x:c r="M182" s="12"/>
      <x:c r="N182" s="10"/>
    </x:row>
    <x:row r="183" ht="25" customHeight="1">
      <x:c r="A183" s="9" t="str">
        <x:v>QA-NOT-017</x:v>
      </x:c>
      <x:c r="B183" s="9" t="str">
        <x:v>NOT</x:v>
      </x:c>
      <x:c r="C183" s="9" t="str">
        <x:v>Nota IGTF generada por pago posterior</x:v>
      </x:c>
      <x:c r="D183" s="9" t="str">
        <x:v>P0</x:v>
      </x:c>
      <x:c r="E183" s="9" t="str">
        <x:v>Positiva</x:v>
      </x:c>
      <x:c r="F183" s="9" t="str">
        <x:v>Navegador + HTTP + persistencia</x:v>
      </x:c>
      <x:c r="G183" s="10" t="str">
        <x:v>Pendiente</x:v>
      </x:c>
      <x:c r="H183" s="10"/>
      <x:c r="I183" s="10"/>
      <x:c r="J183" s="10"/>
      <x:c r="K183" s="10"/>
      <x:c r="L183" s="11"/>
      <x:c r="M183" s="12"/>
      <x:c r="N183" s="10"/>
    </x:row>
    <x:row r="184" ht="25" customHeight="1">
      <x:c r="A184" s="9" t="str">
        <x:v>QA-NOT-018</x:v>
      </x:c>
      <x:c r="B184" s="9" t="str">
        <x:v>NOT</x:v>
      </x:c>
      <x:c r="C184" s="9" t="str">
        <x:v>IGTF no se crea como motivo manual libre</x:v>
      </x:c>
      <x:c r="D184" s="9" t="str">
        <x:v>P1</x:v>
      </x:c>
      <x:c r="E184" s="9" t="str">
        <x:v>Negativa</x:v>
      </x:c>
      <x:c r="F184" s="9" t="str">
        <x:v>Navegador + HTTP + persistencia</x:v>
      </x:c>
      <x:c r="G184" s="10" t="str">
        <x:v>Pendiente</x:v>
      </x:c>
      <x:c r="H184" s="10"/>
      <x:c r="I184" s="10"/>
      <x:c r="J184" s="10"/>
      <x:c r="K184" s="10"/>
      <x:c r="L184" s="11"/>
      <x:c r="M184" s="12"/>
      <x:c r="N184" s="10"/>
    </x:row>
    <x:row r="185" ht="25" customHeight="1">
      <x:c r="A185" s="9" t="str">
        <x:v>QA-NOT-019</x:v>
      </x:c>
      <x:c r="B185" s="9" t="str">
        <x:v>NOT</x:v>
      </x:c>
      <x:c r="C185" s="9" t="str">
        <x:v>PDF correo y ticket fiscal de notas confirmadas</x:v>
      </x:c>
      <x:c r="D185" s="9" t="str">
        <x:v>P0</x:v>
      </x:c>
      <x:c r="E185" s="9" t="str">
        <x:v>Regresión contractual</x:v>
      </x:c>
      <x:c r="F185" s="9" t="str">
        <x:v>Navegador + HTTP + persistencia; DEMO separado de doble</x:v>
      </x:c>
      <x:c r="G185" s="10" t="str">
        <x:v>Pendiente</x:v>
      </x:c>
      <x:c r="H185" s="10"/>
      <x:c r="I185" s="10"/>
      <x:c r="J185" s="10"/>
      <x:c r="K185" s="10"/>
      <x:c r="L185" s="11"/>
      <x:c r="M185" s="12"/>
      <x:c r="N185" s="10"/>
    </x:row>
    <x:row r="186" ht="25" customHeight="1">
      <x:c r="A186" s="9" t="str">
        <x:v>QA-PAG-001</x:v>
      </x:c>
      <x:c r="B186" s="9" t="str">
        <x:v>PAG</x:v>
      </x:c>
      <x:c r="C186" s="9" t="str">
        <x:v>Cobro posterior parcial</x:v>
      </x:c>
      <x:c r="D186" s="9" t="str">
        <x:v>P0</x:v>
      </x:c>
      <x:c r="E186" s="9" t="str">
        <x:v>Positiva</x:v>
      </x:c>
      <x:c r="F186" s="9" t="str">
        <x:v>Navegador + HTTP + persistencia</x:v>
      </x:c>
      <x:c r="G186" s="10" t="str">
        <x:v>Pendiente</x:v>
      </x:c>
      <x:c r="H186" s="10"/>
      <x:c r="I186" s="10"/>
      <x:c r="J186" s="10"/>
      <x:c r="K186" s="10"/>
      <x:c r="L186" s="11"/>
      <x:c r="M186" s="12"/>
      <x:c r="N186" s="10"/>
    </x:row>
    <x:row r="187" ht="25" customHeight="1">
      <x:c r="A187" s="9" t="str">
        <x:v>QA-PAG-002</x:v>
      </x:c>
      <x:c r="B187" s="9" t="str">
        <x:v>PAG</x:v>
      </x:c>
      <x:c r="C187" s="9" t="str">
        <x:v>Cobro posterior sobre saldo</x:v>
      </x:c>
      <x:c r="D187" s="9" t="str">
        <x:v>P0</x:v>
      </x:c>
      <x:c r="E187" s="9" t="str">
        <x:v>Concurrencia</x:v>
      </x:c>
      <x:c r="F187" s="9" t="str">
        <x:v>Navegador + HTTP + persistencia</x:v>
      </x:c>
      <x:c r="G187" s="10" t="str">
        <x:v>Pendiente</x:v>
      </x:c>
      <x:c r="H187" s="10"/>
      <x:c r="I187" s="10"/>
      <x:c r="J187" s="10"/>
      <x:c r="K187" s="10"/>
      <x:c r="L187" s="11"/>
      <x:c r="M187" s="12"/>
      <x:c r="N187" s="10"/>
    </x:row>
    <x:row r="188" ht="25" customHeight="1">
      <x:c r="A188" s="9" t="str">
        <x:v>QA-PAG-003</x:v>
      </x:c>
      <x:c r="B188" s="9" t="str">
        <x:v>PAG</x:v>
      </x:c>
      <x:c r="C188" s="9" t="str">
        <x:v>Pago VES aplicado a documento USD</x:v>
      </x:c>
      <x:c r="D188" s="9" t="str">
        <x:v>P0</x:v>
      </x:c>
      <x:c r="E188" s="9" t="str">
        <x:v>Positiva</x:v>
      </x:c>
      <x:c r="F188" s="9" t="str">
        <x:v>Navegador + HTTP + persistencia</x:v>
      </x:c>
      <x:c r="G188" s="10" t="str">
        <x:v>Pendiente</x:v>
      </x:c>
      <x:c r="H188" s="10"/>
      <x:c r="I188" s="10"/>
      <x:c r="J188" s="10"/>
      <x:c r="K188" s="10"/>
      <x:c r="L188" s="11"/>
      <x:c r="M188" s="12"/>
      <x:c r="N188" s="10"/>
    </x:row>
    <x:row r="189" ht="25" customHeight="1">
      <x:c r="A189" s="9" t="str">
        <x:v>QA-PAG-004</x:v>
      </x:c>
      <x:c r="B189" s="9" t="str">
        <x:v>PAG</x:v>
      </x:c>
      <x:c r="C189" s="9" t="str">
        <x:v>Pago USD aplicado a documento VES</x:v>
      </x:c>
      <x:c r="D189" s="9" t="str">
        <x:v>P0</x:v>
      </x:c>
      <x:c r="E189" s="9" t="str">
        <x:v>Positiva</x:v>
      </x:c>
      <x:c r="F189" s="9" t="str">
        <x:v>Navegador + HTTP + persistencia</x:v>
      </x:c>
      <x:c r="G189" s="10" t="str">
        <x:v>Pendiente</x:v>
      </x:c>
      <x:c r="H189" s="10"/>
      <x:c r="I189" s="10"/>
      <x:c r="J189" s="10"/>
      <x:c r="K189" s="10"/>
      <x:c r="L189" s="11"/>
      <x:c r="M189" s="12"/>
      <x:c r="N189" s="10"/>
    </x:row>
    <x:row r="190" ht="25" customHeight="1">
      <x:c r="A190" s="9" t="str">
        <x:v>QA-PAG-005</x:v>
      </x:c>
      <x:c r="B190" s="9" t="str">
        <x:v>PAG</x:v>
      </x:c>
      <x:c r="C190" s="9" t="str">
        <x:v>Tasa propia del cobro</x:v>
      </x:c>
      <x:c r="D190" s="9" t="str">
        <x:v>P0</x:v>
      </x:c>
      <x:c r="E190" s="9" t="str">
        <x:v>Positiva</x:v>
      </x:c>
      <x:c r="F190" s="9" t="str">
        <x:v>Navegador + HTTP + persistencia</x:v>
      </x:c>
      <x:c r="G190" s="10" t="str">
        <x:v>Pendiente</x:v>
      </x:c>
      <x:c r="H190" s="10"/>
      <x:c r="I190" s="10"/>
      <x:c r="J190" s="10"/>
      <x:c r="K190" s="10"/>
      <x:c r="L190" s="11"/>
      <x:c r="M190" s="12"/>
      <x:c r="N190" s="10"/>
    </x:row>
    <x:row r="191" ht="25" customHeight="1">
      <x:c r="A191" s="9" t="str">
        <x:v>QA-PAG-006</x:v>
      </x:c>
      <x:c r="B191" s="9" t="str">
        <x:v>PAG</x:v>
      </x:c>
      <x:c r="C191" s="9" t="str">
        <x:v>Omitir moneda propia por API</x:v>
      </x:c>
      <x:c r="D191" s="9" t="str">
        <x:v>P1</x:v>
      </x:c>
      <x:c r="E191" s="9" t="str">
        <x:v>Positiva</x:v>
      </x:c>
      <x:c r="F191" s="9" t="str">
        <x:v>Navegador + HTTP + persistencia</x:v>
      </x:c>
      <x:c r="G191" s="10" t="str">
        <x:v>Pendiente</x:v>
      </x:c>
      <x:c r="H191" s="10"/>
      <x:c r="I191" s="10"/>
      <x:c r="J191" s="10"/>
      <x:c r="K191" s="10"/>
      <x:c r="L191" s="11"/>
      <x:c r="M191" s="12"/>
      <x:c r="N191" s="10"/>
    </x:row>
    <x:row r="192" ht="25" customHeight="1">
      <x:c r="A192" s="9" t="str">
        <x:v>QA-PAG-007</x:v>
      </x:c>
      <x:c r="B192" s="9" t="str">
        <x:v>PAG</x:v>
      </x:c>
      <x:c r="C192" s="9" t="str">
        <x:v>Moneda propia sin UUID</x:v>
      </x:c>
      <x:c r="D192" s="9" t="str">
        <x:v>P0</x:v>
      </x:c>
      <x:c r="E192" s="9" t="str">
        <x:v>Negativa</x:v>
      </x:c>
      <x:c r="F192" s="9" t="str">
        <x:v>Navegador + HTTP + persistencia</x:v>
      </x:c>
      <x:c r="G192" s="10" t="str">
        <x:v>Pendiente</x:v>
      </x:c>
      <x:c r="H192" s="10"/>
      <x:c r="I192" s="10"/>
      <x:c r="J192" s="10"/>
      <x:c r="K192" s="10"/>
      <x:c r="L192" s="11"/>
      <x:c r="M192" s="12"/>
      <x:c r="N192" s="10"/>
    </x:row>
    <x:row r="193" ht="25" customHeight="1">
      <x:c r="A193" s="9" t="str">
        <x:v>QA-PAG-008</x:v>
      </x:c>
      <x:c r="B193" s="9" t="str">
        <x:v>PAG</x:v>
      </x:c>
      <x:c r="C193" s="9" t="str">
        <x:v>Moneda distinta sin importe o tasa</x:v>
      </x:c>
      <x:c r="D193" s="9" t="str">
        <x:v>P0</x:v>
      </x:c>
      <x:c r="E193" s="9" t="str">
        <x:v>Negativa</x:v>
      </x:c>
      <x:c r="F193" s="9" t="str">
        <x:v>Navegador + HTTP + persistencia</x:v>
      </x:c>
      <x:c r="G193" s="10" t="str">
        <x:v>Pendiente</x:v>
      </x:c>
      <x:c r="H193" s="10"/>
      <x:c r="I193" s="10"/>
      <x:c r="J193" s="10"/>
      <x:c r="K193" s="10"/>
      <x:c r="L193" s="11"/>
      <x:c r="M193" s="12"/>
      <x:c r="N193" s="10"/>
    </x:row>
    <x:row r="194" ht="25" customHeight="1">
      <x:c r="A194" s="9" t="str">
        <x:v>QA-PAG-009</x:v>
      </x:c>
      <x:c r="B194" s="9" t="str">
        <x:v>PAG</x:v>
      </x:c>
      <x:c r="C194" s="9" t="str">
        <x:v>Monedas retiradas</x:v>
      </x:c>
      <x:c r="D194" s="9" t="str">
        <x:v>P0</x:v>
      </x:c>
      <x:c r="E194" s="9" t="str">
        <x:v>Negativa</x:v>
      </x:c>
      <x:c r="F194" s="9" t="str">
        <x:v>Navegador + HTTP + persistencia</x:v>
      </x:c>
      <x:c r="G194" s="10" t="str">
        <x:v>Pendiente</x:v>
      </x:c>
      <x:c r="H194" s="10"/>
      <x:c r="I194" s="10"/>
      <x:c r="J194" s="10"/>
      <x:c r="K194" s="10"/>
      <x:c r="L194" s="11"/>
      <x:c r="M194" s="12"/>
      <x:c r="N194" s="10"/>
    </x:row>
    <x:row r="195" ht="25" customHeight="1">
      <x:c r="A195" s="9" t="str">
        <x:v>QA-PAG-010</x:v>
      </x:c>
      <x:c r="B195" s="9" t="str">
        <x:v>PAG</x:v>
      </x:c>
      <x:c r="C195" s="9" t="str">
        <x:v>Tasa con ocho decimales y ceros</x:v>
      </x:c>
      <x:c r="D195" s="9" t="str">
        <x:v>P0</x:v>
      </x:c>
      <x:c r="E195" s="9" t="str">
        <x:v>Positiva</x:v>
      </x:c>
      <x:c r="F195" s="9" t="str">
        <x:v>Navegador + HTTP + persistencia</x:v>
      </x:c>
      <x:c r="G195" s="10" t="str">
        <x:v>Pendiente</x:v>
      </x:c>
      <x:c r="H195" s="10"/>
      <x:c r="I195" s="10"/>
      <x:c r="J195" s="10"/>
      <x:c r="K195" s="10"/>
      <x:c r="L195" s="11"/>
      <x:c r="M195" s="12"/>
      <x:c r="N195" s="10"/>
    </x:row>
    <x:row r="196" ht="25" customHeight="1">
      <x:c r="A196" s="9" t="str">
        <x:v>QA-PAG-011</x:v>
      </x:c>
      <x:c r="B196" s="9" t="str">
        <x:v>PAG</x:v>
      </x:c>
      <x:c r="C196" s="9" t="str">
        <x:v>Más de ocho decimales significativos</x:v>
      </x:c>
      <x:c r="D196" s="9" t="str">
        <x:v>P0</x:v>
      </x:c>
      <x:c r="E196" s="9" t="str">
        <x:v>Negativa</x:v>
      </x:c>
      <x:c r="F196" s="9" t="str">
        <x:v>Navegador + HTTP + persistencia</x:v>
      </x:c>
      <x:c r="G196" s="10" t="str">
        <x:v>Pendiente</x:v>
      </x:c>
      <x:c r="H196" s="10"/>
      <x:c r="I196" s="10"/>
      <x:c r="J196" s="10"/>
      <x:c r="K196" s="10"/>
      <x:c r="L196" s="11"/>
      <x:c r="M196" s="12"/>
      <x:c r="N196" s="10"/>
    </x:row>
    <x:row r="197" ht="25" customHeight="1">
      <x:c r="A197" s="9" t="str">
        <x:v>QA-PAG-012</x:v>
      </x:c>
      <x:c r="B197" s="9" t="str">
        <x:v>PAG</x:v>
      </x:c>
      <x:c r="C197" s="9" t="str">
        <x:v>Principal inválido</x:v>
      </x:c>
      <x:c r="D197" s="9" t="str">
        <x:v>P1</x:v>
      </x:c>
      <x:c r="E197" s="9" t="str">
        <x:v>Negativa</x:v>
      </x:c>
      <x:c r="F197" s="9" t="str">
        <x:v>Navegador + HTTP + persistencia</x:v>
      </x:c>
      <x:c r="G197" s="10" t="str">
        <x:v>Pendiente</x:v>
      </x:c>
      <x:c r="H197" s="10"/>
      <x:c r="I197" s="10"/>
      <x:c r="J197" s="10"/>
      <x:c r="K197" s="10"/>
      <x:c r="L197" s="11"/>
      <x:c r="M197" s="12"/>
      <x:c r="N197" s="10"/>
    </x:row>
    <x:row r="198" ht="25" customHeight="1">
      <x:c r="A198" s="9" t="str">
        <x:v>QA-PAG-013</x:v>
      </x:c>
      <x:c r="B198" s="9" t="str">
        <x:v>PAG</x:v>
      </x:c>
      <x:c r="C198" s="9" t="str">
        <x:v>Todos los medios de pago activos</x:v>
      </x:c>
      <x:c r="D198" s="9" t="str">
        <x:v>P1</x:v>
      </x:c>
      <x:c r="E198" s="9" t="str">
        <x:v>Positiva</x:v>
      </x:c>
      <x:c r="F198" s="9" t="str">
        <x:v>Navegador + HTTP + persistencia</x:v>
      </x:c>
      <x:c r="G198" s="10" t="str">
        <x:v>Pendiente</x:v>
      </x:c>
      <x:c r="H198" s="10"/>
      <x:c r="I198" s="10"/>
      <x:c r="J198" s="10"/>
      <x:c r="K198" s="10"/>
      <x:c r="L198" s="11"/>
      <x:c r="M198" s="12"/>
      <x:c r="N198" s="10"/>
    </x:row>
    <x:row r="199" ht="25" customHeight="1">
      <x:c r="A199" s="9" t="str">
        <x:v>QA-PAG-014</x:v>
      </x:c>
      <x:c r="B199" s="9" t="str">
        <x:v>PAG</x:v>
      </x:c>
      <x:c r="C199" s="9" t="str">
        <x:v>Referencia, fecha y adjunto de pago</x:v>
      </x:c>
      <x:c r="D199" s="9" t="str">
        <x:v>P1</x:v>
      </x:c>
      <x:c r="E199" s="9" t="str">
        <x:v>Negativa</x:v>
      </x:c>
      <x:c r="F199" s="9" t="str">
        <x:v>Navegador + HTTP + persistencia</x:v>
      </x:c>
      <x:c r="G199" s="10" t="str">
        <x:v>Pendiente</x:v>
      </x:c>
      <x:c r="H199" s="10"/>
      <x:c r="I199" s="10"/>
      <x:c r="J199" s="10"/>
      <x:c r="K199" s="10"/>
      <x:c r="L199" s="11"/>
      <x:c r="M199" s="12"/>
      <x:c r="N199" s="10"/>
    </x:row>
    <x:row r="200" ht="25" customHeight="1">
      <x:c r="A200" s="9" t="str">
        <x:v>QA-PAG-015</x:v>
      </x:c>
      <x:c r="B200" s="9" t="str">
        <x:v>PAG</x:v>
      </x:c>
      <x:c r="C200" s="9" t="str">
        <x:v>Idempotencia del pago</x:v>
      </x:c>
      <x:c r="D200" s="9" t="str">
        <x:v>P0</x:v>
      </x:c>
      <x:c r="E200" s="9" t="str">
        <x:v>Concurrencia</x:v>
      </x:c>
      <x:c r="F200" s="9" t="str">
        <x:v>Navegador + HTTP + persistencia</x:v>
      </x:c>
      <x:c r="G200" s="10" t="str">
        <x:v>Pendiente</x:v>
      </x:c>
      <x:c r="H200" s="10"/>
      <x:c r="I200" s="10"/>
      <x:c r="J200" s="10"/>
      <x:c r="K200" s="10"/>
      <x:c r="L200" s="11"/>
      <x:c r="M200" s="12"/>
      <x:c r="N200" s="10"/>
    </x:row>
    <x:row r="201" ht="25" customHeight="1">
      <x:c r="A201" s="9" t="str">
        <x:v>QA-PAG-016</x:v>
      </x:c>
      <x:c r="B201" s="9" t="str">
        <x:v>PAG</x:v>
      </x:c>
      <x:c r="C201" s="9" t="str">
        <x:v>Idempotencia concurrente de pago</x:v>
      </x:c>
      <x:c r="D201" s="9" t="str">
        <x:v>P0</x:v>
      </x:c>
      <x:c r="E201" s="9" t="str">
        <x:v>Concurrencia</x:v>
      </x:c>
      <x:c r="F201" s="9" t="str">
        <x:v>Navegador + HTTP + persistencia</x:v>
      </x:c>
      <x:c r="G201" s="10" t="str">
        <x:v>Pendiente</x:v>
      </x:c>
      <x:c r="H201" s="10"/>
      <x:c r="I201" s="10"/>
      <x:c r="J201" s="10"/>
      <x:c r="K201" s="10"/>
      <x:c r="L201" s="11"/>
      <x:c r="M201" s="12"/>
      <x:c r="N201" s="10"/>
    </x:row>
    <x:row r="202" ht="25" customHeight="1">
      <x:c r="A202" s="9" t="str">
        <x:v>QA-PAG-017</x:v>
      </x:c>
      <x:c r="B202" s="9" t="str">
        <x:v>PAG</x:v>
      </x:c>
      <x:c r="C202" s="9" t="str">
        <x:v>No editar pago contabilizado</x:v>
      </x:c>
      <x:c r="D202" s="9" t="str">
        <x:v>P0</x:v>
      </x:c>
      <x:c r="E202" s="9" t="str">
        <x:v>Negativa</x:v>
      </x:c>
      <x:c r="F202" s="9" t="str">
        <x:v>Navegador + HTTP + persistencia</x:v>
      </x:c>
      <x:c r="G202" s="10" t="str">
        <x:v>Pendiente</x:v>
      </x:c>
      <x:c r="H202" s="10"/>
      <x:c r="I202" s="10"/>
      <x:c r="J202" s="10"/>
      <x:c r="K202" s="10"/>
      <x:c r="L202" s="11"/>
      <x:c r="M202" s="12"/>
      <x:c r="N202" s="10"/>
    </x:row>
    <x:row r="203" ht="25" customHeight="1">
      <x:c r="A203" s="9" t="str">
        <x:v>QA-PAG-018</x:v>
      </x:c>
      <x:c r="B203" s="9" t="str">
        <x:v>PAG</x:v>
      </x:c>
      <x:c r="C203" s="9" t="str">
        <x:v>Revertir pago con motivo</x:v>
      </x:c>
      <x:c r="D203" s="9" t="str">
        <x:v>P0</x:v>
      </x:c>
      <x:c r="E203" s="9" t="str">
        <x:v>Positiva</x:v>
      </x:c>
      <x:c r="F203" s="9" t="str">
        <x:v>Navegador + HTTP + persistencia</x:v>
      </x:c>
      <x:c r="G203" s="10" t="str">
        <x:v>Pendiente</x:v>
      </x:c>
      <x:c r="H203" s="10"/>
      <x:c r="I203" s="10"/>
      <x:c r="J203" s="10"/>
      <x:c r="K203" s="10"/>
      <x:c r="L203" s="11"/>
      <x:c r="M203" s="12"/>
      <x:c r="N203" s="10"/>
    </x:row>
    <x:row r="204" ht="25" customHeight="1">
      <x:c r="A204" s="9" t="str">
        <x:v>QA-PAG-019</x:v>
      </x:c>
      <x:c r="B204" s="9" t="str">
        <x:v>PAG</x:v>
      </x:c>
      <x:c r="C204" s="9" t="str">
        <x:v>Reversión sin permiso o motivo</x:v>
      </x:c>
      <x:c r="D204" s="9" t="str">
        <x:v>P0</x:v>
      </x:c>
      <x:c r="E204" s="9" t="str">
        <x:v>Seguridad</x:v>
      </x:c>
      <x:c r="F204" s="9" t="str">
        <x:v>Navegador + HTTP + persistencia</x:v>
      </x:c>
      <x:c r="G204" s="10" t="str">
        <x:v>Pendiente</x:v>
      </x:c>
      <x:c r="H204" s="10"/>
      <x:c r="I204" s="10"/>
      <x:c r="J204" s="10"/>
      <x:c r="K204" s="10"/>
      <x:c r="L204" s="11"/>
      <x:c r="M204" s="12"/>
      <x:c r="N204" s="10"/>
    </x:row>
    <x:row r="205" ht="25" customHeight="1">
      <x:c r="A205" s="9" t="str">
        <x:v>QA-PAG-020</x:v>
      </x:c>
      <x:c r="B205" s="9" t="str">
        <x:v>PAG</x:v>
      </x:c>
      <x:c r="C205" s="9" t="str">
        <x:v>Repetir reversión y reutilizar clave</x:v>
      </x:c>
      <x:c r="D205" s="9" t="str">
        <x:v>P0</x:v>
      </x:c>
      <x:c r="E205" s="9" t="str">
        <x:v>Negativa</x:v>
      </x:c>
      <x:c r="F205" s="9" t="str">
        <x:v>Navegador + HTTP + persistencia</x:v>
      </x:c>
      <x:c r="G205" s="10" t="str">
        <x:v>Pendiente</x:v>
      </x:c>
      <x:c r="H205" s="10"/>
      <x:c r="I205" s="10"/>
      <x:c r="J205" s="10"/>
      <x:c r="K205" s="10"/>
      <x:c r="L205" s="11"/>
      <x:c r="M205" s="12"/>
      <x:c r="N205" s="10"/>
    </x:row>
    <x:row r="206" ht="25" customHeight="1">
      <x:c r="A206" s="9" t="str">
        <x:v>QA-PAG-021</x:v>
      </x:c>
      <x:c r="B206" s="9" t="str">
        <x:v>PAG</x:v>
      </x:c>
      <x:c r="C206" s="9" t="str">
        <x:v>Vuelto de efectivo</x:v>
      </x:c>
      <x:c r="D206" s="9" t="str">
        <x:v>P0</x:v>
      </x:c>
      <x:c r="E206" s="9" t="str">
        <x:v>Positiva</x:v>
      </x:c>
      <x:c r="F206" s="9" t="str">
        <x:v>Navegador + HTTP + persistencia</x:v>
      </x:c>
      <x:c r="G206" s="10" t="str">
        <x:v>Pendiente</x:v>
      </x:c>
      <x:c r="H206" s="10"/>
      <x:c r="I206" s="10"/>
      <x:c r="J206" s="10"/>
      <x:c r="K206" s="10"/>
      <x:c r="L206" s="11"/>
      <x:c r="M206" s="12"/>
      <x:c r="N206" s="10"/>
    </x:row>
    <x:row r="207" ht="25" customHeight="1">
      <x:c r="A207" s="9" t="str">
        <x:v>QA-PAG-022</x:v>
      </x:c>
      <x:c r="B207" s="9" t="str">
        <x:v>PAG</x:v>
      </x:c>
      <x:c r="C207" s="9" t="str">
        <x:v>Pagos mixtos en otra moneda sólo por API</x:v>
      </x:c>
      <x:c r="D207" s="9" t="str">
        <x:v>P0</x:v>
      </x:c>
      <x:c r="E207" s="9" t="str">
        <x:v>Positiva</x:v>
      </x:c>
      <x:c r="F207" s="9" t="str">
        <x:v>Navegador + HTTP + persistencia</x:v>
      </x:c>
      <x:c r="G207" s="10" t="str">
        <x:v>Pendiente</x:v>
      </x:c>
      <x:c r="H207" s="10"/>
      <x:c r="I207" s="10"/>
      <x:c r="J207" s="10"/>
      <x:c r="K207" s="10"/>
      <x:c r="L207" s="11"/>
      <x:c r="M207" s="12"/>
      <x:c r="N207" s="10"/>
    </x:row>
    <x:row r="208" ht="25" customHeight="1">
      <x:c r="A208" s="9" t="str">
        <x:v>QA-IGT-001</x:v>
      </x:c>
      <x:c r="B208" s="9" t="str">
        <x:v>IGT</x:v>
      </x:c>
      <x:c r="C208" s="9" t="str">
        <x:v>IGTF inicial sujeto</x:v>
      </x:c>
      <x:c r="D208" s="9" t="str">
        <x:v>P0</x:v>
      </x:c>
      <x:c r="E208" s="9" t="str">
        <x:v>Positiva</x:v>
      </x:c>
      <x:c r="F208" s="9" t="str">
        <x:v>Navegador + HTTP + persistencia</x:v>
      </x:c>
      <x:c r="G208" s="10" t="str">
        <x:v>Pendiente</x:v>
      </x:c>
      <x:c r="H208" s="10"/>
      <x:c r="I208" s="10"/>
      <x:c r="J208" s="10"/>
      <x:c r="K208" s="10"/>
      <x:c r="L208" s="11"/>
      <x:c r="M208" s="12"/>
      <x:c r="N208" s="10"/>
    </x:row>
    <x:row r="209" ht="25" customHeight="1">
      <x:c r="A209" s="9" t="str">
        <x:v>QA-IGT-002</x:v>
      </x:c>
      <x:c r="B209" s="9" t="str">
        <x:v>IGT</x:v>
      </x:c>
      <x:c r="C209" s="9" t="str">
        <x:v>No aplica no cobra IGTF</x:v>
      </x:c>
      <x:c r="D209" s="9" t="str">
        <x:v>P0</x:v>
      </x:c>
      <x:c r="E209" s="9" t="str">
        <x:v>Positiva</x:v>
      </x:c>
      <x:c r="F209" s="9" t="str">
        <x:v>Navegador + HTTP + persistencia</x:v>
      </x:c>
      <x:c r="G209" s="10" t="str">
        <x:v>Pendiente</x:v>
      </x:c>
      <x:c r="H209" s="10"/>
      <x:c r="I209" s="10"/>
      <x:c r="J209" s="10"/>
      <x:c r="K209" s="10"/>
      <x:c r="L209" s="11"/>
      <x:c r="M209" s="12"/>
      <x:c r="N209" s="10"/>
    </x:row>
    <x:row r="210" ht="25" customHeight="1">
      <x:c r="A210" s="9" t="str">
        <x:v>QA-IGT-003</x:v>
      </x:c>
      <x:c r="B210" s="9" t="str">
        <x:v>IGT</x:v>
      </x:c>
      <x:c r="C210" s="9" t="str">
        <x:v>Excepción IGTF administrativa con motivo y fundamento</x:v>
      </x:c>
      <x:c r="D210" s="9" t="str">
        <x:v>P1</x:v>
      </x:c>
      <x:c r="E210" s="9" t="str">
        <x:v>Positiva</x:v>
      </x:c>
      <x:c r="F210" s="9" t="str">
        <x:v>Navegador + HTTP + persistencia</x:v>
      </x:c>
      <x:c r="G210" s="10" t="str">
        <x:v>Pendiente</x:v>
      </x:c>
      <x:c r="H210" s="10"/>
      <x:c r="I210" s="10"/>
      <x:c r="J210" s="10"/>
      <x:c r="K210" s="10"/>
      <x:c r="L210" s="11"/>
      <x:c r="M210" s="12"/>
      <x:c r="N210" s="10"/>
    </x:row>
    <x:row r="211" ht="25" customHeight="1">
      <x:c r="A211" s="9" t="str">
        <x:v>QA-IGT-004</x:v>
      </x:c>
      <x:c r="B211" s="9" t="str">
        <x:v>IGT</x:v>
      </x:c>
      <x:c r="C211" s="9" t="str">
        <x:v>Excepción IGTF incompleta o sin permiso</x:v>
      </x:c>
      <x:c r="D211" s="9" t="str">
        <x:v>P1</x:v>
      </x:c>
      <x:c r="E211" s="9" t="str">
        <x:v>Negativa</x:v>
      </x:c>
      <x:c r="F211" s="9" t="str">
        <x:v>Navegador + HTTP + persistencia</x:v>
      </x:c>
      <x:c r="G211" s="10" t="str">
        <x:v>Pendiente</x:v>
      </x:c>
      <x:c r="H211" s="10"/>
      <x:c r="I211" s="10"/>
      <x:c r="J211" s="10"/>
      <x:c r="K211" s="10"/>
      <x:c r="L211" s="11"/>
      <x:c r="M211" s="12"/>
      <x:c r="N211" s="10"/>
    </x:row>
    <x:row r="212" ht="25" customHeight="1">
      <x:c r="A212" s="9" t="str">
        <x:v>QA-IGT-005</x:v>
      </x:c>
      <x:c r="B212" s="9" t="str">
        <x:v>IGT</x:v>
      </x:c>
      <x:c r="C212" s="9" t="str">
        <x:v>Subject no válido</x:v>
      </x:c>
      <x:c r="D212" s="9" t="str">
        <x:v>P0</x:v>
      </x:c>
      <x:c r="E212" s="9" t="str">
        <x:v>Negativa</x:v>
      </x:c>
      <x:c r="F212" s="9" t="str">
        <x:v>Navegador + HTTP + persistencia</x:v>
      </x:c>
      <x:c r="G212" s="10" t="str">
        <x:v>Pendiente</x:v>
      </x:c>
      <x:c r="H212" s="10"/>
      <x:c r="I212" s="10"/>
      <x:c r="J212" s="10"/>
      <x:c r="K212" s="10"/>
      <x:c r="L212" s="11"/>
      <x:c r="M212" s="12"/>
      <x:c r="N212" s="10"/>
    </x:row>
    <x:row r="213" ht="25" customHeight="1">
      <x:c r="A213" s="9" t="str">
        <x:v>QA-IGT-006</x:v>
      </x:c>
      <x:c r="B213" s="9" t="str">
        <x:v>IGT</x:v>
      </x:c>
      <x:c r="C213" s="9" t="str">
        <x:v>IGTF sólo sobre neto</x:v>
      </x:c>
      <x:c r="D213" s="9" t="str">
        <x:v>P0</x:v>
      </x:c>
      <x:c r="E213" s="9" t="str">
        <x:v>Positiva</x:v>
      </x:c>
      <x:c r="F213" s="9" t="str">
        <x:v>Navegador + HTTP + persistencia</x:v>
      </x:c>
      <x:c r="G213" s="10" t="str">
        <x:v>Pendiente</x:v>
      </x:c>
      <x:c r="H213" s="10"/>
      <x:c r="I213" s="10"/>
      <x:c r="J213" s="10"/>
      <x:c r="K213" s="10"/>
      <x:c r="L213" s="11"/>
      <x:c r="M213" s="12"/>
      <x:c r="N213" s="10"/>
    </x:row>
    <x:row r="214" ht="25" customHeight="1">
      <x:c r="A214" s="9" t="str">
        <x:v>QA-IGT-007</x:v>
      </x:c>
      <x:c r="B214" s="9" t="str">
        <x:v>IGT</x:v>
      </x:c>
      <x:c r="C214" s="9" t="str">
        <x:v>IGTF posterior crea ND local</x:v>
      </x:c>
      <x:c r="D214" s="9" t="str">
        <x:v>P0</x:v>
      </x:c>
      <x:c r="E214" s="9" t="str">
        <x:v>Positiva</x:v>
      </x:c>
      <x:c r="F214" s="9" t="str">
        <x:v>Navegador + HTTP + persistencia</x:v>
      </x:c>
      <x:c r="G214" s="10" t="str">
        <x:v>Pendiente</x:v>
      </x:c>
      <x:c r="H214" s="10"/>
      <x:c r="I214" s="10"/>
      <x:c r="J214" s="10"/>
      <x:c r="K214" s="10"/>
      <x:c r="L214" s="11"/>
      <x:c r="M214" s="12"/>
      <x:c r="N214" s="10"/>
    </x:row>
    <x:row r="215" ht="25" customHeight="1">
      <x:c r="A215" s="9" t="str">
        <x:v>QA-IGT-008</x:v>
      </x:c>
      <x:c r="B215" s="9" t="str">
        <x:v>IGT</x:v>
      </x:c>
      <x:c r="C215" s="9" t="str">
        <x:v>IGTF posterior sin serie autorizada</x:v>
      </x:c>
      <x:c r="D215" s="9" t="str">
        <x:v>P0</x:v>
      </x:c>
      <x:c r="E215" s="9" t="str">
        <x:v>Negativa</x:v>
      </x:c>
      <x:c r="F215" s="9" t="str">
        <x:v>Navegador + HTTP + persistencia</x:v>
      </x:c>
      <x:c r="G215" s="10" t="str">
        <x:v>Pendiente</x:v>
      </x:c>
      <x:c r="H215" s="10"/>
      <x:c r="I215" s="10"/>
      <x:c r="J215" s="10"/>
      <x:c r="K215" s="10"/>
      <x:c r="L215" s="11"/>
      <x:c r="M215" s="12"/>
      <x:c r="N215" s="10"/>
    </x:row>
    <x:row r="216" ht="25" customHeight="1">
      <x:c r="A216" s="9" t="str">
        <x:v>QA-IGT-009</x:v>
      </x:c>
      <x:c r="B216" s="9" t="str">
        <x:v>IGT</x:v>
      </x:c>
      <x:c r="C216" s="9" t="str">
        <x:v>Dos cobros sujetos y UUIDs</x:v>
      </x:c>
      <x:c r="D216" s="9" t="str">
        <x:v>P0</x:v>
      </x:c>
      <x:c r="E216" s="9" t="str">
        <x:v>Concurrencia</x:v>
      </x:c>
      <x:c r="F216" s="9" t="str">
        <x:v>Navegador + HTTP + persistencia</x:v>
      </x:c>
      <x:c r="G216" s="10" t="str">
        <x:v>Pendiente</x:v>
      </x:c>
      <x:c r="H216" s="10"/>
      <x:c r="I216" s="10"/>
      <x:c r="J216" s="10"/>
      <x:c r="K216" s="10"/>
      <x:c r="L216" s="11"/>
      <x:c r="M216" s="12"/>
      <x:c r="N216" s="10"/>
    </x:row>
    <x:row r="217" ht="25" customHeight="1">
      <x:c r="A217" s="9" t="str">
        <x:v>QA-IGT-010</x:v>
      </x:c>
      <x:c r="B217" s="9" t="str">
        <x:v>IGT</x:v>
      </x:c>
      <x:c r="C217" s="9" t="str">
        <x:v>Revertir IGTF inicial</x:v>
      </x:c>
      <x:c r="D217" s="9" t="str">
        <x:v>P0</x:v>
      </x:c>
      <x:c r="E217" s="9" t="str">
        <x:v>Positiva</x:v>
      </x:c>
      <x:c r="F217" s="9" t="str">
        <x:v>Navegador + HTTP + persistencia</x:v>
      </x:c>
      <x:c r="G217" s="10" t="str">
        <x:v>Pendiente</x:v>
      </x:c>
      <x:c r="H217" s="10"/>
      <x:c r="I217" s="10"/>
      <x:c r="J217" s="10"/>
      <x:c r="K217" s="10"/>
      <x:c r="L217" s="11"/>
      <x:c r="M217" s="12"/>
      <x:c r="N217" s="10"/>
    </x:row>
    <x:row r="218" ht="25" customHeight="1">
      <x:c r="A218" s="9" t="str">
        <x:v>QA-IGT-011</x:v>
      </x:c>
      <x:c r="B218" s="9" t="str">
        <x:v>IGT</x:v>
      </x:c>
      <x:c r="C218" s="9" t="str">
        <x:v>Revertir IGTF posterior no preparado</x:v>
      </x:c>
      <x:c r="D218" s="9" t="str">
        <x:v>P0</x:v>
      </x:c>
      <x:c r="E218" s="9" t="str">
        <x:v>Positiva</x:v>
      </x:c>
      <x:c r="F218" s="9" t="str">
        <x:v>Navegador + HTTP + persistencia</x:v>
      </x:c>
      <x:c r="G218" s="10" t="str">
        <x:v>Pendiente</x:v>
      </x:c>
      <x:c r="H218" s="10"/>
      <x:c r="I218" s="10"/>
      <x:c r="J218" s="10"/>
      <x:c r="K218" s="10"/>
      <x:c r="L218" s="11"/>
      <x:c r="M218" s="12"/>
      <x:c r="N218" s="10"/>
    </x:row>
    <x:row r="219" ht="25" customHeight="1">
      <x:c r="A219" s="9" t="str">
        <x:v>QA-IGT-012</x:v>
      </x:c>
      <x:c r="B219" s="9" t="str">
        <x:v>IGT</x:v>
      </x:c>
      <x:c r="C219" s="9" t="str">
        <x:v>Revertir IGTF posterior preparado</x:v>
      </x:c>
      <x:c r="D219" s="9" t="str">
        <x:v>P0</x:v>
      </x:c>
      <x:c r="E219" s="9" t="str">
        <x:v>Negativa</x:v>
      </x:c>
      <x:c r="F219" s="9" t="str">
        <x:v>Navegador + HTTP + persistencia</x:v>
      </x:c>
      <x:c r="G219" s="10" t="str">
        <x:v>Pendiente</x:v>
      </x:c>
      <x:c r="H219" s="10"/>
      <x:c r="I219" s="10"/>
      <x:c r="J219" s="10"/>
      <x:c r="K219" s="10"/>
      <x:c r="L219" s="11"/>
      <x:c r="M219" s="12"/>
      <x:c r="N219" s="10"/>
    </x:row>
    <x:row r="220" ht="25" customHeight="1">
      <x:c r="A220" s="9" t="str">
        <x:v>QA-IGT-013</x:v>
      </x:c>
      <x:c r="B220" s="9" t="str">
        <x:v>IGT</x:v>
      </x:c>
      <x:c r="C220" s="9" t="str">
        <x:v>Revertir derivado aislado</x:v>
      </x:c>
      <x:c r="D220" s="9" t="str">
        <x:v>P0</x:v>
      </x:c>
      <x:c r="E220" s="9" t="str">
        <x:v>Negativa</x:v>
      </x:c>
      <x:c r="F220" s="9" t="str">
        <x:v>Navegador + HTTP + persistencia</x:v>
      </x:c>
      <x:c r="G220" s="10" t="str">
        <x:v>Pendiente</x:v>
      </x:c>
      <x:c r="H220" s="10"/>
      <x:c r="I220" s="10"/>
      <x:c r="J220" s="10"/>
      <x:c r="K220" s="10"/>
      <x:c r="L220" s="11"/>
      <x:c r="M220" s="12"/>
      <x:c r="N220" s="10"/>
    </x:row>
    <x:row r="221" ht="25" customHeight="1">
      <x:c r="A221" s="9" t="str">
        <x:v>QA-IGT-014</x:v>
      </x:c>
      <x:c r="B221" s="9" t="str">
        <x:v>IGT</x:v>
      </x:c>
      <x:c r="C221" s="9" t="str">
        <x:v>IGTF inicial exportación y terceros</x:v>
      </x:c>
      <x:c r="D221" s="9" t="str">
        <x:v>P0</x:v>
      </x:c>
      <x:c r="E221" s="9" t="str">
        <x:v>Positiva</x:v>
      </x:c>
      <x:c r="F221" s="9" t="str">
        <x:v>Navegador + HTTP + persistencia</x:v>
      </x:c>
      <x:c r="G221" s="10" t="str">
        <x:v>Pendiente</x:v>
      </x:c>
      <x:c r="H221" s="10"/>
      <x:c r="I221" s="10"/>
      <x:c r="J221" s="10"/>
      <x:c r="K221" s="10"/>
      <x:c r="L221" s="11"/>
      <x:c r="M221" s="12"/>
      <x:c r="N221" s="10"/>
    </x:row>
    <x:row r="222" ht="25" customHeight="1">
      <x:c r="A222" s="9" t="str">
        <x:v>QA-RET-001</x:v>
      </x:c>
      <x:c r="B222" s="9" t="str">
        <x:v>RET</x:v>
      </x:c>
      <x:c r="C222" s="9" t="str">
        <x:v>Retención IVA 75 %</x:v>
      </x:c>
      <x:c r="D222" s="9" t="str">
        <x:v>P0</x:v>
      </x:c>
      <x:c r="E222" s="9" t="str">
        <x:v>Positiva</x:v>
      </x:c>
      <x:c r="F222" s="9" t="str">
        <x:v>Navegador + HTTP + persistencia</x:v>
      </x:c>
      <x:c r="G222" s="10" t="str">
        <x:v>Pendiente</x:v>
      </x:c>
      <x:c r="H222" s="10"/>
      <x:c r="I222" s="10"/>
      <x:c r="J222" s="10"/>
      <x:c r="K222" s="10"/>
      <x:c r="L222" s="11"/>
      <x:c r="M222" s="12"/>
      <x:c r="N222" s="10"/>
    </x:row>
    <x:row r="223" ht="25" customHeight="1">
      <x:c r="A223" s="9" t="str">
        <x:v>QA-RET-002</x:v>
      </x:c>
      <x:c r="B223" s="9" t="str">
        <x:v>RET</x:v>
      </x:c>
      <x:c r="C223" s="9" t="str">
        <x:v>Retención IVA 100 %</x:v>
      </x:c>
      <x:c r="D223" s="9" t="str">
        <x:v>P0</x:v>
      </x:c>
      <x:c r="E223" s="9" t="str">
        <x:v>Positiva</x:v>
      </x:c>
      <x:c r="F223" s="9" t="str">
        <x:v>Navegador + HTTP + persistencia</x:v>
      </x:c>
      <x:c r="G223" s="10" t="str">
        <x:v>Pendiente</x:v>
      </x:c>
      <x:c r="H223" s="10"/>
      <x:c r="I223" s="10"/>
      <x:c r="J223" s="10"/>
      <x:c r="K223" s="10"/>
      <x:c r="L223" s="11"/>
      <x:c r="M223" s="12"/>
      <x:c r="N223" s="10"/>
    </x:row>
    <x:row r="224" ht="25" customHeight="1">
      <x:c r="A224" s="9" t="str">
        <x:v>QA-RET-003</x:v>
      </x:c>
      <x:c r="B224" s="9" t="str">
        <x:v>RET</x:v>
      </x:c>
      <x:c r="C224" s="9" t="str">
        <x:v>ISLR con sustraendo</x:v>
      </x:c>
      <x:c r="D224" s="9" t="str">
        <x:v>P0</x:v>
      </x:c>
      <x:c r="E224" s="9" t="str">
        <x:v>Positiva</x:v>
      </x:c>
      <x:c r="F224" s="9" t="str">
        <x:v>Navegador + HTTP + persistencia</x:v>
      </x:c>
      <x:c r="G224" s="10" t="str">
        <x:v>Pendiente</x:v>
      </x:c>
      <x:c r="H224" s="10"/>
      <x:c r="I224" s="10"/>
      <x:c r="J224" s="10"/>
      <x:c r="K224" s="10"/>
      <x:c r="L224" s="11"/>
      <x:c r="M224" s="12"/>
      <x:c r="N224" s="10"/>
    </x:row>
    <x:row r="225" ht="25" customHeight="1">
      <x:c r="A225" s="9" t="str">
        <x:v>QA-RET-004</x:v>
      </x:c>
      <x:c r="B225" s="9" t="str">
        <x:v>RET</x:v>
      </x:c>
      <x:c r="C225" s="9" t="str">
        <x:v>Un comprobante activo por impuesto y coexistencia IVA+ISLR</x:v>
      </x:c>
      <x:c r="D225" s="9" t="str">
        <x:v>P0</x:v>
      </x:c>
      <x:c r="E225" s="9" t="str">
        <x:v>Positiva</x:v>
      </x:c>
      <x:c r="F225" s="9" t="str">
        <x:v>Navegador + HTTP + persistencia</x:v>
      </x:c>
      <x:c r="G225" s="10" t="str">
        <x:v>Pendiente</x:v>
      </x:c>
      <x:c r="H225" s="10"/>
      <x:c r="I225" s="10"/>
      <x:c r="J225" s="10"/>
      <x:c r="K225" s="10"/>
      <x:c r="L225" s="11"/>
      <x:c r="M225" s="12"/>
      <x:c r="N225" s="10"/>
    </x:row>
    <x:row r="226" ht="25" customHeight="1">
      <x:c r="A226" s="9" t="str">
        <x:v>QA-RET-005</x:v>
      </x:c>
      <x:c r="B226" s="9" t="str">
        <x:v>RET</x:v>
      </x:c>
      <x:c r="C226" s="9" t="str">
        <x:v>Retención en moneda diferente</x:v>
      </x:c>
      <x:c r="D226" s="9" t="str">
        <x:v>P0</x:v>
      </x:c>
      <x:c r="E226" s="9" t="str">
        <x:v>Positiva</x:v>
      </x:c>
      <x:c r="F226" s="9" t="str">
        <x:v>Navegador + HTTP + persistencia</x:v>
      </x:c>
      <x:c r="G226" s="10" t="str">
        <x:v>Pendiente</x:v>
      </x:c>
      <x:c r="H226" s="10"/>
      <x:c r="I226" s="10"/>
      <x:c r="J226" s="10"/>
      <x:c r="K226" s="10"/>
      <x:c r="L226" s="11"/>
      <x:c r="M226" s="12"/>
      <x:c r="N226" s="10"/>
    </x:row>
    <x:row r="227" ht="25" customHeight="1">
      <x:c r="A227" s="9" t="str">
        <x:v>QA-RET-006</x:v>
      </x:c>
      <x:c r="B227" s="9" t="str">
        <x:v>RET</x:v>
      </x:c>
      <x:c r="C227" s="9" t="str">
        <x:v>Agente distinto o ajeno</x:v>
      </x:c>
      <x:c r="D227" s="9" t="str">
        <x:v>P0</x:v>
      </x:c>
      <x:c r="E227" s="9" t="str">
        <x:v>Seguridad</x:v>
      </x:c>
      <x:c r="F227" s="9" t="str">
        <x:v>Navegador + HTTP + persistencia</x:v>
      </x:c>
      <x:c r="G227" s="10" t="str">
        <x:v>Pendiente</x:v>
      </x:c>
      <x:c r="H227" s="10"/>
      <x:c r="I227" s="10"/>
      <x:c r="J227" s="10"/>
      <x:c r="K227" s="10"/>
      <x:c r="L227" s="11"/>
      <x:c r="M227" s="12"/>
      <x:c r="N227" s="10"/>
    </x:row>
    <x:row r="228" ht="25" customHeight="1">
      <x:c r="A228" s="9" t="str">
        <x:v>QA-RET-007</x:v>
      </x:c>
      <x:c r="B228" s="9" t="str">
        <x:v>RET</x:v>
      </x:c>
      <x:c r="C228" s="9" t="str">
        <x:v>Número duplicado y concurrencia</x:v>
      </x:c>
      <x:c r="D228" s="9" t="str">
        <x:v>P0</x:v>
      </x:c>
      <x:c r="E228" s="9" t="str">
        <x:v>Concurrencia</x:v>
      </x:c>
      <x:c r="F228" s="9" t="str">
        <x:v>Navegador + HTTP + persistencia</x:v>
      </x:c>
      <x:c r="G228" s="10" t="str">
        <x:v>Pendiente</x:v>
      </x:c>
      <x:c r="H228" s="10"/>
      <x:c r="I228" s="10"/>
      <x:c r="J228" s="10"/>
      <x:c r="K228" s="10"/>
      <x:c r="L228" s="11"/>
      <x:c r="M228" s="12"/>
      <x:c r="N228" s="10"/>
    </x:row>
    <x:row r="229" ht="25" customHeight="1">
      <x:c r="A229" s="9" t="str">
        <x:v>QA-RET-008</x:v>
      </x:c>
      <x:c r="B229" s="9" t="str">
        <x:v>RET</x:v>
      </x:c>
      <x:c r="C229" s="9" t="str">
        <x:v>Exceso de saldo o impuesto IVA</x:v>
      </x:c>
      <x:c r="D229" s="9" t="str">
        <x:v>P0</x:v>
      </x:c>
      <x:c r="E229" s="9" t="str">
        <x:v>Negativa</x:v>
      </x:c>
      <x:c r="F229" s="9" t="str">
        <x:v>Navegador + HTTP + persistencia</x:v>
      </x:c>
      <x:c r="G229" s="10" t="str">
        <x:v>Pendiente</x:v>
      </x:c>
      <x:c r="H229" s="10"/>
      <x:c r="I229" s="10"/>
      <x:c r="J229" s="10"/>
      <x:c r="K229" s="10"/>
      <x:c r="L229" s="11"/>
      <x:c r="M229" s="12"/>
      <x:c r="N229" s="10"/>
    </x:row>
    <x:row r="230" ht="25" customHeight="1">
      <x:c r="A230" s="9" t="str">
        <x:v>QA-RET-009</x:v>
      </x:c>
      <x:c r="B230" s="9" t="str">
        <x:v>RET</x:v>
      </x:c>
      <x:c r="C230" s="9" t="str">
        <x:v>Importe o fórmula incorrectos</x:v>
      </x:c>
      <x:c r="D230" s="9" t="str">
        <x:v>P1</x:v>
      </x:c>
      <x:c r="E230" s="9" t="str">
        <x:v>Negativa</x:v>
      </x:c>
      <x:c r="F230" s="9" t="str">
        <x:v>Navegador + HTTP + persistencia</x:v>
      </x:c>
      <x:c r="G230" s="10" t="str">
        <x:v>Pendiente</x:v>
      </x:c>
      <x:c r="H230" s="10"/>
      <x:c r="I230" s="10"/>
      <x:c r="J230" s="10"/>
      <x:c r="K230" s="10"/>
      <x:c r="L230" s="11"/>
      <x:c r="M230" s="12"/>
      <x:c r="N230" s="10"/>
    </x:row>
    <x:row r="231" ht="25" customHeight="1">
      <x:c r="A231" s="9" t="str">
        <x:v>QA-RET-010</x:v>
      </x:c>
      <x:c r="B231" s="9" t="str">
        <x:v>RET</x:v>
      </x:c>
      <x:c r="C231" s="9" t="str">
        <x:v>ISLR sin concepto o inválido</x:v>
      </x:c>
      <x:c r="D231" s="9" t="str">
        <x:v>P1</x:v>
      </x:c>
      <x:c r="E231" s="9" t="str">
        <x:v>Negativa</x:v>
      </x:c>
      <x:c r="F231" s="9" t="str">
        <x:v>Navegador + HTTP + persistencia</x:v>
      </x:c>
      <x:c r="G231" s="10" t="str">
        <x:v>Pendiente</x:v>
      </x:c>
      <x:c r="H231" s="10"/>
      <x:c r="I231" s="10"/>
      <x:c r="J231" s="10"/>
      <x:c r="K231" s="10"/>
      <x:c r="L231" s="11"/>
      <x:c r="M231" s="12"/>
      <x:c r="N231" s="10"/>
    </x:row>
    <x:row r="232" ht="25" customHeight="1">
      <x:c r="A232" s="9" t="str">
        <x:v>QA-RET-011</x:v>
      </x:c>
      <x:c r="B232" s="9" t="str">
        <x:v>RET</x:v>
      </x:c>
      <x:c r="C232" s="9" t="str">
        <x:v>Adjuntos PDF/JPG/PNG</x:v>
      </x:c>
      <x:c r="D232" s="9" t="str">
        <x:v>P1</x:v>
      </x:c>
      <x:c r="E232" s="9" t="str">
        <x:v>Positiva</x:v>
      </x:c>
      <x:c r="F232" s="9" t="str">
        <x:v>Navegador + HTTP + persistencia</x:v>
      </x:c>
      <x:c r="G232" s="10" t="str">
        <x:v>Pendiente</x:v>
      </x:c>
      <x:c r="H232" s="10"/>
      <x:c r="I232" s="10"/>
      <x:c r="J232" s="10"/>
      <x:c r="K232" s="10"/>
      <x:c r="L232" s="11"/>
      <x:c r="M232" s="12"/>
      <x:c r="N232" s="10"/>
    </x:row>
    <x:row r="233" ht="25" customHeight="1">
      <x:c r="A233" s="9" t="str">
        <x:v>QA-RET-012</x:v>
      </x:c>
      <x:c r="B233" s="9" t="str">
        <x:v>RET</x:v>
      </x:c>
      <x:c r="C233" s="9" t="str">
        <x:v>Adjunto demasiado grande o tipo inválido</x:v>
      </x:c>
      <x:c r="D233" s="9" t="str">
        <x:v>P1</x:v>
      </x:c>
      <x:c r="E233" s="9" t="str">
        <x:v>Negativa</x:v>
      </x:c>
      <x:c r="F233" s="9" t="str">
        <x:v>Navegador + HTTP + persistencia</x:v>
      </x:c>
      <x:c r="G233" s="10" t="str">
        <x:v>Pendiente</x:v>
      </x:c>
      <x:c r="H233" s="10"/>
      <x:c r="I233" s="10"/>
      <x:c r="J233" s="10"/>
      <x:c r="K233" s="10"/>
      <x:c r="L233" s="11"/>
      <x:c r="M233" s="12"/>
      <x:c r="N233" s="10"/>
    </x:row>
    <x:row r="234" ht="25" customHeight="1">
      <x:c r="A234" s="9" t="str">
        <x:v>QA-RET-013</x:v>
      </x:c>
      <x:c r="B234" s="9" t="str">
        <x:v>RET</x:v>
      </x:c>
      <x:c r="C234" s="9" t="str">
        <x:v>Adjunto de otra factura o ruta insegura</x:v>
      </x:c>
      <x:c r="D234" s="9" t="str">
        <x:v>P0</x:v>
      </x:c>
      <x:c r="E234" s="9" t="str">
        <x:v>Seguridad</x:v>
      </x:c>
      <x:c r="F234" s="9" t="str">
        <x:v>Navegador + HTTP + persistencia</x:v>
      </x:c>
      <x:c r="G234" s="10" t="str">
        <x:v>Pendiente</x:v>
      </x:c>
      <x:c r="H234" s="10"/>
      <x:c r="I234" s="10"/>
      <x:c r="J234" s="10"/>
      <x:c r="K234" s="10"/>
      <x:c r="L234" s="11"/>
      <x:c r="M234" s="12"/>
      <x:c r="N234" s="10"/>
    </x:row>
    <x:row r="235" ht="25" customHeight="1">
      <x:c r="A235" s="9" t="str">
        <x:v>QA-RET-014</x:v>
      </x:c>
      <x:c r="B235" s="9" t="str">
        <x:v>RET</x:v>
      </x:c>
      <x:c r="C235" s="9" t="str">
        <x:v>Permisos de registrar retención</x:v>
      </x:c>
      <x:c r="D235" s="9" t="str">
        <x:v>P0</x:v>
      </x:c>
      <x:c r="E235" s="9" t="str">
        <x:v>Seguridad</x:v>
      </x:c>
      <x:c r="F235" s="9" t="str">
        <x:v>Navegador + HTTP + persistencia</x:v>
      </x:c>
      <x:c r="G235" s="10" t="str">
        <x:v>Pendiente</x:v>
      </x:c>
      <x:c r="H235" s="10"/>
      <x:c r="I235" s="10"/>
      <x:c r="J235" s="10"/>
      <x:c r="K235" s="10"/>
      <x:c r="L235" s="11"/>
      <x:c r="M235" s="12"/>
      <x:c r="N235" s="10"/>
    </x:row>
    <x:row r="236" ht="25" customHeight="1">
      <x:c r="A236" s="9" t="str">
        <x:v>QA-RET-015</x:v>
      </x:c>
      <x:c r="B236" s="9" t="str">
        <x:v>RET</x:v>
      </x:c>
      <x:c r="C236" s="9" t="str">
        <x:v>Retención sobre anulado o no Factura</x:v>
      </x:c>
      <x:c r="D236" s="9" t="str">
        <x:v>P0</x:v>
      </x:c>
      <x:c r="E236" s="9" t="str">
        <x:v>Negativa</x:v>
      </x:c>
      <x:c r="F236" s="9" t="str">
        <x:v>Navegador + HTTP + persistencia</x:v>
      </x:c>
      <x:c r="G236" s="10" t="str">
        <x:v>Pendiente</x:v>
      </x:c>
      <x:c r="H236" s="10"/>
      <x:c r="I236" s="10"/>
      <x:c r="J236" s="10"/>
      <x:c r="K236" s="10"/>
      <x:c r="L236" s="11"/>
      <x:c r="M236" s="12"/>
      <x:c r="N236" s="10"/>
    </x:row>
    <x:row r="237" ht="25" customHeight="1">
      <x:c r="A237" s="9" t="str">
        <x:v>QA-RET-016</x:v>
      </x:c>
      <x:c r="B237" s="9" t="str">
        <x:v>RET</x:v>
      </x:c>
      <x:c r="C237" s="9" t="str">
        <x:v>Fondo garantía 10 %</x:v>
      </x:c>
      <x:c r="D237" s="9" t="str">
        <x:v>P0</x:v>
      </x:c>
      <x:c r="E237" s="9" t="str">
        <x:v>Positiva</x:v>
      </x:c>
      <x:c r="F237" s="9" t="str">
        <x:v>Navegador + HTTP + persistencia</x:v>
      </x:c>
      <x:c r="G237" s="10" t="str">
        <x:v>Pendiente</x:v>
      </x:c>
      <x:c r="H237" s="10"/>
      <x:c r="I237" s="10"/>
      <x:c r="J237" s="10"/>
      <x:c r="K237" s="10"/>
      <x:c r="L237" s="11"/>
      <x:c r="M237" s="12"/>
      <x:c r="N237" s="10"/>
    </x:row>
    <x:row r="238" ht="25" customHeight="1">
      <x:c r="A238" s="9" t="str">
        <x:v>QA-RET-017</x:v>
      </x:c>
      <x:c r="B238" s="9" t="str">
        <x:v>RET</x:v>
      </x:c>
      <x:c r="C238" s="9" t="str">
        <x:v>Fondo inválido o superior al saldo</x:v>
      </x:c>
      <x:c r="D238" s="9" t="str">
        <x:v>P0</x:v>
      </x:c>
      <x:c r="E238" s="9" t="str">
        <x:v>Negativa</x:v>
      </x:c>
      <x:c r="F238" s="9" t="str">
        <x:v>Navegador + HTTP + persistencia</x:v>
      </x:c>
      <x:c r="G238" s="10" t="str">
        <x:v>Pendiente</x:v>
      </x:c>
      <x:c r="H238" s="10"/>
      <x:c r="I238" s="10"/>
      <x:c r="J238" s="10"/>
      <x:c r="K238" s="10"/>
      <x:c r="L238" s="11"/>
      <x:c r="M238" s="12"/>
      <x:c r="N238" s="10"/>
    </x:row>
    <x:row r="239" ht="25" customHeight="1">
      <x:c r="A239" s="9" t="str">
        <x:v>QA-RET-018</x:v>
      </x:c>
      <x:c r="B239" s="9" t="str">
        <x:v>RET</x:v>
      </x:c>
      <x:c r="C239" s="9" t="str">
        <x:v>Aplicaciones combinadas</x:v>
      </x:c>
      <x:c r="D239" s="9" t="str">
        <x:v>P0</x:v>
      </x:c>
      <x:c r="E239" s="9" t="str">
        <x:v>Positiva</x:v>
      </x:c>
      <x:c r="F239" s="9" t="str">
        <x:v>Navegador + HTTP + persistencia</x:v>
      </x:c>
      <x:c r="G239" s="10" t="str">
        <x:v>Pendiente</x:v>
      </x:c>
      <x:c r="H239" s="10"/>
      <x:c r="I239" s="10"/>
      <x:c r="J239" s="10"/>
      <x:c r="K239" s="10"/>
      <x:c r="L239" s="11"/>
      <x:c r="M239" s="12"/>
      <x:c r="N239" s="10"/>
    </x:row>
    <x:row r="240" ht="25" customHeight="1">
      <x:c r="A240" s="9" t="str">
        <x:v>QA-RET-019</x:v>
      </x:c>
      <x:c r="B240" s="9" t="str">
        <x:v>RET</x:v>
      </x:c>
      <x:c r="C240" s="9" t="str">
        <x:v>Edición con retenciones/fondo</x:v>
      </x:c>
      <x:c r="D240" s="9" t="str">
        <x:v>P0</x:v>
      </x:c>
      <x:c r="E240" s="9" t="str">
        <x:v>Negativa</x:v>
      </x:c>
      <x:c r="F240" s="9" t="str">
        <x:v>Navegador + HTTP + persistencia</x:v>
      </x:c>
      <x:c r="G240" s="10" t="str">
        <x:v>Pendiente</x:v>
      </x:c>
      <x:c r="H240" s="10"/>
      <x:c r="I240" s="10"/>
      <x:c r="J240" s="10"/>
      <x:c r="K240" s="10"/>
      <x:c r="L240" s="11"/>
      <x:c r="M240" s="12"/>
      <x:c r="N240" s="10"/>
    </x:row>
    <x:row r="241" ht="25" customHeight="1">
      <x:c r="A241" s="9" t="str">
        <x:v>QA-EDI-001</x:v>
      </x:c>
      <x:c r="B241" s="9" t="str">
        <x:v>EDI</x:v>
      </x:c>
      <x:c r="C241" s="9" t="str">
        <x:v>Edición en estado not_requested</x:v>
      </x:c>
      <x:c r="D241" s="9" t="str">
        <x:v>P0</x:v>
      </x:c>
      <x:c r="E241" s="9" t="str">
        <x:v>Positiva</x:v>
      </x:c>
      <x:c r="F241" s="9" t="str">
        <x:v>Navegador + HTTP + persistencia</x:v>
      </x:c>
      <x:c r="G241" s="10" t="str">
        <x:v>Pendiente</x:v>
      </x:c>
      <x:c r="H241" s="10"/>
      <x:c r="I241" s="10"/>
      <x:c r="J241" s="10"/>
      <x:c r="K241" s="10"/>
      <x:c r="L241" s="11"/>
      <x:c r="M241" s="12"/>
      <x:c r="N241" s="10"/>
    </x:row>
    <x:row r="242" ht="25" customHeight="1">
      <x:c r="A242" s="9" t="str">
        <x:v>QA-EDI-002</x:v>
      </x:c>
      <x:c r="B242" s="9" t="str">
        <x:v>EDI</x:v>
      </x:c>
      <x:c r="C242" s="9" t="str">
        <x:v>Edición en estado prepared</x:v>
      </x:c>
      <x:c r="D242" s="9" t="str">
        <x:v>P0</x:v>
      </x:c>
      <x:c r="E242" s="9" t="str">
        <x:v>Positiva</x:v>
      </x:c>
      <x:c r="F242" s="9" t="str">
        <x:v>Navegador + HTTP + persistencia</x:v>
      </x:c>
      <x:c r="G242" s="10" t="str">
        <x:v>Pendiente</x:v>
      </x:c>
      <x:c r="H242" s="10"/>
      <x:c r="I242" s="10"/>
      <x:c r="J242" s="10"/>
      <x:c r="K242" s="10"/>
      <x:c r="L242" s="11"/>
      <x:c r="M242" s="12"/>
      <x:c r="N242" s="10"/>
    </x:row>
    <x:row r="243" ht="25" customHeight="1">
      <x:c r="A243" s="9" t="str">
        <x:v>QA-EDI-003</x:v>
      </x:c>
      <x:c r="B243" s="9" t="str">
        <x:v>EDI</x:v>
      </x:c>
      <x:c r="C243" s="9" t="str">
        <x:v>Edición en estado rejected</x:v>
      </x:c>
      <x:c r="D243" s="9" t="str">
        <x:v>P0</x:v>
      </x:c>
      <x:c r="E243" s="9" t="str">
        <x:v>Positiva</x:v>
      </x:c>
      <x:c r="F243" s="9" t="str">
        <x:v>Navegador + HTTP + persistencia</x:v>
      </x:c>
      <x:c r="G243" s="10" t="str">
        <x:v>Pendiente</x:v>
      </x:c>
      <x:c r="H243" s="10"/>
      <x:c r="I243" s="10"/>
      <x:c r="J243" s="10"/>
      <x:c r="K243" s="10"/>
      <x:c r="L243" s="11"/>
      <x:c r="M243" s="12"/>
      <x:c r="N243" s="10"/>
    </x:row>
    <x:row r="244" ht="25" customHeight="1">
      <x:c r="A244" s="9" t="str">
        <x:v>QA-EDI-004</x:v>
      </x:c>
      <x:c r="B244" s="9" t="str">
        <x:v>EDI</x:v>
      </x:c>
      <x:c r="C244" s="9" t="str">
        <x:v>Edición en estado pending</x:v>
      </x:c>
      <x:c r="D244" s="9" t="str">
        <x:v>P0</x:v>
      </x:c>
      <x:c r="E244" s="9" t="str">
        <x:v>Negativa</x:v>
      </x:c>
      <x:c r="F244" s="9" t="str">
        <x:v>Navegador + HTTP + persistencia</x:v>
      </x:c>
      <x:c r="G244" s="10" t="str">
        <x:v>Pendiente</x:v>
      </x:c>
      <x:c r="H244" s="10"/>
      <x:c r="I244" s="10"/>
      <x:c r="J244" s="10"/>
      <x:c r="K244" s="10"/>
      <x:c r="L244" s="11"/>
      <x:c r="M244" s="12"/>
      <x:c r="N244" s="10"/>
    </x:row>
    <x:row r="245" ht="25" customHeight="1">
      <x:c r="A245" s="9" t="str">
        <x:v>QA-EDI-005</x:v>
      </x:c>
      <x:c r="B245" s="9" t="str">
        <x:v>EDI</x:v>
      </x:c>
      <x:c r="C245" s="9" t="str">
        <x:v>Edición en estado confirmed</x:v>
      </x:c>
      <x:c r="D245" s="9" t="str">
        <x:v>P0</x:v>
      </x:c>
      <x:c r="E245" s="9" t="str">
        <x:v>Negativa</x:v>
      </x:c>
      <x:c r="F245" s="9" t="str">
        <x:v>Navegador + HTTP + persistencia</x:v>
      </x:c>
      <x:c r="G245" s="10" t="str">
        <x:v>Pendiente</x:v>
      </x:c>
      <x:c r="H245" s="10"/>
      <x:c r="I245" s="10"/>
      <x:c r="J245" s="10"/>
      <x:c r="K245" s="10"/>
      <x:c r="L245" s="11"/>
      <x:c r="M245" s="12"/>
      <x:c r="N245" s="10"/>
    </x:row>
    <x:row r="246" ht="25" customHeight="1">
      <x:c r="A246" s="9" t="str">
        <x:v>QA-EDI-006</x:v>
      </x:c>
      <x:c r="B246" s="9" t="str">
        <x:v>EDI</x:v>
      </x:c>
      <x:c r="C246" s="9" t="str">
        <x:v>Edición en estado cancelled</x:v>
      </x:c>
      <x:c r="D246" s="9" t="str">
        <x:v>P0</x:v>
      </x:c>
      <x:c r="E246" s="9" t="str">
        <x:v>Negativa</x:v>
      </x:c>
      <x:c r="F246" s="9" t="str">
        <x:v>Navegador + HTTP + persistencia</x:v>
      </x:c>
      <x:c r="G246" s="10" t="str">
        <x:v>Pendiente</x:v>
      </x:c>
      <x:c r="H246" s="10"/>
      <x:c r="I246" s="10"/>
      <x:c r="J246" s="10"/>
      <x:c r="K246" s="10"/>
      <x:c r="L246" s="11"/>
      <x:c r="M246" s="12"/>
      <x:c r="N246" s="10"/>
    </x:row>
    <x:row r="247" ht="25" customHeight="1">
      <x:c r="A247" s="9" t="str">
        <x:v>QA-EDI-007</x:v>
      </x:c>
      <x:c r="B247" s="9" t="str">
        <x:v>EDI</x:v>
      </x:c>
      <x:c r="C247" s="9" t="str">
        <x:v>Edición en estado uncertain</x:v>
      </x:c>
      <x:c r="D247" s="9" t="str">
        <x:v>P0</x:v>
      </x:c>
      <x:c r="E247" s="9" t="str">
        <x:v>Negativa</x:v>
      </x:c>
      <x:c r="F247" s="9" t="str">
        <x:v>Navegador + HTTP + persistencia</x:v>
      </x:c>
      <x:c r="G247" s="10" t="str">
        <x:v>Pendiente</x:v>
      </x:c>
      <x:c r="H247" s="10"/>
      <x:c r="I247" s="10"/>
      <x:c r="J247" s="10"/>
      <x:c r="K247" s="10"/>
      <x:c r="L247" s="11"/>
      <x:c r="M247" s="12"/>
      <x:c r="N247" s="10"/>
    </x:row>
    <x:row r="248" ht="25" customHeight="1">
      <x:c r="A248" s="9" t="str">
        <x:v>QA-EDI-008</x:v>
      </x:c>
      <x:c r="B248" s="9" t="str">
        <x:v>EDI</x:v>
      </x:c>
      <x:c r="C248" s="9" t="str">
        <x:v>Edición en estado uncertain con retry_allowed acreditado</x:v>
      </x:c>
      <x:c r="D248" s="9" t="str">
        <x:v>P0</x:v>
      </x:c>
      <x:c r="E248" s="9" t="str">
        <x:v>Positiva</x:v>
      </x:c>
      <x:c r="F248" s="9" t="str">
        <x:v>Navegador + HTTP + persistencia</x:v>
      </x:c>
      <x:c r="G248" s="10" t="str">
        <x:v>Pendiente</x:v>
      </x:c>
      <x:c r="H248" s="10"/>
      <x:c r="I248" s="10"/>
      <x:c r="J248" s="10"/>
      <x:c r="K248" s="10"/>
      <x:c r="L248" s="11"/>
      <x:c r="M248" s="12"/>
      <x:c r="N248" s="10"/>
    </x:row>
    <x:row r="249" ht="25" customHeight="1">
      <x:c r="A249" s="9" t="str">
        <x:v>QA-EDI-009</x:v>
      </x:c>
      <x:c r="B249" s="9" t="str">
        <x:v>EDI</x:v>
      </x:c>
      <x:c r="C249" s="9" t="str">
        <x:v>Control existente bloquea edición</x:v>
      </x:c>
      <x:c r="D249" s="9" t="str">
        <x:v>P0</x:v>
      </x:c>
      <x:c r="E249" s="9" t="str">
        <x:v>Negativa</x:v>
      </x:c>
      <x:c r="F249" s="9" t="str">
        <x:v>Navegador + HTTP + persistencia</x:v>
      </x:c>
      <x:c r="G249" s="10" t="str">
        <x:v>Pendiente</x:v>
      </x:c>
      <x:c r="H249" s="10"/>
      <x:c r="I249" s="10"/>
      <x:c r="J249" s="10"/>
      <x:c r="K249" s="10"/>
      <x:c r="L249" s="11"/>
      <x:c r="M249" s="12"/>
      <x:c r="N249" s="10"/>
    </x:row>
    <x:row r="250" ht="25" customHeight="1">
      <x:c r="A250" s="9" t="str">
        <x:v>QA-EDI-010</x:v>
      </x:c>
      <x:c r="B250" s="9" t="str">
        <x:v>EDI</x:v>
      </x:c>
      <x:c r="C250" s="9" t="str">
        <x:v>Editar cantidad con pago existente</x:v>
      </x:c>
      <x:c r="D250" s="9" t="str">
        <x:v>P0</x:v>
      </x:c>
      <x:c r="E250" s="9" t="str">
        <x:v>Positiva</x:v>
      </x:c>
      <x:c r="F250" s="9" t="str">
        <x:v>Navegador + HTTP + persistencia</x:v>
      </x:c>
      <x:c r="G250" s="10" t="str">
        <x:v>Pendiente</x:v>
      </x:c>
      <x:c r="H250" s="10"/>
      <x:c r="I250" s="10"/>
      <x:c r="J250" s="10"/>
      <x:c r="K250" s="10"/>
      <x:c r="L250" s="11"/>
      <x:c r="M250" s="12"/>
      <x:c r="N250" s="10"/>
    </x:row>
    <x:row r="251" ht="25" customHeight="1">
      <x:c r="A251" s="9" t="str">
        <x:v>QA-EDI-011</x:v>
      </x:c>
      <x:c r="B251" s="9" t="str">
        <x:v>EDI</x:v>
      </x:c>
      <x:c r="C251" s="9" t="str">
        <x:v>Bajar total por debajo de aplicado</x:v>
      </x:c>
      <x:c r="D251" s="9" t="str">
        <x:v>P0</x:v>
      </x:c>
      <x:c r="E251" s="9" t="str">
        <x:v>Negativa</x:v>
      </x:c>
      <x:c r="F251" s="9" t="str">
        <x:v>Navegador + HTTP + persistencia</x:v>
      </x:c>
      <x:c r="G251" s="10" t="str">
        <x:v>Pendiente</x:v>
      </x:c>
      <x:c r="H251" s="10"/>
      <x:c r="I251" s="10"/>
      <x:c r="J251" s="10"/>
      <x:c r="K251" s="10"/>
      <x:c r="L251" s="11"/>
      <x:c r="M251" s="12"/>
      <x:c r="N251" s="10"/>
    </x:row>
    <x:row r="252" ht="25" customHeight="1">
      <x:c r="A252" s="9" t="str">
        <x:v>QA-EDI-012</x:v>
      </x:c>
      <x:c r="B252" s="9" t="str">
        <x:v>EDI</x:v>
      </x:c>
      <x:c r="C252" s="9" t="str">
        <x:v>Cobros inmutables en editor</x:v>
      </x:c>
      <x:c r="D252" s="9" t="str">
        <x:v>P0</x:v>
      </x:c>
      <x:c r="E252" s="9" t="str">
        <x:v>Negativa</x:v>
      </x:c>
      <x:c r="F252" s="9" t="str">
        <x:v>Navegador + HTTP + persistencia</x:v>
      </x:c>
      <x:c r="G252" s="10" t="str">
        <x:v>Pendiente</x:v>
      </x:c>
      <x:c r="H252" s="10"/>
      <x:c r="I252" s="10"/>
      <x:c r="J252" s="10"/>
      <x:c r="K252" s="10"/>
      <x:c r="L252" s="11"/>
      <x:c r="M252" s="12"/>
      <x:c r="N252" s="10"/>
    </x:row>
    <x:row r="253" ht="25" customHeight="1">
      <x:c r="A253" s="9" t="str">
        <x:v>QA-EDI-013</x:v>
      </x:c>
      <x:c r="B253" s="9" t="str">
        <x:v>EDI</x:v>
      </x:c>
      <x:c r="C253" s="9" t="str">
        <x:v>Moneda y numeración no se editan</x:v>
      </x:c>
      <x:c r="D253" s="9" t="str">
        <x:v>P0</x:v>
      </x:c>
      <x:c r="E253" s="9" t="str">
        <x:v>Seguridad</x:v>
      </x:c>
      <x:c r="F253" s="9" t="str">
        <x:v>Navegador + HTTP + persistencia</x:v>
      </x:c>
      <x:c r="G253" s="10" t="str">
        <x:v>Pendiente</x:v>
      </x:c>
      <x:c r="H253" s="10"/>
      <x:c r="I253" s="10"/>
      <x:c r="J253" s="10"/>
      <x:c r="K253" s="10"/>
      <x:c r="L253" s="11"/>
      <x:c r="M253" s="12"/>
      <x:c r="N253" s="10"/>
    </x:row>
    <x:row r="254" ht="25" customHeight="1">
      <x:c r="A254" s="9" t="str">
        <x:v>QA-EDI-014</x:v>
      </x:c>
      <x:c r="B254" s="9" t="str">
        <x:v>EDI</x:v>
      </x:c>
      <x:c r="C254" s="9" t="str">
        <x:v>Renovar comprador en edición explícita</x:v>
      </x:c>
      <x:c r="D254" s="9" t="str">
        <x:v>P1</x:v>
      </x:c>
      <x:c r="E254" s="9" t="str">
        <x:v>Positiva</x:v>
      </x:c>
      <x:c r="F254" s="9" t="str">
        <x:v>Navegador + HTTP + persistencia</x:v>
      </x:c>
      <x:c r="G254" s="10" t="str">
        <x:v>Pendiente</x:v>
      </x:c>
      <x:c r="H254" s="10"/>
      <x:c r="I254" s="10"/>
      <x:c r="J254" s="10"/>
      <x:c r="K254" s="10"/>
      <x:c r="L254" s="11"/>
      <x:c r="M254" s="12"/>
      <x:c r="N254" s="10"/>
    </x:row>
    <x:row r="255" ht="25" customHeight="1">
      <x:c r="A255" s="9" t="str">
        <x:v>QA-EDI-015</x:v>
      </x:c>
      <x:c r="B255" s="9" t="str">
        <x:v>EDI</x:v>
      </x:c>
      <x:c r="C255" s="9" t="str">
        <x:v>Historial de preparación invalidada</x:v>
      </x:c>
      <x:c r="D255" s="9" t="str">
        <x:v>P0</x:v>
      </x:c>
      <x:c r="E255" s="9" t="str">
        <x:v>Positiva</x:v>
      </x:c>
      <x:c r="F255" s="9" t="str">
        <x:v>Navegador + HTTP + persistencia</x:v>
      </x:c>
      <x:c r="G255" s="10" t="str">
        <x:v>Pendiente</x:v>
      </x:c>
      <x:c r="H255" s="10"/>
      <x:c r="I255" s="10"/>
      <x:c r="J255" s="10"/>
      <x:c r="K255" s="10"/>
      <x:c r="L255" s="11"/>
      <x:c r="M255" s="12"/>
      <x:c r="N255" s="10"/>
    </x:row>
    <x:row r="256" ht="25" customHeight="1">
      <x:c r="A256" s="9" t="str">
        <x:v>QA-EDI-016</x:v>
      </x:c>
      <x:c r="B256" s="9" t="str">
        <x:v>EDI</x:v>
      </x:c>
      <x:c r="C256" s="9" t="str">
        <x:v>Respuesta HKA tardía tras edición</x:v>
      </x:c>
      <x:c r="D256" s="9" t="str">
        <x:v>P0</x:v>
      </x:c>
      <x:c r="E256" s="9" t="str">
        <x:v>Concurrencia</x:v>
      </x:c>
      <x:c r="F256" s="9" t="str">
        <x:v>Navegador + HTTP + persistencia</x:v>
      </x:c>
      <x:c r="G256" s="10" t="str">
        <x:v>Pendiente</x:v>
      </x:c>
      <x:c r="H256" s="10"/>
      <x:c r="I256" s="10"/>
      <x:c r="J256" s="10"/>
      <x:c r="K256" s="10"/>
      <x:c r="L256" s="11"/>
      <x:c r="M256" s="12"/>
      <x:c r="N256" s="10"/>
    </x:row>
    <x:row r="257" ht="25" customHeight="1">
      <x:c r="A257" s="9" t="str">
        <x:v>QA-EDI-017</x:v>
      </x:c>
      <x:c r="B257" s="9" t="str">
        <x:v>EDI</x:v>
      </x:c>
      <x:c r="C257" s="9" t="str">
        <x:v>Edición y envío simultáneos</x:v>
      </x:c>
      <x:c r="D257" s="9" t="str">
        <x:v>P0</x:v>
      </x:c>
      <x:c r="E257" s="9" t="str">
        <x:v>Concurrencia</x:v>
      </x:c>
      <x:c r="F257" s="9" t="str">
        <x:v>Navegador + HTTP + persistencia</x:v>
      </x:c>
      <x:c r="G257" s="10" t="str">
        <x:v>Pendiente</x:v>
      </x:c>
      <x:c r="H257" s="10"/>
      <x:c r="I257" s="10"/>
      <x:c r="J257" s="10"/>
      <x:c r="K257" s="10"/>
      <x:c r="L257" s="11"/>
      <x:c r="M257" s="12"/>
      <x:c r="N257" s="10"/>
    </x:row>
    <x:row r="258" ht="25" customHeight="1">
      <x:c r="A258" s="9" t="str">
        <x:v>QA-EDI-018</x:v>
      </x:c>
      <x:c r="B258" s="9" t="str">
        <x:v>EDI</x:v>
      </x:c>
      <x:c r="C258" s="9" t="str">
        <x:v>Rollback durante edición</x:v>
      </x:c>
      <x:c r="D258" s="9" t="str">
        <x:v>P0</x:v>
      </x:c>
      <x:c r="E258" s="9" t="str">
        <x:v>Transaccional</x:v>
      </x:c>
      <x:c r="F258" s="9" t="str">
        <x:v>Navegador + HTTP + persistencia</x:v>
      </x:c>
      <x:c r="G258" s="10" t="str">
        <x:v>Pendiente</x:v>
      </x:c>
      <x:c r="H258" s="10"/>
      <x:c r="I258" s="10"/>
      <x:c r="J258" s="10"/>
      <x:c r="K258" s="10"/>
      <x:c r="L258" s="11"/>
      <x:c r="M258" s="12"/>
      <x:c r="N258" s="10"/>
    </x:row>
    <x:row r="259" ht="25" customHeight="1">
      <x:c r="A259" s="9" t="str">
        <x:v>QA-EDI-019</x:v>
      </x:c>
      <x:c r="B259" s="9" t="str">
        <x:v>EDI</x:v>
      </x:c>
      <x:c r="C259" s="9" t="str">
        <x:v>Permisos de editar</x:v>
      </x:c>
      <x:c r="D259" s="9" t="str">
        <x:v>P0</x:v>
      </x:c>
      <x:c r="E259" s="9" t="str">
        <x:v>Seguridad</x:v>
      </x:c>
      <x:c r="F259" s="9" t="str">
        <x:v>Navegador + HTTP + persistencia</x:v>
      </x:c>
      <x:c r="G259" s="10" t="str">
        <x:v>Pendiente</x:v>
      </x:c>
      <x:c r="H259" s="10"/>
      <x:c r="I259" s="10"/>
      <x:c r="J259" s="10"/>
      <x:c r="K259" s="10"/>
      <x:c r="L259" s="11"/>
      <x:c r="M259" s="12"/>
      <x:c r="N259" s="10"/>
    </x:row>
    <x:row r="260" ht="25" customHeight="1">
      <x:c r="A260" s="9" t="str">
        <x:v>QA-EDI-020</x:v>
      </x:c>
      <x:c r="B260" s="9" t="str">
        <x:v>EDI</x:v>
      </x:c>
      <x:c r="C260" s="9" t="str">
        <x:v>Cancelar editor sin guardar</x:v>
      </x:c>
      <x:c r="D260" s="9" t="str">
        <x:v>P1</x:v>
      </x:c>
      <x:c r="E260" s="9" t="str">
        <x:v>Positiva</x:v>
      </x:c>
      <x:c r="F260" s="9" t="str">
        <x:v>Navegador + HTTP + persistencia</x:v>
      </x:c>
      <x:c r="G260" s="10" t="str">
        <x:v>Pendiente</x:v>
      </x:c>
      <x:c r="H260" s="10"/>
      <x:c r="I260" s="10"/>
      <x:c r="J260" s="10"/>
      <x:c r="K260" s="10"/>
      <x:c r="L260" s="11"/>
      <x:c r="M260" s="12"/>
      <x:c r="N260" s="10"/>
    </x:row>
    <x:row r="261" ht="25" customHeight="1">
      <x:c r="A261" s="9" t="str">
        <x:v>QA-HKA-001</x:v>
      </x:c>
      <x:c r="B261" s="9" t="str">
        <x:v>HKA</x:v>
      </x:c>
      <x:c r="C261" s="9" t="str">
        <x:v>Preparación pura sin red</x:v>
      </x:c>
      <x:c r="D261" s="9" t="str">
        <x:v>P0</x:v>
      </x:c>
      <x:c r="E261" s="9" t="str">
        <x:v>Positiva</x:v>
      </x:c>
      <x:c r="F261" s="9" t="str">
        <x:v>Navegador + HTTP + persistencia</x:v>
      </x:c>
      <x:c r="G261" s="10" t="str">
        <x:v>Pendiente</x:v>
      </x:c>
      <x:c r="H261" s="10"/>
      <x:c r="I261" s="10"/>
      <x:c r="J261" s="10"/>
      <x:c r="K261" s="10"/>
      <x:c r="L261" s="11"/>
      <x:c r="M261" s="12"/>
      <x:c r="N261" s="10"/>
    </x:row>
    <x:row r="262" ht="25" customHeight="1">
      <x:c r="A262" s="9" t="str">
        <x:v>QA-HKA-002</x:v>
      </x:c>
      <x:c r="B262" s="9" t="str">
        <x:v>HKA</x:v>
      </x:c>
      <x:c r="C262" s="9" t="str">
        <x:v>Preparar dos veces</x:v>
      </x:c>
      <x:c r="D262" s="9" t="str">
        <x:v>P0</x:v>
      </x:c>
      <x:c r="E262" s="9" t="str">
        <x:v>Positiva</x:v>
      </x:c>
      <x:c r="F262" s="9" t="str">
        <x:v>Navegador + HTTP + persistencia</x:v>
      </x:c>
      <x:c r="G262" s="10" t="str">
        <x:v>Pendiente</x:v>
      </x:c>
      <x:c r="H262" s="10"/>
      <x:c r="I262" s="10"/>
      <x:c r="J262" s="10"/>
      <x:c r="K262" s="10"/>
      <x:c r="L262" s="11"/>
      <x:c r="M262" s="12"/>
      <x:c r="N262" s="10"/>
    </x:row>
    <x:row r="263" ht="25" customHeight="1">
      <x:c r="A263" s="9" t="str">
        <x:v>QA-HKA-003</x:v>
      </x:c>
      <x:c r="B263" s="9" t="str">
        <x:v>HKA</x:v>
      </x:c>
      <x:c r="C263" s="9" t="str">
        <x:v>Error de equivalencia fiscal</x:v>
      </x:c>
      <x:c r="D263" s="9" t="str">
        <x:v>P0</x:v>
      </x:c>
      <x:c r="E263" s="9" t="str">
        <x:v>Negativa</x:v>
      </x:c>
      <x:c r="F263" s="9" t="str">
        <x:v>Navegador + HTTP + persistencia</x:v>
      </x:c>
      <x:c r="G263" s="10" t="str">
        <x:v>Pendiente</x:v>
      </x:c>
      <x:c r="H263" s="10"/>
      <x:c r="I263" s="10"/>
      <x:c r="J263" s="10"/>
      <x:c r="K263" s="10"/>
      <x:c r="L263" s="11"/>
      <x:c r="M263" s="12"/>
      <x:c r="N263" s="10"/>
    </x:row>
    <x:row r="264" ht="25" customHeight="1">
      <x:c r="A264" s="9" t="str">
        <x:v>QA-HKA-004</x:v>
      </x:c>
      <x:c r="B264" s="9" t="str">
        <x:v>HKA</x:v>
      </x:c>
      <x:c r="C264" s="9" t="str">
        <x:v>Envío automático sólo después del commit</x:v>
      </x:c>
      <x:c r="D264" s="9" t="str">
        <x:v>P0</x:v>
      </x:c>
      <x:c r="E264" s="9" t="str">
        <x:v>Transaccional</x:v>
      </x:c>
      <x:c r="F264" s="9" t="str">
        <x:v>Navegador + HTTP + persistencia</x:v>
      </x:c>
      <x:c r="G264" s="10" t="str">
        <x:v>Pendiente</x:v>
      </x:c>
      <x:c r="H264" s="10"/>
      <x:c r="I264" s="10"/>
      <x:c r="J264" s="10"/>
      <x:c r="K264" s="10"/>
      <x:c r="L264" s="11"/>
      <x:c r="M264" s="12"/>
      <x:c r="N264" s="10"/>
    </x:row>
    <x:row r="265" ht="25" customHeight="1">
      <x:c r="A265" s="9" t="str">
        <x:v>QA-HKA-005</x:v>
      </x:c>
      <x:c r="B265" s="9" t="str">
        <x:v>HKA</x:v>
      </x:c>
      <x:c r="C265" s="9" t="str">
        <x:v>Rollback comercial no emite</x:v>
      </x:c>
      <x:c r="D265" s="9" t="str">
        <x:v>P0</x:v>
      </x:c>
      <x:c r="E265" s="9" t="str">
        <x:v>Transaccional</x:v>
      </x:c>
      <x:c r="F265" s="9" t="str">
        <x:v>Navegador + HTTP + persistencia</x:v>
      </x:c>
      <x:c r="G265" s="10" t="str">
        <x:v>Pendiente</x:v>
      </x:c>
      <x:c r="H265" s="10"/>
      <x:c r="I265" s="10"/>
      <x:c r="J265" s="10"/>
      <x:c r="K265" s="10"/>
      <x:c r="L265" s="11"/>
      <x:c r="M265" s="12"/>
      <x:c r="N265" s="10"/>
    </x:row>
    <x:row r="266" ht="25" customHeight="1">
      <x:c r="A266" s="9" t="str">
        <x:v>QA-HKA-006</x:v>
      </x:c>
      <x:c r="B266" s="9" t="str">
        <x:v>HKA</x:v>
      </x:c>
      <x:c r="C266" s="9" t="str">
        <x:v>Confirmación coherente del proveedor</x:v>
      </x:c>
      <x:c r="D266" s="9" t="str">
        <x:v>P0</x:v>
      </x:c>
      <x:c r="E266" s="9" t="str">
        <x:v>Positiva</x:v>
      </x:c>
      <x:c r="F266" s="9" t="str">
        <x:v>Navegador + HTTP + persistencia</x:v>
      </x:c>
      <x:c r="G266" s="10" t="str">
        <x:v>Pendiente</x:v>
      </x:c>
      <x:c r="H266" s="10"/>
      <x:c r="I266" s="10"/>
      <x:c r="J266" s="10"/>
      <x:c r="K266" s="10"/>
      <x:c r="L266" s="11"/>
      <x:c r="M266" s="12"/>
      <x:c r="N266" s="10"/>
    </x:row>
    <x:row r="267" ht="25" customHeight="1">
      <x:c r="A267" s="9" t="str">
        <x:v>QA-HKA-007</x:v>
      </x:c>
      <x:c r="B267" s="9" t="str">
        <x:v>HKA</x:v>
      </x:c>
      <x:c r="C267" s="9" t="str">
        <x:v>HTTP200 con rechazo definitivo de negocio</x:v>
      </x:c>
      <x:c r="D267" s="9" t="str">
        <x:v>P0</x:v>
      </x:c>
      <x:c r="E267" s="9" t="str">
        <x:v>Negativa</x:v>
      </x:c>
      <x:c r="F267" s="9" t="str">
        <x:v>Navegador + HTTP + persistencia</x:v>
      </x:c>
      <x:c r="G267" s="10" t="str">
        <x:v>Pendiente</x:v>
      </x:c>
      <x:c r="H267" s="10"/>
      <x:c r="I267" s="10"/>
      <x:c r="J267" s="10"/>
      <x:c r="K267" s="10"/>
      <x:c r="L267" s="11"/>
      <x:c r="M267" s="12"/>
      <x:c r="N267" s="10"/>
    </x:row>
    <x:row r="268" ht="25" customHeight="1">
      <x:c r="A268" s="9" t="str">
        <x:v>QA-HKA-008</x:v>
      </x:c>
      <x:c r="B268" s="9" t="str">
        <x:v>HKA</x:v>
      </x:c>
      <x:c r="C268" s="9" t="str">
        <x:v>Código 201 y posterior conciliación</x:v>
      </x:c>
      <x:c r="D268" s="9" t="str">
        <x:v>P0</x:v>
      </x:c>
      <x:c r="E268" s="9" t="str">
        <x:v>Simulación</x:v>
      </x:c>
      <x:c r="F268" s="9" t="str">
        <x:v>Navegador + HTTP + persistencia</x:v>
      </x:c>
      <x:c r="G268" s="10" t="str">
        <x:v>Pendiente</x:v>
      </x:c>
      <x:c r="H268" s="10"/>
      <x:c r="I268" s="10"/>
      <x:c r="J268" s="10"/>
      <x:c r="K268" s="10"/>
      <x:c r="L268" s="11"/>
      <x:c r="M268" s="12"/>
      <x:c r="N268" s="10"/>
    </x:row>
    <x:row r="269" ht="25" customHeight="1">
      <x:c r="A269" s="9" t="str">
        <x:v>QA-HKA-009</x:v>
      </x:c>
      <x:c r="B269" s="9" t="str">
        <x:v>HKA</x:v>
      </x:c>
      <x:c r="C269" s="9" t="str">
        <x:v>Timeout después de posible transmisión</x:v>
      </x:c>
      <x:c r="D269" s="9" t="str">
        <x:v>P0</x:v>
      </x:c>
      <x:c r="E269" s="9" t="str">
        <x:v>Negativa</x:v>
      </x:c>
      <x:c r="F269" s="9" t="str">
        <x:v>Navegador + HTTP + persistencia</x:v>
      </x:c>
      <x:c r="G269" s="10" t="str">
        <x:v>Pendiente</x:v>
      </x:c>
      <x:c r="H269" s="10"/>
      <x:c r="I269" s="10"/>
      <x:c r="J269" s="10"/>
      <x:c r="K269" s="10"/>
      <x:c r="L269" s="11"/>
      <x:c r="M269" s="12"/>
      <x:c r="N269" s="10"/>
    </x:row>
    <x:row r="270" ht="25" customHeight="1">
      <x:c r="A270" s="9" t="str">
        <x:v>QA-HKA-010</x:v>
      </x:c>
      <x:c r="B270" s="9" t="str">
        <x:v>HKA</x:v>
      </x:c>
      <x:c r="C270" s="9" t="str">
        <x:v>Respuesta vacía o JSON incompleto</x:v>
      </x:c>
      <x:c r="D270" s="9" t="str">
        <x:v>P0</x:v>
      </x:c>
      <x:c r="E270" s="9" t="str">
        <x:v>Negativa</x:v>
      </x:c>
      <x:c r="F270" s="9" t="str">
        <x:v>Navegador + HTTP + persistencia</x:v>
      </x:c>
      <x:c r="G270" s="10" t="str">
        <x:v>Pendiente</x:v>
      </x:c>
      <x:c r="H270" s="10"/>
      <x:c r="I270" s="10"/>
      <x:c r="J270" s="10"/>
      <x:c r="K270" s="10"/>
      <x:c r="L270" s="11"/>
      <x:c r="M270" s="12"/>
      <x:c r="N270" s="10"/>
    </x:row>
    <x:row r="271" ht="25" customHeight="1">
      <x:c r="A271" s="9" t="str">
        <x:v>QA-HKA-011</x:v>
      </x:c>
      <x:c r="B271" s="9" t="str">
        <x:v>HKA</x:v>
      </x:c>
      <x:c r="C271" s="9" t="str">
        <x:v>Control contradictorio o duplicado</x:v>
      </x:c>
      <x:c r="D271" s="9" t="str">
        <x:v>P0</x:v>
      </x:c>
      <x:c r="E271" s="9" t="str">
        <x:v>Seguridad</x:v>
      </x:c>
      <x:c r="F271" s="9" t="str">
        <x:v>Navegador + HTTP + persistencia</x:v>
      </x:c>
      <x:c r="G271" s="10" t="str">
        <x:v>Pendiente</x:v>
      </x:c>
      <x:c r="H271" s="10"/>
      <x:c r="I271" s="10"/>
      <x:c r="J271" s="10"/>
      <x:c r="K271" s="10"/>
      <x:c r="L271" s="11"/>
      <x:c r="M271" s="12"/>
      <x:c r="N271" s="10"/>
    </x:row>
    <x:row r="272" ht="25" customHeight="1">
      <x:c r="A272" s="9" t="str">
        <x:v>QA-HKA-012</x:v>
      </x:c>
      <x:c r="B272" s="9" t="str">
        <x:v>HKA</x:v>
      </x:c>
      <x:c r="C272" s="9" t="str">
        <x:v>Consulta recupera confirmación</x:v>
      </x:c>
      <x:c r="D272" s="9" t="str">
        <x:v>P0</x:v>
      </x:c>
      <x:c r="E272" s="9" t="str">
        <x:v>Positiva</x:v>
      </x:c>
      <x:c r="F272" s="9" t="str">
        <x:v>Navegador + HTTP + persistencia</x:v>
      </x:c>
      <x:c r="G272" s="10" t="str">
        <x:v>Pendiente</x:v>
      </x:c>
      <x:c r="H272" s="10"/>
      <x:c r="I272" s="10"/>
      <x:c r="J272" s="10"/>
      <x:c r="K272" s="10"/>
      <x:c r="L272" s="11"/>
      <x:c r="M272" s="12"/>
      <x:c r="N272" s="10"/>
    </x:row>
    <x:row r="273" ht="25" customHeight="1">
      <x:c r="A273" s="9" t="str">
        <x:v>QA-HKA-013</x:v>
      </x:c>
      <x:c r="B273" s="9" t="str">
        <x:v>HKA</x:v>
      </x:c>
      <x:c r="C273" s="9" t="str">
        <x:v>Ausencia acreditada permite reintento</x:v>
      </x:c>
      <x:c r="D273" s="9" t="str">
        <x:v>P0</x:v>
      </x:c>
      <x:c r="E273" s="9" t="str">
        <x:v>Positiva</x:v>
      </x:c>
      <x:c r="F273" s="9" t="str">
        <x:v>Navegador + HTTP + persistencia</x:v>
      </x:c>
      <x:c r="G273" s="10" t="str">
        <x:v>Pendiente</x:v>
      </x:c>
      <x:c r="H273" s="10"/>
      <x:c r="I273" s="10"/>
      <x:c r="J273" s="10"/>
      <x:c r="K273" s="10"/>
      <x:c r="L273" s="11"/>
      <x:c r="M273" s="12"/>
      <x:c r="N273" s="10"/>
    </x:row>
    <x:row r="274" ht="25" customHeight="1">
      <x:c r="A274" s="9" t="str">
        <x:v>QA-HKA-014</x:v>
      </x:c>
      <x:c r="B274" s="9" t="str">
        <x:v>HKA</x:v>
      </x:c>
      <x:c r="C274" s="9" t="str">
        <x:v>Rastreo vacío o 203 no habilita reenvío</x:v>
      </x:c>
      <x:c r="D274" s="9" t="str">
        <x:v>P0</x:v>
      </x:c>
      <x:c r="E274" s="9" t="str">
        <x:v>Negativa</x:v>
      </x:c>
      <x:c r="F274" s="9" t="str">
        <x:v>Navegador + HTTP + persistencia</x:v>
      </x:c>
      <x:c r="G274" s="10" t="str">
        <x:v>Pendiente</x:v>
      </x:c>
      <x:c r="H274" s="10"/>
      <x:c r="I274" s="10"/>
      <x:c r="J274" s="10"/>
      <x:c r="K274" s="10"/>
      <x:c r="L274" s="11"/>
      <x:c r="M274" s="12"/>
      <x:c r="N274" s="10"/>
    </x:row>
    <x:row r="275" ht="25" customHeight="1">
      <x:c r="A275" s="9" t="str">
        <x:v>QA-HKA-015</x:v>
      </x:c>
      <x:c r="B275" s="9" t="str">
        <x:v>HKA</x:v>
      </x:c>
      <x:c r="C275" s="9" t="str">
        <x:v>Umbral antes de reenviar</x:v>
      </x:c>
      <x:c r="D275" s="9" t="str">
        <x:v>P0</x:v>
      </x:c>
      <x:c r="E275" s="9" t="str">
        <x:v>Negativa</x:v>
      </x:c>
      <x:c r="F275" s="9" t="str">
        <x:v>Navegador + HTTP + persistencia</x:v>
      </x:c>
      <x:c r="G275" s="10" t="str">
        <x:v>Pendiente</x:v>
      </x:c>
      <x:c r="H275" s="10"/>
      <x:c r="I275" s="10"/>
      <x:c r="J275" s="10"/>
      <x:c r="K275" s="10"/>
      <x:c r="L275" s="11"/>
      <x:c r="M275" s="12"/>
      <x:c r="N275" s="10"/>
    </x:row>
    <x:row r="276" ht="25" customHeight="1">
      <x:c r="A276" s="9" t="str">
        <x:v>QA-HKA-016</x:v>
      </x:c>
      <x:c r="B276" s="9" t="str">
        <x:v>HKA</x:v>
      </x:c>
      <x:c r="C276" s="9" t="str">
        <x:v>Recuperar pending interrumpido</x:v>
      </x:c>
      <x:c r="D276" s="9" t="str">
        <x:v>P0</x:v>
      </x:c>
      <x:c r="E276" s="9" t="str">
        <x:v>Simulación</x:v>
      </x:c>
      <x:c r="F276" s="9" t="str">
        <x:v>Navegador + HTTP + persistencia</x:v>
      </x:c>
      <x:c r="G276" s="10" t="str">
        <x:v>Pendiente</x:v>
      </x:c>
      <x:c r="H276" s="10"/>
      <x:c r="I276" s="10"/>
      <x:c r="J276" s="10"/>
      <x:c r="K276" s="10"/>
      <x:c r="L276" s="11"/>
      <x:c r="M276" s="12"/>
      <x:c r="N276" s="10"/>
    </x:row>
    <x:row r="277" ht="25" customHeight="1">
      <x:c r="A277" s="9" t="str">
        <x:v>QA-HKA-017</x:v>
      </x:c>
      <x:c r="B277" s="9" t="str">
        <x:v>HKA</x:v>
      </x:c>
      <x:c r="C277" s="9" t="str">
        <x:v>Confirmado no se degrada por consulta fallida</x:v>
      </x:c>
      <x:c r="D277" s="9" t="str">
        <x:v>P0</x:v>
      </x:c>
      <x:c r="E277" s="9" t="str">
        <x:v>Negativa</x:v>
      </x:c>
      <x:c r="F277" s="9" t="str">
        <x:v>Navegador + HTTP + persistencia</x:v>
      </x:c>
      <x:c r="G277" s="10" t="str">
        <x:v>Pendiente</x:v>
      </x:c>
      <x:c r="H277" s="10"/>
      <x:c r="I277" s="10"/>
      <x:c r="J277" s="10"/>
      <x:c r="K277" s="10"/>
      <x:c r="L277" s="11"/>
      <x:c r="M277" s="12"/>
      <x:c r="N277" s="10"/>
    </x:row>
    <x:row r="278" ht="25" customHeight="1">
      <x:c r="A278" s="9" t="str">
        <x:v>QA-HKA-018</x:v>
      </x:c>
      <x:c r="B278" s="9" t="str">
        <x:v>HKA</x:v>
      </x:c>
      <x:c r="C278" s="9" t="str">
        <x:v>Autenticación falla antes de emisión</x:v>
      </x:c>
      <x:c r="D278" s="9" t="str">
        <x:v>P0</x:v>
      </x:c>
      <x:c r="E278" s="9" t="str">
        <x:v>Negativa</x:v>
      </x:c>
      <x:c r="F278" s="9" t="str">
        <x:v>Navegador + HTTP + persistencia</x:v>
      </x:c>
      <x:c r="G278" s="10" t="str">
        <x:v>Pendiente</x:v>
      </x:c>
      <x:c r="H278" s="10"/>
      <x:c r="I278" s="10"/>
      <x:c r="J278" s="10"/>
      <x:c r="K278" s="10"/>
      <x:c r="L278" s="11"/>
      <x:c r="M278" s="12"/>
      <x:c r="N278" s="10"/>
    </x:row>
    <x:row r="279" ht="25" customHeight="1">
      <x:c r="A279" s="9" t="str">
        <x:v>QA-HKA-019</x:v>
      </x:c>
      <x:c r="B279" s="9" t="str">
        <x:v>HKA</x:v>
      </x:c>
      <x:c r="C279" s="9" t="str">
        <x:v>Cambio de configuración durante autenticación</x:v>
      </x:c>
      <x:c r="D279" s="9" t="str">
        <x:v>P0</x:v>
      </x:c>
      <x:c r="E279" s="9" t="str">
        <x:v>Concurrencia</x:v>
      </x:c>
      <x:c r="F279" s="9" t="str">
        <x:v>Navegador + HTTP + persistencia</x:v>
      </x:c>
      <x:c r="G279" s="10" t="str">
        <x:v>Pendiente</x:v>
      </x:c>
      <x:c r="H279" s="10"/>
      <x:c r="I279" s="10"/>
      <x:c r="J279" s="10"/>
      <x:c r="K279" s="10"/>
      <x:c r="L279" s="11"/>
      <x:c r="M279" s="12"/>
      <x:c r="N279" s="10"/>
    </x:row>
    <x:row r="280" ht="25" customHeight="1">
      <x:c r="A280" s="9" t="str">
        <x:v>QA-HKA-020</x:v>
      </x:c>
      <x:c r="B280" s="9" t="str">
        <x:v>HKA</x:v>
      </x:c>
      <x:c r="C280" s="9" t="str">
        <x:v>Dos envíos simultáneos</x:v>
      </x:c>
      <x:c r="D280" s="9" t="str">
        <x:v>P0</x:v>
      </x:c>
      <x:c r="E280" s="9" t="str">
        <x:v>Concurrencia</x:v>
      </x:c>
      <x:c r="F280" s="9" t="str">
        <x:v>Navegador + HTTP + persistencia</x:v>
      </x:c>
      <x:c r="G280" s="10" t="str">
        <x:v>Pendiente</x:v>
      </x:c>
      <x:c r="H280" s="10"/>
      <x:c r="I280" s="10"/>
      <x:c r="J280" s="10"/>
      <x:c r="K280" s="10"/>
      <x:c r="L280" s="11"/>
      <x:c r="M280" s="12"/>
      <x:c r="N280" s="10"/>
    </x:row>
    <x:row r="281" ht="25" customHeight="1">
      <x:c r="A281" s="9" t="str">
        <x:v>QA-HKA-021</x:v>
      </x:c>
      <x:c r="B281" s="9" t="str">
        <x:v>HKA</x:v>
      </x:c>
      <x:c r="C281" s="9" t="str">
        <x:v>Permiso de preparar y enviar</x:v>
      </x:c>
      <x:c r="D281" s="9" t="str">
        <x:v>P0</x:v>
      </x:c>
      <x:c r="E281" s="9" t="str">
        <x:v>Seguridad</x:v>
      </x:c>
      <x:c r="F281" s="9" t="str">
        <x:v>Navegador + HTTP + persistencia</x:v>
      </x:c>
      <x:c r="G281" s="10" t="str">
        <x:v>Pendiente</x:v>
      </x:c>
      <x:c r="H281" s="10"/>
      <x:c r="I281" s="10"/>
      <x:c r="J281" s="10"/>
      <x:c r="K281" s="10"/>
      <x:c r="L281" s="11"/>
      <x:c r="M281" s="12"/>
      <x:c r="N281" s="10"/>
    </x:row>
    <x:row r="282" ht="25" customHeight="1">
      <x:c r="A282" s="9" t="str">
        <x:v>QA-HKA-022</x:v>
      </x:c>
      <x:c r="B282" s="9" t="str">
        <x:v>HKA</x:v>
      </x:c>
      <x:c r="C282" s="9" t="str">
        <x:v>Payload y DTO saneados</x:v>
      </x:c>
      <x:c r="D282" s="9" t="str">
        <x:v>P0</x:v>
      </x:c>
      <x:c r="E282" s="9" t="str">
        <x:v>Seguridad</x:v>
      </x:c>
      <x:c r="F282" s="9" t="str">
        <x:v>Navegador + HTTP + persistencia</x:v>
      </x:c>
      <x:c r="G282" s="10" t="str">
        <x:v>Pendiente</x:v>
      </x:c>
      <x:c r="H282" s="10"/>
      <x:c r="I282" s="10"/>
      <x:c r="J282" s="10"/>
      <x:c r="K282" s="10"/>
      <x:c r="L282" s="11"/>
      <x:c r="M282" s="12"/>
      <x:c r="N282" s="10"/>
    </x:row>
    <x:row r="283" ht="25" customHeight="1">
      <x:c r="A283" s="9" t="str">
        <x:v>QA-HKA-023</x:v>
      </x:c>
      <x:c r="B283" s="9" t="str">
        <x:v>HKA</x:v>
      </x:c>
      <x:c r="C283" s="9" t="str">
        <x:v>Consulta URL válida opcional</x:v>
      </x:c>
      <x:c r="D283" s="9" t="str">
        <x:v>P0</x:v>
      </x:c>
      <x:c r="E283" s="9" t="str">
        <x:v>Positiva</x:v>
      </x:c>
      <x:c r="F283" s="9" t="str">
        <x:v>Navegador + HTTP + persistencia</x:v>
      </x:c>
      <x:c r="G283" s="10" t="str">
        <x:v>Pendiente</x:v>
      </x:c>
      <x:c r="H283" s="10"/>
      <x:c r="I283" s="10"/>
      <x:c r="J283" s="10"/>
      <x:c r="K283" s="10"/>
      <x:c r="L283" s="11"/>
      <x:c r="M283" s="12"/>
      <x:c r="N283" s="10"/>
    </x:row>
    <x:row r="284" ht="25" customHeight="1">
      <x:c r="A284" s="9" t="str">
        <x:v>QA-HKA-024</x:v>
      </x:c>
      <x:c r="B284" s="9" t="str">
        <x:v>HKA</x:v>
      </x:c>
      <x:c r="C284" s="9" t="str">
        <x:v>Sin numeración remota habilitada</x:v>
      </x:c>
      <x:c r="D284" s="9" t="str">
        <x:v>P0</x:v>
      </x:c>
      <x:c r="E284" s="9" t="str">
        <x:v>Negativa</x:v>
      </x:c>
      <x:c r="F284" s="9" t="str">
        <x:v>Navegador + HTTP + persistencia</x:v>
      </x:c>
      <x:c r="G284" s="10" t="str">
        <x:v>Pendiente</x:v>
      </x:c>
      <x:c r="H284" s="10"/>
      <x:c r="I284" s="10"/>
      <x:c r="J284" s="10"/>
      <x:c r="K284" s="10"/>
      <x:c r="L284" s="11"/>
      <x:c r="M284" s="12"/>
      <x:c r="N284" s="10"/>
    </x:row>
    <x:row r="285" ht="25" customHeight="1">
      <x:c r="A285" s="9" t="str">
        <x:v>QA-HKA-025</x:v>
      </x:c>
      <x:c r="B285" s="9" t="str">
        <x:v>HKA</x:v>
      </x:c>
      <x:c r="C285" s="9" t="str">
        <x:v>Emisión real ordinaria DEMO</x:v>
      </x:c>
      <x:c r="D285" s="9" t="str">
        <x:v>P0</x:v>
      </x:c>
      <x:c r="E285" s="9" t="str">
        <x:v>Real DEMO</x:v>
      </x:c>
      <x:c r="F285" s="9" t="str">
        <x:v>Navegador + HTTP + persistencia</x:v>
      </x:c>
      <x:c r="G285" s="10" t="str">
        <x:v>Pendiente</x:v>
      </x:c>
      <x:c r="H285" s="10"/>
      <x:c r="I285" s="10"/>
      <x:c r="J285" s="10"/>
      <x:c r="K285" s="10"/>
      <x:c r="L285" s="11"/>
      <x:c r="M285" s="12"/>
      <x:c r="N285" s="10"/>
    </x:row>
    <x:row r="286" ht="25" customHeight="1">
      <x:c r="A286" s="9" t="str">
        <x:v>QA-PDF-001</x:v>
      </x:c>
      <x:c r="B286" s="9" t="str">
        <x:v>PDF</x:v>
      </x:c>
      <x:c r="C286" s="9" t="str">
        <x:v>Vista previa digital en borrador</x:v>
      </x:c>
      <x:c r="D286" s="9" t="str">
        <x:v>P0</x:v>
      </x:c>
      <x:c r="E286" s="9" t="str">
        <x:v>Positiva</x:v>
      </x:c>
      <x:c r="F286" s="9" t="str">
        <x:v>Navegador + HTTP + persistencia</x:v>
      </x:c>
      <x:c r="G286" s="10" t="str">
        <x:v>Pendiente</x:v>
      </x:c>
      <x:c r="H286" s="10"/>
      <x:c r="I286" s="10"/>
      <x:c r="J286" s="10"/>
      <x:c r="K286" s="10"/>
      <x:c r="L286" s="11"/>
      <x:c r="M286" s="12"/>
      <x:c r="N286" s="10"/>
    </x:row>
    <x:row r="287" ht="25" customHeight="1">
      <x:c r="A287" s="9" t="str">
        <x:v>QA-PDF-002</x:v>
      </x:c>
      <x:c r="B287" s="9" t="str">
        <x:v>PDF</x:v>
      </x:c>
      <x:c r="C287" s="9" t="str">
        <x:v>Vista previa de registrado no confirmado</x:v>
      </x:c>
      <x:c r="D287" s="9" t="str">
        <x:v>P1</x:v>
      </x:c>
      <x:c r="E287" s="9" t="str">
        <x:v>Positiva</x:v>
      </x:c>
      <x:c r="F287" s="9" t="str">
        <x:v>Navegador + HTTP + persistencia</x:v>
      </x:c>
      <x:c r="G287" s="10" t="str">
        <x:v>Pendiente</x:v>
      </x:c>
      <x:c r="H287" s="10"/>
      <x:c r="I287" s="10"/>
      <x:c r="J287" s="10"/>
      <x:c r="K287" s="10"/>
      <x:c r="L287" s="11"/>
      <x:c r="M287" s="12"/>
      <x:c r="N287" s="10"/>
    </x:row>
    <x:row r="288" ht="25" customHeight="1">
      <x:c r="A288" s="9" t="str">
        <x:v>QA-PDF-003</x:v>
      </x:c>
      <x:c r="B288" s="9" t="str">
        <x:v>PDF</x:v>
      </x:c>
      <x:c r="C288" s="9" t="str">
        <x:v>Carga y cierre de vista previa</x:v>
      </x:c>
      <x:c r="D288" s="9" t="str">
        <x:v>P1</x:v>
      </x:c>
      <x:c r="E288" s="9" t="str">
        <x:v>Positiva</x:v>
      </x:c>
      <x:c r="F288" s="9" t="str">
        <x:v>Navegador + HTTP + persistencia</x:v>
      </x:c>
      <x:c r="G288" s="10" t="str">
        <x:v>Pendiente</x:v>
      </x:c>
      <x:c r="H288" s="10"/>
      <x:c r="I288" s="10"/>
      <x:c r="J288" s="10"/>
      <x:c r="K288" s="10"/>
      <x:c r="L288" s="11"/>
      <x:c r="M288" s="12"/>
      <x:c r="N288" s="10"/>
    </x:row>
    <x:row r="289" ht="25" customHeight="1">
      <x:c r="A289" s="9" t="str">
        <x:v>QA-PDF-004</x:v>
      </x:c>
      <x:c r="B289" s="9" t="str">
        <x:v>PDF</x:v>
      </x:c>
      <x:c r="C289" s="9" t="str">
        <x:v>Descarga A4 original</x:v>
      </x:c>
      <x:c r="D289" s="9" t="str">
        <x:v>P0</x:v>
      </x:c>
      <x:c r="E289" s="9" t="str">
        <x:v>Positiva</x:v>
      </x:c>
      <x:c r="F289" s="9" t="str">
        <x:v>Navegador + HTTP + persistencia</x:v>
      </x:c>
      <x:c r="G289" s="10" t="str">
        <x:v>Pendiente</x:v>
      </x:c>
      <x:c r="H289" s="10"/>
      <x:c r="I289" s="10"/>
      <x:c r="J289" s="10"/>
      <x:c r="K289" s="10"/>
      <x:c r="L289" s="11"/>
      <x:c r="M289" s="12"/>
      <x:c r="N289" s="10"/>
    </x:row>
    <x:row r="290" ht="25" customHeight="1">
      <x:c r="A290" s="9" t="str">
        <x:v>QA-PDF-005</x:v>
      </x:c>
      <x:c r="B290" s="9" t="str">
        <x:v>PDF</x:v>
      </x:c>
      <x:c r="C290" s="9" t="str">
        <x:v>Descarga A5 horizontal multipágina</x:v>
      </x:c>
      <x:c r="D290" s="9" t="str">
        <x:v>P0</x:v>
      </x:c>
      <x:c r="E290" s="9" t="str">
        <x:v>Positiva</x:v>
      </x:c>
      <x:c r="F290" s="9" t="str">
        <x:v>Navegador + HTTP + persistencia</x:v>
      </x:c>
      <x:c r="G290" s="10" t="str">
        <x:v>Pendiente</x:v>
      </x:c>
      <x:c r="H290" s="10"/>
      <x:c r="I290" s="10"/>
      <x:c r="J290" s="10"/>
      <x:c r="K290" s="10"/>
      <x:c r="L290" s="11"/>
      <x:c r="M290" s="12"/>
      <x:c r="N290" s="10"/>
    </x:row>
    <x:row r="291" ht="25" customHeight="1">
      <x:c r="A291" s="9" t="str">
        <x:v>QA-PDF-006</x:v>
      </x:c>
      <x:c r="B291" s="9" t="str">
        <x:v>PDF</x:v>
      </x:c>
      <x:c r="C291" s="9" t="str">
        <x:v>Ticket 80MM con QR</x:v>
      </x:c>
      <x:c r="D291" s="9" t="str">
        <x:v>P0</x:v>
      </x:c>
      <x:c r="E291" s="9" t="str">
        <x:v>Positiva</x:v>
      </x:c>
      <x:c r="F291" s="9" t="str">
        <x:v>Navegador + HTTP + persistencia</x:v>
      </x:c>
      <x:c r="G291" s="10" t="str">
        <x:v>Pendiente</x:v>
      </x:c>
      <x:c r="H291" s="10"/>
      <x:c r="I291" s="10"/>
      <x:c r="J291" s="10"/>
      <x:c r="K291" s="10"/>
      <x:c r="L291" s="11"/>
      <x:c r="M291" s="12"/>
      <x:c r="N291" s="10"/>
    </x:row>
    <x:row r="292" ht="25" customHeight="1">
      <x:c r="A292" s="9" t="str">
        <x:v>QA-PDF-007</x:v>
      </x:c>
      <x:c r="B292" s="9" t="str">
        <x:v>PDF</x:v>
      </x:c>
      <x:c r="C292" s="9" t="str">
        <x:v>Ticket sin URL bloqueado</x:v>
      </x:c>
      <x:c r="D292" s="9" t="str">
        <x:v>P0</x:v>
      </x:c>
      <x:c r="E292" s="9" t="str">
        <x:v>Negativa</x:v>
      </x:c>
      <x:c r="F292" s="9" t="str">
        <x:v>Navegador + HTTP + persistencia</x:v>
      </x:c>
      <x:c r="G292" s="10" t="str">
        <x:v>Pendiente</x:v>
      </x:c>
      <x:c r="H292" s="10"/>
      <x:c r="I292" s="10"/>
      <x:c r="J292" s="10"/>
      <x:c r="K292" s="10"/>
      <x:c r="L292" s="11"/>
      <x:c r="M292" s="12"/>
      <x:c r="N292" s="10"/>
    </x:row>
    <x:row r="293" ht="25" customHeight="1">
      <x:c r="A293" s="9" t="str">
        <x:v>QA-PDF-008</x:v>
      </x:c>
      <x:c r="B293" s="9" t="str">
        <x:v>PDF</x:v>
      </x:c>
      <x:c r="C293" s="9" t="str">
        <x:v>PDF antes de confirmación</x:v>
      </x:c>
      <x:c r="D293" s="9" t="str">
        <x:v>P0</x:v>
      </x:c>
      <x:c r="E293" s="9" t="str">
        <x:v>Negativa</x:v>
      </x:c>
      <x:c r="F293" s="9" t="str">
        <x:v>Navegador + HTTP + persistencia</x:v>
      </x:c>
      <x:c r="G293" s="10" t="str">
        <x:v>Pendiente</x:v>
      </x:c>
      <x:c r="H293" s="10"/>
      <x:c r="I293" s="10"/>
      <x:c r="J293" s="10"/>
      <x:c r="K293" s="10"/>
      <x:c r="L293" s="11"/>
      <x:c r="M293" s="12"/>
      <x:c r="N293" s="10"/>
    </x:row>
    <x:row r="294" ht="25" customHeight="1">
      <x:c r="A294" s="9" t="str">
        <x:v>QA-PDF-009</x:v>
      </x:c>
      <x:c r="B294" s="9" t="str">
        <x:v>PDF</x:v>
      </x:c>
      <x:c r="C294" s="9" t="str">
        <x:v>Formatos no admitidos</x:v>
      </x:c>
      <x:c r="D294" s="9" t="str">
        <x:v>P0</x:v>
      </x:c>
      <x:c r="E294" s="9" t="str">
        <x:v>Negativa</x:v>
      </x:c>
      <x:c r="F294" s="9" t="str">
        <x:v>Navegador + HTTP + persistencia</x:v>
      </x:c>
      <x:c r="G294" s="10" t="str">
        <x:v>Pendiente</x:v>
      </x:c>
      <x:c r="H294" s="10"/>
      <x:c r="I294" s="10"/>
      <x:c r="J294" s="10"/>
      <x:c r="K294" s="10"/>
      <x:c r="L294" s="11"/>
      <x:c r="M294" s="12"/>
      <x:c r="N294" s="10"/>
    </x:row>
    <x:row r="295" ht="25" customHeight="1">
      <x:c r="A295" s="9" t="str">
        <x:v>QA-PDF-010</x:v>
      </x:c>
      <x:c r="B295" s="9" t="str">
        <x:v>PDF</x:v>
      </x:c>
      <x:c r="C295" s="9" t="str">
        <x:v>Archivo no es PDF válido</x:v>
      </x:c>
      <x:c r="D295" s="9" t="str">
        <x:v>P0</x:v>
      </x:c>
      <x:c r="E295" s="9" t="str">
        <x:v>Negativa</x:v>
      </x:c>
      <x:c r="F295" s="9" t="str">
        <x:v>Navegador + HTTP + persistencia</x:v>
      </x:c>
      <x:c r="G295" s="10" t="str">
        <x:v>Pendiente</x:v>
      </x:c>
      <x:c r="H295" s="10"/>
      <x:c r="I295" s="10"/>
      <x:c r="J295" s="10"/>
      <x:c r="K295" s="10"/>
      <x:c r="L295" s="11"/>
      <x:c r="M295" s="12"/>
      <x:c r="N295" s="10"/>
    </x:row>
    <x:row r="296" ht="25" customHeight="1">
      <x:c r="A296" s="9" t="str">
        <x:v>QA-PDF-011</x:v>
      </x:c>
      <x:c r="B296" s="9" t="str">
        <x:v>PDF</x:v>
      </x:c>
      <x:c r="C296" s="9" t="str">
        <x:v>Respuesta de negocio PDF inválida</x:v>
      </x:c>
      <x:c r="D296" s="9" t="str">
        <x:v>P0</x:v>
      </x:c>
      <x:c r="E296" s="9" t="str">
        <x:v>Negativa</x:v>
      </x:c>
      <x:c r="F296" s="9" t="str">
        <x:v>Navegador + HTTP + persistencia</x:v>
      </x:c>
      <x:c r="G296" s="10" t="str">
        <x:v>Pendiente</x:v>
      </x:c>
      <x:c r="H296" s="10"/>
      <x:c r="I296" s="10"/>
      <x:c r="J296" s="10"/>
      <x:c r="K296" s="10"/>
      <x:c r="L296" s="11"/>
      <x:c r="M296" s="12"/>
      <x:c r="N296" s="10"/>
    </x:row>
    <x:row r="297" ht="25" customHeight="1">
      <x:c r="A297" s="9" t="str">
        <x:v>QA-PDF-012</x:v>
      </x:c>
      <x:c r="B297" s="9" t="str">
        <x:v>PDF</x:v>
      </x:c>
      <x:c r="C297" s="9" t="str">
        <x:v>Límite y apertura del PDF</x:v>
      </x:c>
      <x:c r="D297" s="9" t="str">
        <x:v>P1</x:v>
      </x:c>
      <x:c r="E297" s="9" t="str">
        <x:v>Negativa</x:v>
      </x:c>
      <x:c r="F297" s="9" t="str">
        <x:v>Navegador + HTTP + persistencia</x:v>
      </x:c>
      <x:c r="G297" s="10" t="str">
        <x:v>Pendiente</x:v>
      </x:c>
      <x:c r="H297" s="10"/>
      <x:c r="I297" s="10"/>
      <x:c r="J297" s="10"/>
      <x:c r="K297" s="10"/>
      <x:c r="L297" s="11"/>
      <x:c r="M297" s="12"/>
      <x:c r="N297" s="10"/>
    </x:row>
    <x:row r="298" ht="25" customHeight="1">
      <x:c r="A298" s="9" t="str">
        <x:v>QA-PDF-013</x:v>
      </x:c>
      <x:c r="B298" s="9" t="str">
        <x:v>PDF</x:v>
      </x:c>
      <x:c r="C298" s="9" t="str">
        <x:v>Reutilizar y recuperar copia privada</x:v>
      </x:c>
      <x:c r="D298" s="9" t="str">
        <x:v>P0</x:v>
      </x:c>
      <x:c r="E298" s="9" t="str">
        <x:v>Positiva</x:v>
      </x:c>
      <x:c r="F298" s="9" t="str">
        <x:v>Navegador + HTTP + persistencia</x:v>
      </x:c>
      <x:c r="G298" s="10" t="str">
        <x:v>Pendiente</x:v>
      </x:c>
      <x:c r="H298" s="10"/>
      <x:c r="I298" s="10"/>
      <x:c r="J298" s="10"/>
      <x:c r="K298" s="10"/>
      <x:c r="L298" s="11"/>
      <x:c r="M298" s="12"/>
      <x:c r="N298" s="10"/>
    </x:row>
    <x:row r="299" ht="25" customHeight="1">
      <x:c r="A299" s="9" t="str">
        <x:v>QA-PDF-014</x:v>
      </x:c>
      <x:c r="B299" s="9" t="str">
        <x:v>PDF</x:v>
      </x:c>
      <x:c r="C299" s="9" t="str">
        <x:v>Descargas simultáneas</x:v>
      </x:c>
      <x:c r="D299" s="9" t="str">
        <x:v>P1</x:v>
      </x:c>
      <x:c r="E299" s="9" t="str">
        <x:v>Concurrencia</x:v>
      </x:c>
      <x:c r="F299" s="9" t="str">
        <x:v>Navegador + HTTP + persistencia</x:v>
      </x:c>
      <x:c r="G299" s="10" t="str">
        <x:v>Pendiente</x:v>
      </x:c>
      <x:c r="H299" s="10"/>
      <x:c r="I299" s="10"/>
      <x:c r="J299" s="10"/>
      <x:c r="K299" s="10"/>
      <x:c r="L299" s="11"/>
      <x:c r="M299" s="12"/>
      <x:c r="N299" s="10"/>
    </x:row>
    <x:row r="300" ht="25" customHeight="1">
      <x:c r="A300" s="9" t="str">
        <x:v>QA-PDF-015</x:v>
      </x:c>
      <x:c r="B300" s="9" t="str">
        <x:v>PDF</x:v>
      </x:c>
      <x:c r="C300" s="9" t="str">
        <x:v>Nombres visibles y serie vacía</x:v>
      </x:c>
      <x:c r="D300" s="9" t="str">
        <x:v>P1</x:v>
      </x:c>
      <x:c r="E300" s="9" t="str">
        <x:v>Positiva</x:v>
      </x:c>
      <x:c r="F300" s="9" t="str">
        <x:v>Navegador + HTTP + persistencia</x:v>
      </x:c>
      <x:c r="G300" s="10" t="str">
        <x:v>Pendiente</x:v>
      </x:c>
      <x:c r="H300" s="10"/>
      <x:c r="I300" s="10"/>
      <x:c r="J300" s="10"/>
      <x:c r="K300" s="10"/>
      <x:c r="L300" s="11"/>
      <x:c r="M300" s="12"/>
      <x:c r="N300" s="10"/>
    </x:row>
    <x:row r="301" ht="25" customHeight="1">
      <x:c r="A301" s="9" t="str">
        <x:v>QA-PDF-016</x:v>
      </x:c>
      <x:c r="B301" s="9" t="str">
        <x:v>PDF</x:v>
      </x:c>
      <x:c r="C301" s="9" t="str">
        <x:v>Colisión de nombres en ZIP</x:v>
      </x:c>
      <x:c r="D301" s="9" t="str">
        <x:v>P0</x:v>
      </x:c>
      <x:c r="E301" s="9" t="str">
        <x:v>Positiva</x:v>
      </x:c>
      <x:c r="F301" s="9" t="str">
        <x:v>Navegador + HTTP + persistencia</x:v>
      </x:c>
      <x:c r="G301" s="10" t="str">
        <x:v>Pendiente</x:v>
      </x:c>
      <x:c r="H301" s="10"/>
      <x:c r="I301" s="10"/>
      <x:c r="J301" s="10"/>
      <x:c r="K301" s="10"/>
      <x:c r="L301" s="11"/>
      <x:c r="M301" s="12"/>
      <x:c r="N301" s="10"/>
    </x:row>
    <x:row r="302" ht="25" customHeight="1">
      <x:c r="A302" s="9" t="str">
        <x:v>QA-PDF-017</x:v>
      </x:c>
      <x:c r="B302" s="9" t="str">
        <x:v>PDF</x:v>
      </x:c>
      <x:c r="C302" s="9" t="str">
        <x:v>Masiva de digitales y mixtas</x:v>
      </x:c>
      <x:c r="D302" s="9" t="str">
        <x:v>P1</x:v>
      </x:c>
      <x:c r="E302" s="9" t="str">
        <x:v>Positiva</x:v>
      </x:c>
      <x:c r="F302" s="9" t="str">
        <x:v>Navegador + HTTP + persistencia</x:v>
      </x:c>
      <x:c r="G302" s="10" t="str">
        <x:v>Pendiente</x:v>
      </x:c>
      <x:c r="H302" s="10"/>
      <x:c r="I302" s="10"/>
      <x:c r="J302" s="10"/>
      <x:c r="K302" s="10"/>
      <x:c r="L302" s="11"/>
      <x:c r="M302" s="12"/>
      <x:c r="N302" s="10"/>
    </x:row>
    <x:row r="303" ht="25" customHeight="1">
      <x:c r="A303" s="9" t="str">
        <x:v>QA-PDF-018</x:v>
      </x:c>
      <x:c r="B303" s="9" t="str">
        <x:v>PDF</x:v>
      </x:c>
      <x:c r="C303" s="9" t="str">
        <x:v>Masiva falla completa</x:v>
      </x:c>
      <x:c r="D303" s="9" t="str">
        <x:v>P1</x:v>
      </x:c>
      <x:c r="E303" s="9" t="str">
        <x:v>Negativa</x:v>
      </x:c>
      <x:c r="F303" s="9" t="str">
        <x:v>Navegador + HTTP + persistencia</x:v>
      </x:c>
      <x:c r="G303" s="10" t="str">
        <x:v>Pendiente</x:v>
      </x:c>
      <x:c r="H303" s="10"/>
      <x:c r="I303" s="10"/>
      <x:c r="J303" s="10"/>
      <x:c r="K303" s="10"/>
      <x:c r="L303" s="11"/>
      <x:c r="M303" s="12"/>
      <x:c r="N303" s="10"/>
    </x:row>
    <x:row r="304" ht="25" customHeight="1">
      <x:c r="A304" s="9" t="str">
        <x:v>QA-PDF-019</x:v>
      </x:c>
      <x:c r="B304" s="9" t="str">
        <x:v>PDF</x:v>
      </x:c>
      <x:c r="C304" s="9" t="str">
        <x:v>Impresión automática tras confirmar</x:v>
      </x:c>
      <x:c r="D304" s="9" t="str">
        <x:v>P1</x:v>
      </x:c>
      <x:c r="E304" s="9" t="str">
        <x:v>Simulación</x:v>
      </x:c>
      <x:c r="F304" s="9" t="str">
        <x:v>Navegador + HTTP + persistencia</x:v>
      </x:c>
      <x:c r="G304" s="10" t="str">
        <x:v>Pendiente</x:v>
      </x:c>
      <x:c r="H304" s="10"/>
      <x:c r="I304" s="10"/>
      <x:c r="J304" s="10"/>
      <x:c r="K304" s="10"/>
      <x:c r="L304" s="11"/>
      <x:c r="M304" s="12"/>
      <x:c r="N304" s="10"/>
    </x:row>
    <x:row r="305" ht="25" customHeight="1">
      <x:c r="A305" s="9" t="str">
        <x:v>QA-PDF-020</x:v>
      </x:c>
      <x:c r="B305" s="9" t="str">
        <x:v>PDF</x:v>
      </x:c>
      <x:c r="C305" s="9" t="str">
        <x:v>Impresión manual y QZ</x:v>
      </x:c>
      <x:c r="D305" s="9" t="str">
        <x:v>P1</x:v>
      </x:c>
      <x:c r="E305" s="9" t="str">
        <x:v>Seguridad</x:v>
      </x:c>
      <x:c r="F305" s="9" t="str">
        <x:v>Navegador + HTTP + persistencia</x:v>
      </x:c>
      <x:c r="G305" s="10" t="str">
        <x:v>Pendiente</x:v>
      </x:c>
      <x:c r="H305" s="10"/>
      <x:c r="I305" s="10"/>
      <x:c r="J305" s="10"/>
      <x:c r="K305" s="10"/>
      <x:c r="L305" s="11"/>
      <x:c r="M305" s="12"/>
      <x:c r="N305" s="10"/>
    </x:row>
    <x:row r="306" ht="25" customHeight="1">
      <x:c r="A306" s="9" t="str">
        <x:v>QA-PDF-021</x:v>
      </x:c>
      <x:c r="B306" s="9" t="str">
        <x:v>PDF</x:v>
      </x:c>
      <x:c r="C306" s="9" t="str">
        <x:v>Accesos a PDF por cada entrada</x:v>
      </x:c>
      <x:c r="D306" s="9" t="str">
        <x:v>P0</x:v>
      </x:c>
      <x:c r="E306" s="9" t="str">
        <x:v>Positiva</x:v>
      </x:c>
      <x:c r="F306" s="9" t="str">
        <x:v>Navegador + HTTP + persistencia</x:v>
      </x:c>
      <x:c r="G306" s="10" t="str">
        <x:v>Pendiente</x:v>
      </x:c>
      <x:c r="H306" s="10"/>
      <x:c r="I306" s="10"/>
      <x:c r="J306" s="10"/>
      <x:c r="K306" s="10"/>
      <x:c r="L306" s="11"/>
      <x:c r="M306" s="12"/>
      <x:c r="N306" s="10"/>
    </x:row>
    <x:row r="307" ht="25" customHeight="1">
      <x:c r="A307" s="9" t="str">
        <x:v>QA-PDF-022</x:v>
      </x:c>
      <x:c r="B307" s="9" t="str">
        <x:v>PDF</x:v>
      </x:c>
      <x:c r="C307" s="9" t="str">
        <x:v>Sin ID o carga incompleta</x:v>
      </x:c>
      <x:c r="D307" s="9" t="str">
        <x:v>P0</x:v>
      </x:c>
      <x:c r="E307" s="9" t="str">
        <x:v>Negativa</x:v>
      </x:c>
      <x:c r="F307" s="9" t="str">
        <x:v>Navegador + HTTP + persistencia</x:v>
      </x:c>
      <x:c r="G307" s="10" t="str">
        <x:v>Pendiente</x:v>
      </x:c>
      <x:c r="H307" s="10"/>
      <x:c r="I307" s="10"/>
      <x:c r="J307" s="10"/>
      <x:c r="K307" s="10"/>
      <x:c r="L307" s="11"/>
      <x:c r="M307" s="12"/>
      <x:c r="N307" s="10"/>
    </x:row>
    <x:row r="308" ht="25" customHeight="1">
      <x:c r="A308" s="9" t="str">
        <x:v>QA-PDF-023</x:v>
      </x:c>
      <x:c r="B308" s="9" t="str">
        <x:v>PDF</x:v>
      </x:c>
      <x:c r="C308" s="9" t="str">
        <x:v>Cabeceras y permisos PDF</x:v>
      </x:c>
      <x:c r="D308" s="9" t="str">
        <x:v>P0</x:v>
      </x:c>
      <x:c r="E308" s="9" t="str">
        <x:v>Seguridad</x:v>
      </x:c>
      <x:c r="F308" s="9" t="str">
        <x:v>Navegador + HTTP + persistencia</x:v>
      </x:c>
      <x:c r="G308" s="10" t="str">
        <x:v>Pendiente</x:v>
      </x:c>
      <x:c r="H308" s="10"/>
      <x:c r="I308" s="10"/>
      <x:c r="J308" s="10"/>
      <x:c r="K308" s="10"/>
      <x:c r="L308" s="11"/>
      <x:c r="M308" s="12"/>
      <x:c r="N308" s="10"/>
    </x:row>
    <x:row r="309" ht="25" customHeight="1">
      <x:c r="A309" s="9" t="str">
        <x:v>QA-PDF-024</x:v>
      </x:c>
      <x:c r="B309" s="9" t="str">
        <x:v>PDF</x:v>
      </x:c>
      <x:c r="C309" s="9" t="str">
        <x:v>Cambios de catálogo no reescriben original</x:v>
      </x:c>
      <x:c r="D309" s="9" t="str">
        <x:v>P0</x:v>
      </x:c>
      <x:c r="E309" s="9" t="str">
        <x:v>Positiva</x:v>
      </x:c>
      <x:c r="F309" s="9" t="str">
        <x:v>Navegador + HTTP + persistencia</x:v>
      </x:c>
      <x:c r="G309" s="10" t="str">
        <x:v>Pendiente</x:v>
      </x:c>
      <x:c r="H309" s="10"/>
      <x:c r="I309" s="10"/>
      <x:c r="J309" s="10"/>
      <x:c r="K309" s="10"/>
      <x:c r="L309" s="11"/>
      <x:c r="M309" s="12"/>
      <x:c r="N309" s="10"/>
    </x:row>
    <x:row r="310" ht="25" customHeight="1">
      <x:c r="A310" s="9" t="str">
        <x:v>QA-PDF-025</x:v>
      </x:c>
      <x:c r="B310" s="9" t="str">
        <x:v>PDF</x:v>
      </x:c>
      <x:c r="C310" s="9" t="str">
        <x:v>Plantillas de ticket y documentos extensos</x:v>
      </x:c>
      <x:c r="D310" s="9" t="str">
        <x:v>P1</x:v>
      </x:c>
      <x:c r="E310" s="9" t="str">
        <x:v>Positiva</x:v>
      </x:c>
      <x:c r="F310" s="9" t="str">
        <x:v>Navegador + HTTP + persistencia</x:v>
      </x:c>
      <x:c r="G310" s="10" t="str">
        <x:v>Pendiente</x:v>
      </x:c>
      <x:c r="H310" s="10"/>
      <x:c r="I310" s="10"/>
      <x:c r="J310" s="10"/>
      <x:c r="K310" s="10"/>
      <x:c r="L310" s="11"/>
      <x:c r="M310" s="12"/>
      <x:c r="N310" s="10"/>
    </x:row>
    <x:row r="311" ht="25" customHeight="1">
      <x:c r="A311" s="9" t="str">
        <x:v>QA-COR-001</x:v>
      </x:c>
      <x:c r="B311" s="9" t="str">
        <x:v>COR</x:v>
      </x:c>
      <x:c r="C311" s="9" t="str">
        <x:v>Solicitud manual de correo HKA</x:v>
      </x:c>
      <x:c r="D311" s="9" t="str">
        <x:v>P0</x:v>
      </x:c>
      <x:c r="E311" s="9" t="str">
        <x:v>Positiva</x:v>
      </x:c>
      <x:c r="F311" s="9" t="str">
        <x:v>Navegador + HTTP + persistencia</x:v>
      </x:c>
      <x:c r="G311" s="10" t="str">
        <x:v>Pendiente</x:v>
      </x:c>
      <x:c r="H311" s="10"/>
      <x:c r="I311" s="10"/>
      <x:c r="J311" s="10"/>
      <x:c r="K311" s="10"/>
      <x:c r="L311" s="11"/>
      <x:c r="M311" s="12"/>
      <x:c r="N311" s="10"/>
    </x:row>
    <x:row r="312" ht="25" customHeight="1">
      <x:c r="A312" s="9" t="str">
        <x:v>QA-COR-002</x:v>
      </x:c>
      <x:c r="B312" s="9" t="str">
        <x:v>COR</x:v>
      </x:c>
      <x:c r="C312" s="9" t="str">
        <x:v>Correo desde POS y Garage</x:v>
      </x:c>
      <x:c r="D312" s="9" t="str">
        <x:v>P0</x:v>
      </x:c>
      <x:c r="E312" s="9" t="str">
        <x:v>Positiva</x:v>
      </x:c>
      <x:c r="F312" s="9" t="str">
        <x:v>Navegador + HTTP + persistencia</x:v>
      </x:c>
      <x:c r="G312" s="10" t="str">
        <x:v>Pendiente</x:v>
      </x:c>
      <x:c r="H312" s="10"/>
      <x:c r="I312" s="10"/>
      <x:c r="J312" s="10"/>
      <x:c r="K312" s="10"/>
      <x:c r="L312" s="11"/>
      <x:c r="M312" s="12"/>
      <x:c r="N312" s="10"/>
    </x:row>
    <x:row r="313" ht="25" customHeight="1">
      <x:c r="A313" s="9" t="str">
        <x:v>QA-COR-003</x:v>
      </x:c>
      <x:c r="B313" s="9" t="str">
        <x:v>COR</x:v>
      </x:c>
      <x:c r="C313" s="9" t="str">
        <x:v>Correo bloqueado sin confirmar</x:v>
      </x:c>
      <x:c r="D313" s="9" t="str">
        <x:v>P0</x:v>
      </x:c>
      <x:c r="E313" s="9" t="str">
        <x:v>Negativa</x:v>
      </x:c>
      <x:c r="F313" s="9" t="str">
        <x:v>Navegador + HTTP + persistencia</x:v>
      </x:c>
      <x:c r="G313" s="10" t="str">
        <x:v>Pendiente</x:v>
      </x:c>
      <x:c r="H313" s="10"/>
      <x:c r="I313" s="10"/>
      <x:c r="J313" s="10"/>
      <x:c r="K313" s="10"/>
      <x:c r="L313" s="11"/>
      <x:c r="M313" s="12"/>
      <x:c r="N313" s="10"/>
    </x:row>
    <x:row r="314" ht="25" customHeight="1">
      <x:c r="A314" s="9" t="str">
        <x:v>QA-COR-004</x:v>
      </x:c>
      <x:c r="B314" s="9" t="str">
        <x:v>COR</x:v>
      </x:c>
      <x:c r="C314" s="9" t="str">
        <x:v>Destinatarios inválidos</x:v>
      </x:c>
      <x:c r="D314" s="9" t="str">
        <x:v>P1</x:v>
      </x:c>
      <x:c r="E314" s="9" t="str">
        <x:v>Negativa</x:v>
      </x:c>
      <x:c r="F314" s="9" t="str">
        <x:v>Navegador + HTTP + persistencia</x:v>
      </x:c>
      <x:c r="G314" s="10" t="str">
        <x:v>Pendiente</x:v>
      </x:c>
      <x:c r="H314" s="10"/>
      <x:c r="I314" s="10"/>
      <x:c r="J314" s="10"/>
      <x:c r="K314" s="10"/>
      <x:c r="L314" s="11"/>
      <x:c r="M314" s="12"/>
      <x:c r="N314" s="10"/>
    </x:row>
    <x:row r="315" ht="25" customHeight="1">
      <x:c r="A315" s="9" t="str">
        <x:v>QA-COR-005</x:v>
      </x:c>
      <x:c r="B315" s="9" t="str">
        <x:v>COR</x:v>
      </x:c>
      <x:c r="C315" s="9" t="str">
        <x:v>UUID y doble clic de correo</x:v>
      </x:c>
      <x:c r="D315" s="9" t="str">
        <x:v>P0</x:v>
      </x:c>
      <x:c r="E315" s="9" t="str">
        <x:v>Concurrencia</x:v>
      </x:c>
      <x:c r="F315" s="9" t="str">
        <x:v>Navegador + HTTP + persistencia</x:v>
      </x:c>
      <x:c r="G315" s="10" t="str">
        <x:v>Pendiente</x:v>
      </x:c>
      <x:c r="H315" s="10"/>
      <x:c r="I315" s="10"/>
      <x:c r="J315" s="10"/>
      <x:c r="K315" s="10"/>
      <x:c r="L315" s="11"/>
      <x:c r="M315" s="12"/>
      <x:c r="N315" s="10"/>
    </x:row>
    <x:row r="316" ht="25" customHeight="1">
      <x:c r="A316" s="9" t="str">
        <x:v>QA-COR-006</x:v>
      </x:c>
      <x:c r="B316" s="9" t="str">
        <x:v>COR</x:v>
      </x:c>
      <x:c r="C316" s="9" t="str">
        <x:v>Reenvío explícito</x:v>
      </x:c>
      <x:c r="D316" s="9" t="str">
        <x:v>P1</x:v>
      </x:c>
      <x:c r="E316" s="9" t="str">
        <x:v>Positiva</x:v>
      </x:c>
      <x:c r="F316" s="9" t="str">
        <x:v>Navegador + HTTP + persistencia</x:v>
      </x:c>
      <x:c r="G316" s="10" t="str">
        <x:v>Pendiente</x:v>
      </x:c>
      <x:c r="H316" s="10"/>
      <x:c r="I316" s="10"/>
      <x:c r="J316" s="10"/>
      <x:c r="K316" s="10"/>
      <x:c r="L316" s="11"/>
      <x:c r="M316" s="12"/>
      <x:c r="N316" s="10"/>
    </x:row>
    <x:row r="317" ht="25" customHeight="1">
      <x:c r="A317" s="9" t="str">
        <x:v>QA-COR-007</x:v>
      </x:c>
      <x:c r="B317" s="9" t="str">
        <x:v>COR</x:v>
      </x:c>
      <x:c r="C317" s="9" t="str">
        <x:v>Rechazo definitivo de correo</x:v>
      </x:c>
      <x:c r="D317" s="9" t="str">
        <x:v>P1</x:v>
      </x:c>
      <x:c r="E317" s="9" t="str">
        <x:v>Negativa</x:v>
      </x:c>
      <x:c r="F317" s="9" t="str">
        <x:v>Navegador + HTTP + persistencia</x:v>
      </x:c>
      <x:c r="G317" s="10" t="str">
        <x:v>Pendiente</x:v>
      </x:c>
      <x:c r="H317" s="10"/>
      <x:c r="I317" s="10"/>
      <x:c r="J317" s="10"/>
      <x:c r="K317" s="10"/>
      <x:c r="L317" s="11"/>
      <x:c r="M317" s="12"/>
      <x:c r="N317" s="10"/>
    </x:row>
    <x:row r="318" ht="25" customHeight="1">
      <x:c r="A318" s="9" t="str">
        <x:v>QA-COR-008</x:v>
      </x:c>
      <x:c r="B318" s="9" t="str">
        <x:v>COR</x:v>
      </x:c>
      <x:c r="C318" s="9" t="str">
        <x:v>Timeout de correo</x:v>
      </x:c>
      <x:c r="D318" s="9" t="str">
        <x:v>P0</x:v>
      </x:c>
      <x:c r="E318" s="9" t="str">
        <x:v>Negativa</x:v>
      </x:c>
      <x:c r="F318" s="9" t="str">
        <x:v>Navegador + HTTP + persistencia</x:v>
      </x:c>
      <x:c r="G318" s="10" t="str">
        <x:v>Pendiente</x:v>
      </x:c>
      <x:c r="H318" s="10"/>
      <x:c r="I318" s="10"/>
      <x:c r="J318" s="10"/>
      <x:c r="K318" s="10"/>
      <x:c r="L318" s="11"/>
      <x:c r="M318" s="12"/>
      <x:c r="N318" s="10"/>
    </x:row>
    <x:row r="319" ht="25" customHeight="1">
      <x:c r="A319" s="9" t="str">
        <x:v>QA-COR-009</x:v>
      </x:c>
      <x:c r="B319" s="9" t="str">
        <x:v>COR</x:v>
      </x:c>
      <x:c r="C319" s="9" t="str">
        <x:v>Recuperación pending 50 segundos</x:v>
      </x:c>
      <x:c r="D319" s="9" t="str">
        <x:v>P1</x:v>
      </x:c>
      <x:c r="E319" s="9" t="str">
        <x:v>Simulación</x:v>
      </x:c>
      <x:c r="F319" s="9" t="str">
        <x:v>Navegador + HTTP + persistencia</x:v>
      </x:c>
      <x:c r="G319" s="10" t="str">
        <x:v>Pendiente</x:v>
      </x:c>
      <x:c r="H319" s="10"/>
      <x:c r="I319" s="10"/>
      <x:c r="J319" s="10"/>
      <x:c r="K319" s="10"/>
      <x:c r="L319" s="11"/>
      <x:c r="M319" s="12"/>
      <x:c r="N319" s="10"/>
    </x:row>
    <x:row r="320" ht="25" customHeight="1">
      <x:c r="A320" s="9" t="str">
        <x:v>QA-COR-010</x:v>
      </x:c>
      <x:c r="B320" s="9" t="str">
        <x:v>COR</x:v>
      </x:c>
      <x:c r="C320" s="9" t="str">
        <x:v>Rastreo por destinatario eintento</x:v>
      </x:c>
      <x:c r="D320" s="9" t="str">
        <x:v>P0</x:v>
      </x:c>
      <x:c r="E320" s="9" t="str">
        <x:v>Positiva</x:v>
      </x:c>
      <x:c r="F320" s="9" t="str">
        <x:v>Navegador + HTTP + persistencia</x:v>
      </x:c>
      <x:c r="G320" s="10" t="str">
        <x:v>Pendiente</x:v>
      </x:c>
      <x:c r="H320" s="10"/>
      <x:c r="I320" s="10"/>
      <x:c r="J320" s="10"/>
      <x:c r="K320" s="10"/>
      <x:c r="L320" s="11"/>
      <x:c r="M320" s="12"/>
      <x:c r="N320" s="10"/>
    </x:row>
    <x:row r="321" ht="25" customHeight="1">
      <x:c r="A321" s="9" t="str">
        <x:v>QA-COR-011</x:v>
      </x:c>
      <x:c r="B321" s="9" t="str">
        <x:v>COR</x:v>
      </x:c>
      <x:c r="C321" s="9" t="str">
        <x:v>Rastreo vacío no acredita entrega</x:v>
      </x:c>
      <x:c r="D321" s="9" t="str">
        <x:v>P0</x:v>
      </x:c>
      <x:c r="E321" s="9" t="str">
        <x:v>Negativa</x:v>
      </x:c>
      <x:c r="F321" s="9" t="str">
        <x:v>Navegador + HTTP + persistencia</x:v>
      </x:c>
      <x:c r="G321" s="10" t="str">
        <x:v>Pendiente</x:v>
      </x:c>
      <x:c r="H321" s="10"/>
      <x:c r="I321" s="10"/>
      <x:c r="J321" s="10"/>
      <x:c r="K321" s="10"/>
      <x:c r="L321" s="11"/>
      <x:c r="M321" s="12"/>
      <x:c r="N321" s="10"/>
    </x:row>
    <x:row r="322" ht="25" customHeight="1">
      <x:c r="A322" s="9" t="str">
        <x:v>QA-COR-012</x:v>
      </x:c>
      <x:c r="B322" s="9" t="str">
        <x:v>COR</x:v>
      </x:c>
      <x:c r="C322" s="9" t="str">
        <x:v>Correo automático después de confirmar</x:v>
      </x:c>
      <x:c r="D322" s="9" t="str">
        <x:v>P0</x:v>
      </x:c>
      <x:c r="E322" s="9" t="str">
        <x:v>Positiva</x:v>
      </x:c>
      <x:c r="F322" s="9" t="str">
        <x:v>Navegador + HTTP + persistencia</x:v>
      </x:c>
      <x:c r="G322" s="10" t="str">
        <x:v>Pendiente</x:v>
      </x:c>
      <x:c r="H322" s="10"/>
      <x:c r="I322" s="10"/>
      <x:c r="J322" s="10"/>
      <x:c r="K322" s="10"/>
      <x:c r="L322" s="11"/>
      <x:c r="M322" s="12"/>
      <x:c r="N322" s="10"/>
    </x:row>
    <x:row r="323" ht="25" customHeight="1">
      <x:c r="A323" s="9" t="str">
        <x:v>QA-COR-013</x:v>
      </x:c>
      <x:c r="B323" s="9" t="str">
        <x:v>COR</x:v>
      </x:c>
      <x:c r="C323" s="9" t="str">
        <x:v>Correo automático sin contacto</x:v>
      </x:c>
      <x:c r="D323" s="9" t="str">
        <x:v>P1</x:v>
      </x:c>
      <x:c r="E323" s="9" t="str">
        <x:v>Positiva</x:v>
      </x:c>
      <x:c r="F323" s="9" t="str">
        <x:v>Navegador + HTTP + persistencia</x:v>
      </x:c>
      <x:c r="G323" s="10" t="str">
        <x:v>Pendiente</x:v>
      </x:c>
      <x:c r="H323" s="10"/>
      <x:c r="I323" s="10"/>
      <x:c r="J323" s="10"/>
      <x:c r="K323" s="10"/>
      <x:c r="L323" s="11"/>
      <x:c r="M323" s="12"/>
      <x:c r="N323" s="10"/>
    </x:row>
    <x:row r="324" ht="25" customHeight="1">
      <x:c r="A324" s="9" t="str">
        <x:v>QA-COR-014</x:v>
      </x:c>
      <x:c r="B324" s="9" t="str">
        <x:v>COR</x:v>
      </x:c>
      <x:c r="C324" s="9" t="str">
        <x:v>Fallo de correo auto no degrada factura</x:v>
      </x:c>
      <x:c r="D324" s="9" t="str">
        <x:v>P0</x:v>
      </x:c>
      <x:c r="E324" s="9" t="str">
        <x:v>Negativa</x:v>
      </x:c>
      <x:c r="F324" s="9" t="str">
        <x:v>Navegador + HTTP + persistencia</x:v>
      </x:c>
      <x:c r="G324" s="10" t="str">
        <x:v>Pendiente</x:v>
      </x:c>
      <x:c r="H324" s="10"/>
      <x:c r="I324" s="10"/>
      <x:c r="J324" s="10"/>
      <x:c r="K324" s="10"/>
      <x:c r="L324" s="11"/>
      <x:c r="M324" s="12"/>
      <x:c r="N324" s="10"/>
    </x:row>
    <x:row r="325" ht="25" customHeight="1">
      <x:c r="A325" s="9" t="str">
        <x:v>QA-COR-015</x:v>
      </x:c>
      <x:c r="B325" s="9" t="str">
        <x:v>COR</x:v>
      </x:c>
      <x:c r="C325" s="9" t="str">
        <x:v>Abrir/cerrar diálogo y respuesta tardía</x:v>
      </x:c>
      <x:c r="D325" s="9" t="str">
        <x:v>P1</x:v>
      </x:c>
      <x:c r="E325" s="9" t="str">
        <x:v>Concurrencia</x:v>
      </x:c>
      <x:c r="F325" s="9" t="str">
        <x:v>Navegador + HTTP + persistencia</x:v>
      </x:c>
      <x:c r="G325" s="10" t="str">
        <x:v>Pendiente</x:v>
      </x:c>
      <x:c r="H325" s="10"/>
      <x:c r="I325" s="10"/>
      <x:c r="J325" s="10"/>
      <x:c r="K325" s="10"/>
      <x:c r="L325" s="11"/>
      <x:c r="M325" s="12"/>
      <x:c r="N325" s="10"/>
    </x:row>
    <x:row r="326" ht="25" customHeight="1">
      <x:c r="A326" s="9" t="str">
        <x:v>QA-COR-016</x:v>
      </x:c>
      <x:c r="B326" s="9" t="str">
        <x:v>COR</x:v>
      </x:c>
      <x:c r="C326" s="9" t="str">
        <x:v>Configuración opcional y focus</x:v>
      </x:c>
      <x:c r="D326" s="9" t="str">
        <x:v>P1</x:v>
      </x:c>
      <x:c r="E326" s="9" t="str">
        <x:v>Positiva</x:v>
      </x:c>
      <x:c r="F326" s="9" t="str">
        <x:v>Navegador + HTTP + persistencia</x:v>
      </x:c>
      <x:c r="G326" s="10" t="str">
        <x:v>Pendiente</x:v>
      </x:c>
      <x:c r="H326" s="10"/>
      <x:c r="I326" s="10"/>
      <x:c r="J326" s="10"/>
      <x:c r="K326" s="10"/>
      <x:c r="L326" s="11"/>
      <x:c r="M326" s="12"/>
      <x:c r="N326" s="10"/>
    </x:row>
    <x:row r="327" ht="25" customHeight="1">
      <x:c r="A327" s="9" t="str">
        <x:v>QA-COR-017</x:v>
      </x:c>
      <x:c r="B327" s="9" t="str">
        <x:v>COR</x:v>
      </x:c>
      <x:c r="C327" s="9" t="str">
        <x:v>WhatsApp y prefijo venezolano</x:v>
      </x:c>
      <x:c r="D327" s="9" t="str">
        <x:v>P1</x:v>
      </x:c>
      <x:c r="E327" s="9" t="str">
        <x:v>Positiva</x:v>
      </x:c>
      <x:c r="F327" s="9" t="str">
        <x:v>Navegador + HTTP + persistencia</x:v>
      </x:c>
      <x:c r="G327" s="10" t="str">
        <x:v>Pendiente</x:v>
      </x:c>
      <x:c r="H327" s="10"/>
      <x:c r="I327" s="10"/>
      <x:c r="J327" s="10"/>
      <x:c r="K327" s="10"/>
      <x:c r="L327" s="11"/>
      <x:c r="M327" s="12"/>
      <x:c r="N327" s="10"/>
    </x:row>
    <x:row r="328" ht="25" customHeight="1">
      <x:c r="A328" s="9" t="str">
        <x:v>QA-COR-018</x:v>
      </x:c>
      <x:c r="B328" s="9" t="str">
        <x:v>COR</x:v>
      </x:c>
      <x:c r="C328" s="9" t="str">
        <x:v>WhatsApp no habilitado/no PDF</x:v>
      </x:c>
      <x:c r="D328" s="9" t="str">
        <x:v>P1</x:v>
      </x:c>
      <x:c r="E328" s="9" t="str">
        <x:v>Negativa</x:v>
      </x:c>
      <x:c r="F328" s="9" t="str">
        <x:v>Navegador + HTTP + persistencia</x:v>
      </x:c>
      <x:c r="G328" s="10" t="str">
        <x:v>Pendiente</x:v>
      </x:c>
      <x:c r="H328" s="10"/>
      <x:c r="I328" s="10"/>
      <x:c r="J328" s="10"/>
      <x:c r="K328" s="10"/>
      <x:c r="L328" s="11"/>
      <x:c r="M328" s="12"/>
      <x:c r="N328" s="10"/>
    </x:row>
    <x:row r="329" ht="25" customHeight="1">
      <x:c r="A329" s="9" t="str">
        <x:v>QA-COR-019</x:v>
      </x:c>
      <x:c r="B329" s="9" t="str">
        <x:v>COR</x:v>
      </x:c>
      <x:c r="C329" s="9" t="str">
        <x:v>Distribución por orden fuera de etapa</x:v>
      </x:c>
      <x:c r="D329" s="9" t="str">
        <x:v>P2</x:v>
      </x:c>
      <x:c r="E329" s="9" t="str">
        <x:v>Límite conocido</x:v>
      </x:c>
      <x:c r="F329" s="9" t="str">
        <x:v>Navegador + HTTP + persistencia</x:v>
      </x:c>
      <x:c r="G329" s="10" t="str">
        <x:v>Pendiente</x:v>
      </x:c>
      <x:c r="H329" s="10"/>
      <x:c r="I329" s="10"/>
      <x:c r="J329" s="10"/>
      <x:c r="K329" s="10"/>
      <x:c r="L329" s="11"/>
      <x:c r="M329" s="12"/>
      <x:c r="N329" s="10"/>
    </x:row>
    <x:row r="330" ht="25" customHeight="1">
      <x:c r="A330" s="9" t="str">
        <x:v>QA-LIS-001</x:v>
      </x:c>
      <x:c r="B330" s="9" t="str">
        <x:v>LIS</x:v>
      </x:c>
      <x:c r="C330" s="9" t="str">
        <x:v>Listado de todos los tipos presentes</x:v>
      </x:c>
      <x:c r="D330" s="9" t="str">
        <x:v>P1</x:v>
      </x:c>
      <x:c r="E330" s="9" t="str">
        <x:v>Positiva</x:v>
      </x:c>
      <x:c r="F330" s="9" t="str">
        <x:v>Navegador + HTTP + persistencia</x:v>
      </x:c>
      <x:c r="G330" s="10" t="str">
        <x:v>Pendiente</x:v>
      </x:c>
      <x:c r="H330" s="10"/>
      <x:c r="I330" s="10"/>
      <x:c r="J330" s="10"/>
      <x:c r="K330" s="10"/>
      <x:c r="L330" s="11"/>
      <x:c r="M330" s="12"/>
      <x:c r="N330" s="10"/>
    </x:row>
    <x:row r="331" ht="25" customHeight="1">
      <x:c r="A331" s="9" t="str">
        <x:v>QA-LIS-002</x:v>
      </x:c>
      <x:c r="B331" s="9" t="str">
        <x:v>LIS</x:v>
      </x:c>
      <x:c r="C331" s="9" t="str">
        <x:v>Estados locales y fiscales</x:v>
      </x:c>
      <x:c r="D331" s="9" t="str">
        <x:v>P0</x:v>
      </x:c>
      <x:c r="E331" s="9" t="str">
        <x:v>Positiva</x:v>
      </x:c>
      <x:c r="F331" s="9" t="str">
        <x:v>Navegador + HTTP + persistencia</x:v>
      </x:c>
      <x:c r="G331" s="10" t="str">
        <x:v>Pendiente</x:v>
      </x:c>
      <x:c r="H331" s="10"/>
      <x:c r="I331" s="10"/>
      <x:c r="J331" s="10"/>
      <x:c r="K331" s="10"/>
      <x:c r="L331" s="11"/>
      <x:c r="M331" s="12"/>
      <x:c r="N331" s="10"/>
    </x:row>
    <x:row r="332" ht="25" customHeight="1">
      <x:c r="A332" s="9" t="str">
        <x:v>QA-LIS-003</x:v>
      </x:c>
      <x:c r="B332" s="9" t="str">
        <x:v>LIS</x:v>
      </x:c>
      <x:c r="C332" s="9" t="str">
        <x:v>Prioridad de anulación/rechazo local</x:v>
      </x:c>
      <x:c r="D332" s="9" t="str">
        <x:v>P0</x:v>
      </x:c>
      <x:c r="E332" s="9" t="str">
        <x:v>Positiva</x:v>
      </x:c>
      <x:c r="F332" s="9" t="str">
        <x:v>Navegador + HTTP + persistencia</x:v>
      </x:c>
      <x:c r="G332" s="10" t="str">
        <x:v>Pendiente</x:v>
      </x:c>
      <x:c r="H332" s="10"/>
      <x:c r="I332" s="10"/>
      <x:c r="J332" s="10"/>
      <x:c r="K332" s="10"/>
      <x:c r="L332" s="11"/>
      <x:c r="M332" s="12"/>
      <x:c r="N332" s="10"/>
    </x:row>
    <x:row r="333" ht="25" customHeight="1">
      <x:c r="A333" s="9" t="str">
        <x:v>QA-LIS-004</x:v>
      </x:c>
      <x:c r="B333" s="9" t="str">
        <x:v>LIS</x:v>
      </x:c>
      <x:c r="C333" s="9" t="str">
        <x:v>Control y motivo completos</x:v>
      </x:c>
      <x:c r="D333" s="9" t="str">
        <x:v>P1</x:v>
      </x:c>
      <x:c r="E333" s="9" t="str">
        <x:v>Positiva</x:v>
      </x:c>
      <x:c r="F333" s="9" t="str">
        <x:v>Navegador + HTTP + persistencia</x:v>
      </x:c>
      <x:c r="G333" s="10" t="str">
        <x:v>Pendiente</x:v>
      </x:c>
      <x:c r="H333" s="10"/>
      <x:c r="I333" s="10"/>
      <x:c r="J333" s="10"/>
      <x:c r="K333" s="10"/>
      <x:c r="L333" s="11"/>
      <x:c r="M333" s="12"/>
      <x:c r="N333" s="10"/>
    </x:row>
    <x:row r="334" ht="25" customHeight="1">
      <x:c r="A334" s="9" t="str">
        <x:v>QA-LIS-005</x:v>
      </x:c>
      <x:c r="B334" s="9" t="str">
        <x:v>LIS</x:v>
      </x:c>
      <x:c r="C334" s="9" t="str">
        <x:v>Acciones de consulta y envío</x:v>
      </x:c>
      <x:c r="D334" s="9" t="str">
        <x:v>P1</x:v>
      </x:c>
      <x:c r="E334" s="9" t="str">
        <x:v>Positiva</x:v>
      </x:c>
      <x:c r="F334" s="9" t="str">
        <x:v>Navegador + HTTP + persistencia</x:v>
      </x:c>
      <x:c r="G334" s="10" t="str">
        <x:v>Pendiente</x:v>
      </x:c>
      <x:c r="H334" s="10"/>
      <x:c r="I334" s="10"/>
      <x:c r="J334" s="10"/>
      <x:c r="K334" s="10"/>
      <x:c r="L334" s="11"/>
      <x:c r="M334" s="12"/>
      <x:c r="N334" s="10"/>
    </x:row>
    <x:row r="335" ht="25" customHeight="1">
      <x:c r="A335" s="9" t="str">
        <x:v>QA-LIS-006</x:v>
      </x:c>
      <x:c r="B335" s="9" t="str">
        <x:v>LIS</x:v>
      </x:c>
      <x:c r="C335" s="9" t="str">
        <x:v>Columna PDF retirada y menú móvil</x:v>
      </x:c>
      <x:c r="D335" s="9" t="str">
        <x:v>P1</x:v>
      </x:c>
      <x:c r="E335" s="9" t="str">
        <x:v>Positiva</x:v>
      </x:c>
      <x:c r="F335" s="9" t="str">
        <x:v>Navegador + HTTP + persistencia</x:v>
      </x:c>
      <x:c r="G335" s="10" t="str">
        <x:v>Pendiente</x:v>
      </x:c>
      <x:c r="H335" s="10"/>
      <x:c r="I335" s="10"/>
      <x:c r="J335" s="10"/>
      <x:c r="K335" s="10"/>
      <x:c r="L335" s="11"/>
      <x:c r="M335" s="12"/>
      <x:c r="N335" s="10"/>
    </x:row>
    <x:row r="336" ht="25" customHeight="1">
      <x:c r="A336" s="9" t="str">
        <x:v>QA-LIS-007</x:v>
      </x:c>
      <x:c r="B336" s="9" t="str">
        <x:v>LIS</x:v>
      </x:c>
      <x:c r="C336" s="9" t="str">
        <x:v>Total permanente y columnas configurables</x:v>
      </x:c>
      <x:c r="D336" s="9" t="str">
        <x:v>P1</x:v>
      </x:c>
      <x:c r="E336" s="9" t="str">
        <x:v>Positiva</x:v>
      </x:c>
      <x:c r="F336" s="9" t="str">
        <x:v>Navegador + HTTP + persistencia</x:v>
      </x:c>
      <x:c r="G336" s="10" t="str">
        <x:v>Pendiente</x:v>
      </x:c>
      <x:c r="H336" s="10"/>
      <x:c r="I336" s="10"/>
      <x:c r="J336" s="10"/>
      <x:c r="K336" s="10"/>
      <x:c r="L336" s="11"/>
      <x:c r="M336" s="12"/>
      <x:c r="N336" s="10"/>
    </x:row>
    <x:row r="337" ht="25" customHeight="1">
      <x:c r="A337" s="9" t="str">
        <x:v>QA-LIS-008</x:v>
      </x:c>
      <x:c r="B337" s="9" t="str">
        <x:v>LIS</x:v>
      </x:c>
      <x:c r="C337" s="9" t="str">
        <x:v>Filtros por número, serie y cliente</x:v>
      </x:c>
      <x:c r="D337" s="9" t="str">
        <x:v>P1</x:v>
      </x:c>
      <x:c r="E337" s="9" t="str">
        <x:v>Positiva</x:v>
      </x:c>
      <x:c r="F337" s="9" t="str">
        <x:v>Navegador + HTTP + persistencia</x:v>
      </x:c>
      <x:c r="G337" s="10" t="str">
        <x:v>Pendiente</x:v>
      </x:c>
      <x:c r="H337" s="10"/>
      <x:c r="I337" s="10"/>
      <x:c r="J337" s="10"/>
      <x:c r="K337" s="10"/>
      <x:c r="L337" s="11"/>
      <x:c r="M337" s="12"/>
      <x:c r="N337" s="10"/>
    </x:row>
    <x:row r="338" ht="25" customHeight="1">
      <x:c r="A338" s="9" t="str">
        <x:v>QA-LIS-009</x:v>
      </x:c>
      <x:c r="B338" s="9" t="str">
        <x:v>LIS</x:v>
      </x:c>
      <x:c r="C338" s="9" t="str">
        <x:v>Filtros por fecha, moneda, estado y tipo</x:v>
      </x:c>
      <x:c r="D338" s="9" t="str">
        <x:v>P0</x:v>
      </x:c>
      <x:c r="E338" s="9" t="str">
        <x:v>Positiva</x:v>
      </x:c>
      <x:c r="F338" s="9" t="str">
        <x:v>Navegador + HTTP + persistencia</x:v>
      </x:c>
      <x:c r="G338" s="10" t="str">
        <x:v>Pendiente</x:v>
      </x:c>
      <x:c r="H338" s="10"/>
      <x:c r="I338" s="10"/>
      <x:c r="J338" s="10"/>
      <x:c r="K338" s="10"/>
      <x:c r="L338" s="11"/>
      <x:c r="M338" s="12"/>
      <x:c r="N338" s="10"/>
    </x:row>
    <x:row r="339" ht="25" customHeight="1">
      <x:c r="A339" s="9" t="str">
        <x:v>QA-LIS-010</x:v>
      </x:c>
      <x:c r="B339" s="9" t="str">
        <x:v>LIS</x:v>
      </x:c>
      <x:c r="C339" s="9" t="str">
        <x:v>Paginación, orden y selección masiva</x:v>
      </x:c>
      <x:c r="D339" s="9" t="str">
        <x:v>P1</x:v>
      </x:c>
      <x:c r="E339" s="9" t="str">
        <x:v>Positiva</x:v>
      </x:c>
      <x:c r="F339" s="9" t="str">
        <x:v>Navegador + HTTP + persistencia</x:v>
      </x:c>
      <x:c r="G339" s="10" t="str">
        <x:v>Pendiente</x:v>
      </x:c>
      <x:c r="H339" s="10"/>
      <x:c r="I339" s="10"/>
      <x:c r="J339" s="10"/>
      <x:c r="K339" s="10"/>
      <x:c r="L339" s="11"/>
      <x:c r="M339" s="12"/>
      <x:c r="N339" s="10"/>
    </x:row>
    <x:row r="340" ht="25" customHeight="1">
      <x:c r="A340" s="9" t="str">
        <x:v>QA-LIS-011</x:v>
      </x:c>
      <x:c r="B340" s="9" t="str">
        <x:v>LIS</x:v>
      </x:c>
      <x:c r="C340" s="9" t="str">
        <x:v>Recarga después de acción fiscal</x:v>
      </x:c>
      <x:c r="D340" s="9" t="str">
        <x:v>P0</x:v>
      </x:c>
      <x:c r="E340" s="9" t="str">
        <x:v>Positiva</x:v>
      </x:c>
      <x:c r="F340" s="9" t="str">
        <x:v>Navegador + HTTP + persistencia</x:v>
      </x:c>
      <x:c r="G340" s="10" t="str">
        <x:v>Pendiente</x:v>
      </x:c>
      <x:c r="H340" s="10"/>
      <x:c r="I340" s="10"/>
      <x:c r="J340" s="10"/>
      <x:c r="K340" s="10"/>
      <x:c r="L340" s="11"/>
      <x:c r="M340" s="12"/>
      <x:c r="N340" s="10"/>
    </x:row>
    <x:row r="341" ht="25" customHeight="1">
      <x:c r="A341" s="9" t="str">
        <x:v>QA-LIS-012</x:v>
      </x:c>
      <x:c r="B341" s="9" t="str">
        <x:v>LIS</x:v>
      </x:c>
      <x:c r="C341" s="9" t="str">
        <x:v>Respuesta tardía en detalle</x:v>
      </x:c>
      <x:c r="D341" s="9" t="str">
        <x:v>P1</x:v>
      </x:c>
      <x:c r="E341" s="9" t="str">
        <x:v>Concurrencia</x:v>
      </x:c>
      <x:c r="F341" s="9" t="str">
        <x:v>Navegador + HTTP + persistencia</x:v>
      </x:c>
      <x:c r="G341" s="10" t="str">
        <x:v>Pendiente</x:v>
      </x:c>
      <x:c r="H341" s="10"/>
      <x:c r="I341" s="10"/>
      <x:c r="J341" s="10"/>
      <x:c r="K341" s="10"/>
      <x:c r="L341" s="11"/>
      <x:c r="M341" s="12"/>
      <x:c r="N341" s="10"/>
    </x:row>
    <x:row r="342" ht="25" customHeight="1">
      <x:c r="A342" s="9" t="str">
        <x:v>QA-LIS-013</x:v>
      </x:c>
      <x:c r="B342" s="9" t="str">
        <x:v>LIS</x:v>
      </x:c>
      <x:c r="C342" s="9" t="str">
        <x:v>Cache por tenant y actualización</x:v>
      </x:c>
      <x:c r="D342" s="9" t="str">
        <x:v>P0</x:v>
      </x:c>
      <x:c r="E342" s="9" t="str">
        <x:v>Seguridad</x:v>
      </x:c>
      <x:c r="F342" s="9" t="str">
        <x:v>Navegador + HTTP + persistencia</x:v>
      </x:c>
      <x:c r="G342" s="10" t="str">
        <x:v>Pendiente</x:v>
      </x:c>
      <x:c r="H342" s="10"/>
      <x:c r="I342" s="10"/>
      <x:c r="J342" s="10"/>
      <x:c r="K342" s="10"/>
      <x:c r="L342" s="11"/>
      <x:c r="M342" s="12"/>
      <x:c r="N342" s="10"/>
    </x:row>
    <x:row r="343" ht="25" customHeight="1">
      <x:c r="A343" s="9" t="str">
        <x:v>QA-LIS-014</x:v>
      </x:c>
      <x:c r="B343" s="9" t="str">
        <x:v>LIS</x:v>
      </x:c>
      <x:c r="C343" s="9" t="str">
        <x:v>Campos personalizados</x:v>
      </x:c>
      <x:c r="D343" s="9" t="str">
        <x:v>P1</x:v>
      </x:c>
      <x:c r="E343" s="9" t="str">
        <x:v>Positiva</x:v>
      </x:c>
      <x:c r="F343" s="9" t="str">
        <x:v>Navegador + HTTP + persistencia</x:v>
      </x:c>
      <x:c r="G343" s="10" t="str">
        <x:v>Pendiente</x:v>
      </x:c>
      <x:c r="H343" s="10"/>
      <x:c r="I343" s="10"/>
      <x:c r="J343" s="10"/>
      <x:c r="K343" s="10"/>
      <x:c r="L343" s="11"/>
      <x:c r="M343" s="12"/>
      <x:c r="N343" s="10"/>
    </x:row>
    <x:row r="344" ht="25" customHeight="1">
      <x:c r="A344" s="9" t="str">
        <x:v>QA-LIS-015</x:v>
      </x:c>
      <x:c r="B344" s="9" t="str">
        <x:v>LIS</x:v>
      </x:c>
      <x:c r="C344" s="9" t="str">
        <x:v>Responsividad y teclado</x:v>
      </x:c>
      <x:c r="D344" s="9" t="str">
        <x:v>P1</x:v>
      </x:c>
      <x:c r="E344" s="9" t="str">
        <x:v>Positiva</x:v>
      </x:c>
      <x:c r="F344" s="9" t="str">
        <x:v>Navegador + HTTP + persistencia</x:v>
      </x:c>
      <x:c r="G344" s="10" t="str">
        <x:v>Pendiente</x:v>
      </x:c>
      <x:c r="H344" s="10"/>
      <x:c r="I344" s="10"/>
      <x:c r="J344" s="10"/>
      <x:c r="K344" s="10"/>
      <x:c r="L344" s="11"/>
      <x:c r="M344" s="12"/>
      <x:c r="N344" s="10"/>
    </x:row>
    <x:row r="345" ht="25" customHeight="1">
      <x:c r="A345" s="9" t="str">
        <x:v>QA-LIS-016</x:v>
      </x:c>
      <x:c r="B345" s="9" t="str">
        <x:v>LIS</x:v>
      </x:c>
      <x:c r="C345" s="9" t="str">
        <x:v>Sin registros y fallo de red</x:v>
      </x:c>
      <x:c r="D345" s="9" t="str">
        <x:v>P1</x:v>
      </x:c>
      <x:c r="E345" s="9" t="str">
        <x:v>Positiva</x:v>
      </x:c>
      <x:c r="F345" s="9" t="str">
        <x:v>Navegador + HTTP + persistencia</x:v>
      </x:c>
      <x:c r="G345" s="10" t="str">
        <x:v>Pendiente</x:v>
      </x:c>
      <x:c r="H345" s="10"/>
      <x:c r="I345" s="10"/>
      <x:c r="J345" s="10"/>
      <x:c r="K345" s="10"/>
      <x:c r="L345" s="11"/>
      <x:c r="M345" s="12"/>
      <x:c r="N345" s="10"/>
    </x:row>
    <x:row r="346" ht="25" customHeight="1">
      <x:c r="A346" s="9" t="str">
        <x:v>QA-NVE-001</x:v>
      </x:c>
      <x:c r="B346" s="9" t="str">
        <x:v>NVE</x:v>
      </x:c>
      <x:c r="C346" s="9" t="str">
        <x:v>Crear nota de venta 80 digital tenant</x:v>
      </x:c>
      <x:c r="D346" s="9" t="str">
        <x:v>P0</x:v>
      </x:c>
      <x:c r="E346" s="9" t="str">
        <x:v>Positiva</x:v>
      </x:c>
      <x:c r="F346" s="9" t="str">
        <x:v>Navegador + HTTP + persistencia</x:v>
      </x:c>
      <x:c r="G346" s="10" t="str">
        <x:v>Pendiente</x:v>
      </x:c>
      <x:c r="H346" s="10"/>
      <x:c r="I346" s="10"/>
      <x:c r="J346" s="10"/>
      <x:c r="K346" s="10"/>
      <x:c r="L346" s="11"/>
      <x:c r="M346" s="12"/>
      <x:c r="N346" s="10"/>
    </x:row>
    <x:row r="347" ht="25" customHeight="1">
      <x:c r="A347" s="9" t="str">
        <x:v>QA-NVE-002</x:v>
      </x:c>
      <x:c r="B347" s="9" t="str">
        <x:v>NVE</x:v>
      </x:c>
      <x:c r="C347" s="9" t="str">
        <x:v>Nota de venta contado y crédito</x:v>
      </x:c>
      <x:c r="D347" s="9" t="str">
        <x:v>P1</x:v>
      </x:c>
      <x:c r="E347" s="9" t="str">
        <x:v>Positiva</x:v>
      </x:c>
      <x:c r="F347" s="9" t="str">
        <x:v>Navegador + HTTP + persistencia</x:v>
      </x:c>
      <x:c r="G347" s="10" t="str">
        <x:v>Pendiente</x:v>
      </x:c>
      <x:c r="H347" s="10"/>
      <x:c r="I347" s="10"/>
      <x:c r="J347" s="10"/>
      <x:c r="K347" s="10"/>
      <x:c r="L347" s="11"/>
      <x:c r="M347" s="12"/>
      <x:c r="N347" s="10"/>
    </x:row>
    <x:row r="348" ht="25" customHeight="1">
      <x:c r="A348" s="9" t="str">
        <x:v>QA-NVE-003</x:v>
      </x:c>
      <x:c r="B348" s="9" t="str">
        <x:v>NVE</x:v>
      </x:c>
      <x:c r="C348" s="9" t="str">
        <x:v>Editar, duplicar y anular NV</x:v>
      </x:c>
      <x:c r="D348" s="9" t="str">
        <x:v>P1</x:v>
      </x:c>
      <x:c r="E348" s="9" t="str">
        <x:v>Positiva</x:v>
      </x:c>
      <x:c r="F348" s="9" t="str">
        <x:v>Navegador + HTTP + persistencia</x:v>
      </x:c>
      <x:c r="G348" s="10" t="str">
        <x:v>Pendiente</x:v>
      </x:c>
      <x:c r="H348" s="10"/>
      <x:c r="I348" s="10"/>
      <x:c r="J348" s="10"/>
      <x:c r="K348" s="10"/>
      <x:c r="L348" s="11"/>
      <x:c r="M348" s="12"/>
      <x:c r="N348" s="10"/>
    </x:row>
    <x:row r="349" ht="25" customHeight="1">
      <x:c r="A349" s="9" t="str">
        <x:v>QA-NVE-004</x:v>
      </x:c>
      <x:c r="B349" s="9" t="str">
        <x:v>NVE</x:v>
      </x:c>
      <x:c r="C349" s="9" t="str">
        <x:v>Convertir una NV a Factura</x:v>
      </x:c>
      <x:c r="D349" s="9" t="str">
        <x:v>P0</x:v>
      </x:c>
      <x:c r="E349" s="9" t="str">
        <x:v>Positiva</x:v>
      </x:c>
      <x:c r="F349" s="9" t="str">
        <x:v>Navegador + HTTP + persistencia</x:v>
      </x:c>
      <x:c r="G349" s="10" t="str">
        <x:v>Pendiente</x:v>
      </x:c>
      <x:c r="H349" s="10"/>
      <x:c r="I349" s="10"/>
      <x:c r="J349" s="10"/>
      <x:c r="K349" s="10"/>
      <x:c r="L349" s="11"/>
      <x:c r="M349" s="12"/>
      <x:c r="N349" s="10"/>
    </x:row>
    <x:row r="350" ht="25" customHeight="1">
      <x:c r="A350" s="9" t="str">
        <x:v>QA-NVE-005</x:v>
      </x:c>
      <x:c r="B350" s="9" t="str">
        <x:v>NVE</x:v>
      </x:c>
      <x:c r="C350" s="9" t="str">
        <x:v>Convertir varias NV mismo cliente</x:v>
      </x:c>
      <x:c r="D350" s="9" t="str">
        <x:v>P0</x:v>
      </x:c>
      <x:c r="E350" s="9" t="str">
        <x:v>Positiva</x:v>
      </x:c>
      <x:c r="F350" s="9" t="str">
        <x:v>Navegador + HTTP + persistencia</x:v>
      </x:c>
      <x:c r="G350" s="10" t="str">
        <x:v>Pendiente</x:v>
      </x:c>
      <x:c r="H350" s="10"/>
      <x:c r="I350" s="10"/>
      <x:c r="J350" s="10"/>
      <x:c r="K350" s="10"/>
      <x:c r="L350" s="11"/>
      <x:c r="M350" s="12"/>
      <x:c r="N350" s="10"/>
    </x:row>
    <x:row r="351" ht="25" customHeight="1">
      <x:c r="A351" s="9" t="str">
        <x:v>QA-NVE-006</x:v>
      </x:c>
      <x:c r="B351" s="9" t="str">
        <x:v>NVE</x:v>
      </x:c>
      <x:c r="C351" s="9" t="str">
        <x:v>Convertir NV incompatibles</x:v>
      </x:c>
      <x:c r="D351" s="9" t="str">
        <x:v>P0</x:v>
      </x:c>
      <x:c r="E351" s="9" t="str">
        <x:v>Negativa</x:v>
      </x:c>
      <x:c r="F351" s="9" t="str">
        <x:v>Navegador + HTTP + persistencia</x:v>
      </x:c>
      <x:c r="G351" s="10" t="str">
        <x:v>Pendiente</x:v>
      </x:c>
      <x:c r="H351" s="10"/>
      <x:c r="I351" s="10"/>
      <x:c r="J351" s="10"/>
      <x:c r="K351" s="10"/>
      <x:c r="L351" s="11"/>
      <x:c r="M351" s="12"/>
      <x:c r="N351" s="10"/>
    </x:row>
    <x:row r="352" ht="25" customHeight="1">
      <x:c r="A352" s="9" t="str">
        <x:v>QA-NVE-007</x:v>
      </x:c>
      <x:c r="B352" s="9" t="str">
        <x:v>NVE</x:v>
      </x:c>
      <x:c r="C352" s="9" t="str">
        <x:v>Cliente precargado paginado</x:v>
      </x:c>
      <x:c r="D352" s="9" t="str">
        <x:v>P0</x:v>
      </x:c>
      <x:c r="E352" s="9" t="str">
        <x:v>Positiva</x:v>
      </x:c>
      <x:c r="F352" s="9" t="str">
        <x:v>Navegador + HTTP + persistencia</x:v>
      </x:c>
      <x:c r="G352" s="10" t="str">
        <x:v>Pendiente</x:v>
      </x:c>
      <x:c r="H352" s="10"/>
      <x:c r="I352" s="10"/>
      <x:c r="J352" s="10"/>
      <x:c r="K352" s="10"/>
      <x:c r="L352" s="11"/>
      <x:c r="M352" s="12"/>
      <x:c r="N352" s="10"/>
    </x:row>
    <x:row r="353" ht="25" customHeight="1">
      <x:c r="A353" s="9" t="str">
        <x:v>QA-NVE-008</x:v>
      </x:c>
      <x:c r="B353" s="9" t="str">
        <x:v>NVE</x:v>
      </x:c>
      <x:c r="C353" s="9" t="str">
        <x:v>Conversión con identidad inactiva</x:v>
      </x:c>
      <x:c r="D353" s="9" t="str">
        <x:v>P0</x:v>
      </x:c>
      <x:c r="E353" s="9" t="str">
        <x:v>Negativa</x:v>
      </x:c>
      <x:c r="F353" s="9" t="str">
        <x:v>Navegador + HTTP + persistencia</x:v>
      </x:c>
      <x:c r="G353" s="10" t="str">
        <x:v>Pendiente</x:v>
      </x:c>
      <x:c r="H353" s="10"/>
      <x:c r="I353" s="10"/>
      <x:c r="J353" s="10"/>
      <x:c r="K353" s="10"/>
      <x:c r="L353" s="11"/>
      <x:c r="M353" s="12"/>
      <x:c r="N353" s="10"/>
    </x:row>
    <x:row r="354" ht="25" customHeight="1">
      <x:c r="A354" s="9" t="str">
        <x:v>QA-NVE-009</x:v>
      </x:c>
      <x:c r="B354" s="9" t="str">
        <x:v>NVE</x:v>
      </x:c>
      <x:c r="C354" s="9" t="str">
        <x:v>Conversión doble o concurrente</x:v>
      </x:c>
      <x:c r="D354" s="9" t="str">
        <x:v>P0</x:v>
      </x:c>
      <x:c r="E354" s="9" t="str">
        <x:v>Concurrencia</x:v>
      </x:c>
      <x:c r="F354" s="9" t="str">
        <x:v>Navegador + HTTP + persistencia</x:v>
      </x:c>
      <x:c r="G354" s="10" t="str">
        <x:v>Pendiente</x:v>
      </x:c>
      <x:c r="H354" s="10"/>
      <x:c r="I354" s="10"/>
      <x:c r="J354" s="10"/>
      <x:c r="K354" s="10"/>
      <x:c r="L354" s="11"/>
      <x:c r="M354" s="12"/>
      <x:c r="N354" s="10"/>
    </x:row>
    <x:row r="355" ht="25" customHeight="1">
      <x:c r="A355" s="9" t="str">
        <x:v>QA-NVE-010</x:v>
      </x:c>
      <x:c r="B355" s="9" t="str">
        <x:v>NVE</x:v>
      </x:c>
      <x:c r="C355" s="9" t="str">
        <x:v>Cotización a Factura</x:v>
      </x:c>
      <x:c r="D355" s="9" t="str">
        <x:v>P1</x:v>
      </x:c>
      <x:c r="E355" s="9" t="str">
        <x:v>Positiva</x:v>
      </x:c>
      <x:c r="F355" s="9" t="str">
        <x:v>Navegador + HTTP + persistencia</x:v>
      </x:c>
      <x:c r="G355" s="10" t="str">
        <x:v>Pendiente</x:v>
      </x:c>
      <x:c r="H355" s="10"/>
      <x:c r="I355" s="10"/>
      <x:c r="J355" s="10"/>
      <x:c r="K355" s="10"/>
      <x:c r="L355" s="11"/>
      <x:c r="M355" s="12"/>
      <x:c r="N355" s="10"/>
    </x:row>
    <x:row r="356" ht="25" customHeight="1">
      <x:c r="A356" s="9" t="str">
        <x:v>QA-NVE-011</x:v>
      </x:c>
      <x:c r="B356" s="9" t="str">
        <x:v>NVE</x:v>
      </x:c>
      <x:c r="C356" s="9" t="str">
        <x:v>Pedido o Nota de pedido a venta</x:v>
      </x:c>
      <x:c r="D356" s="9" t="str">
        <x:v>P1</x:v>
      </x:c>
      <x:c r="E356" s="9" t="str">
        <x:v>Positiva</x:v>
      </x:c>
      <x:c r="F356" s="9" t="str">
        <x:v>Navegador + HTTP + persistencia</x:v>
      </x:c>
      <x:c r="G356" s="10" t="str">
        <x:v>Pendiente</x:v>
      </x:c>
      <x:c r="H356" s="10"/>
      <x:c r="I356" s="10"/>
      <x:c r="J356" s="10"/>
      <x:c r="K356" s="10"/>
      <x:c r="L356" s="11"/>
      <x:c r="M356" s="12"/>
      <x:c r="N356" s="10"/>
    </x:row>
    <x:row r="357" ht="25" customHeight="1">
      <x:c r="A357" s="9" t="str">
        <x:v>QA-NVE-012</x:v>
      </x:c>
      <x:c r="B357" s="9" t="str">
        <x:v>NVE</x:v>
      </x:c>
      <x:c r="C357" s="9" t="str">
        <x:v>Orden de entrega a Factura sin doble inventario</x:v>
      </x:c>
      <x:c r="D357" s="9" t="str">
        <x:v>P0</x:v>
      </x:c>
      <x:c r="E357" s="9" t="str">
        <x:v>Regresión contractual</x:v>
      </x:c>
      <x:c r="F357" s="9" t="str">
        <x:v>Navegador + HTTP + persistencia; DEMO separado de doble</x:v>
      </x:c>
      <x:c r="G357" s="10" t="str">
        <x:v>Pendiente</x:v>
      </x:c>
      <x:c r="H357" s="10"/>
      <x:c r="I357" s="10"/>
      <x:c r="J357" s="10"/>
      <x:c r="K357" s="10"/>
      <x:c r="L357" s="11"/>
      <x:c r="M357" s="12"/>
      <x:c r="N357" s="10"/>
    </x:row>
    <x:row r="358" ht="25" customHeight="1">
      <x:c r="A358" s="9" t="str">
        <x:v>QA-NVE-013</x:v>
      </x:c>
      <x:c r="B358" s="9" t="str">
        <x:v>NVE</x:v>
      </x:c>
      <x:c r="C358" s="9" t="str">
        <x:v>Factura a Orden de entrega digital</x:v>
      </x:c>
      <x:c r="D358" s="9" t="str">
        <x:v>P0</x:v>
      </x:c>
      <x:c r="E358" s="9" t="str">
        <x:v>Regresión contractual</x:v>
      </x:c>
      <x:c r="F358" s="9" t="str">
        <x:v>Navegador + HTTP + persistencia; DEMO separado de doble</x:v>
      </x:c>
      <x:c r="G358" s="10" t="str">
        <x:v>Pendiente</x:v>
      </x:c>
      <x:c r="H358" s="10"/>
      <x:c r="I358" s="10"/>
      <x:c r="J358" s="10"/>
      <x:c r="K358" s="10"/>
      <x:c r="L358" s="11"/>
      <x:c r="M358" s="12"/>
      <x:c r="N358" s="10"/>
    </x:row>
    <x:row r="359" ht="25" customHeight="1">
      <x:c r="A359" s="9" t="str">
        <x:v>QA-NVE-014</x:v>
      </x:c>
      <x:c r="B359" s="9" t="str">
        <x:v>NVE</x:v>
      </x:c>
      <x:c r="C359" s="9" t="str">
        <x:v>Boleta y tipos ajenos en conversión</x:v>
      </x:c>
      <x:c r="D359" s="9" t="str">
        <x:v>P0</x:v>
      </x:c>
      <x:c r="E359" s="9" t="str">
        <x:v>Negativa</x:v>
      </x:c>
      <x:c r="F359" s="9" t="str">
        <x:v>Navegador + HTTP + persistencia</x:v>
      </x:c>
      <x:c r="G359" s="10" t="str">
        <x:v>Pendiente</x:v>
      </x:c>
      <x:c r="H359" s="10"/>
      <x:c r="I359" s="10"/>
      <x:c r="J359" s="10"/>
      <x:c r="K359" s="10"/>
      <x:c r="L359" s="11"/>
      <x:c r="M359" s="12"/>
      <x:c r="N359" s="10"/>
    </x:row>
    <x:row r="360" ht="25" customHeight="1">
      <x:c r="A360" s="9" t="str">
        <x:v>QA-CAN-001</x:v>
      </x:c>
      <x:c r="B360" s="9" t="str">
        <x:v>CAN</x:v>
      </x:c>
      <x:c r="C360" s="9" t="str">
        <x:v>Comprobantes web: venta Factura 01</x:v>
      </x:c>
      <x:c r="D360" s="9" t="str">
        <x:v>P0</x:v>
      </x:c>
      <x:c r="E360" s="9" t="str">
        <x:v>Positiva</x:v>
      </x:c>
      <x:c r="F360" s="9" t="str">
        <x:v>Navegador + HTTP + persistencia</x:v>
      </x:c>
      <x:c r="G360" s="10" t="str">
        <x:v>Pendiente</x:v>
      </x:c>
      <x:c r="H360" s="10"/>
      <x:c r="I360" s="10"/>
      <x:c r="J360" s="10"/>
      <x:c r="K360" s="10"/>
      <x:c r="L360" s="11"/>
      <x:c r="M360" s="12"/>
      <x:c r="N360" s="10"/>
    </x:row>
    <x:row r="361" ht="25" customHeight="1">
      <x:c r="A361" s="9" t="str">
        <x:v>QA-CAN-002</x:v>
      </x:c>
      <x:c r="B361" s="9" t="str">
        <x:v>CAN</x:v>
      </x:c>
      <x:c r="C361" s="9" t="str">
        <x:v>Comprobantes web: venta Nota de venta 80</x:v>
      </x:c>
      <x:c r="D361" s="9" t="str">
        <x:v>P0</x:v>
      </x:c>
      <x:c r="E361" s="9" t="str">
        <x:v>Positiva</x:v>
      </x:c>
      <x:c r="F361" s="9" t="str">
        <x:v>Navegador + HTTP + persistencia</x:v>
      </x:c>
      <x:c r="G361" s="10" t="str">
        <x:v>Pendiente</x:v>
      </x:c>
      <x:c r="H361" s="10"/>
      <x:c r="I361" s="10"/>
      <x:c r="J361" s="10"/>
      <x:c r="K361" s="10"/>
      <x:c r="L361" s="11"/>
      <x:c r="M361" s="12"/>
      <x:c r="N361" s="10"/>
    </x:row>
    <x:row r="362" ht="25" customHeight="1">
      <x:c r="A362" s="9" t="str">
        <x:v>QA-CAN-003</x:v>
      </x:c>
      <x:c r="B362" s="9" t="str">
        <x:v>CAN</x:v>
      </x:c>
      <x:c r="C362" s="9" t="str">
        <x:v>POS: venta Factura 01</x:v>
      </x:c>
      <x:c r="D362" s="9" t="str">
        <x:v>P0</x:v>
      </x:c>
      <x:c r="E362" s="9" t="str">
        <x:v>Positiva</x:v>
      </x:c>
      <x:c r="F362" s="9" t="str">
        <x:v>Navegador + HTTP + persistencia</x:v>
      </x:c>
      <x:c r="G362" s="10" t="str">
        <x:v>Pendiente</x:v>
      </x:c>
      <x:c r="H362" s="10"/>
      <x:c r="I362" s="10"/>
      <x:c r="J362" s="10"/>
      <x:c r="K362" s="10"/>
      <x:c r="L362" s="11"/>
      <x:c r="M362" s="12"/>
      <x:c r="N362" s="10"/>
    </x:row>
    <x:row r="363" ht="25" customHeight="1">
      <x:c r="A363" s="9" t="str">
        <x:v>QA-CAN-004</x:v>
      </x:c>
      <x:c r="B363" s="9" t="str">
        <x:v>CAN</x:v>
      </x:c>
      <x:c r="C363" s="9" t="str">
        <x:v>POS: venta Nota de venta 80</x:v>
      </x:c>
      <x:c r="D363" s="9" t="str">
        <x:v>P0</x:v>
      </x:c>
      <x:c r="E363" s="9" t="str">
        <x:v>Positiva</x:v>
      </x:c>
      <x:c r="F363" s="9" t="str">
        <x:v>Navegador + HTTP + persistencia</x:v>
      </x:c>
      <x:c r="G363" s="10" t="str">
        <x:v>Pendiente</x:v>
      </x:c>
      <x:c r="H363" s="10"/>
      <x:c r="I363" s="10"/>
      <x:c r="J363" s="10"/>
      <x:c r="K363" s="10"/>
      <x:c r="L363" s="11"/>
      <x:c r="M363" s="12"/>
      <x:c r="N363" s="10"/>
    </x:row>
    <x:row r="364" ht="25" customHeight="1">
      <x:c r="A364" s="9" t="str">
        <x:v>QA-CAN-005</x:v>
      </x:c>
      <x:c r="B364" s="9" t="str">
        <x:v>CAN</x:v>
      </x:c>
      <x:c r="C364" s="9" t="str">
        <x:v>Vende Ya / Garage: venta Factura 01</x:v>
      </x:c>
      <x:c r="D364" s="9" t="str">
        <x:v>P0</x:v>
      </x:c>
      <x:c r="E364" s="9" t="str">
        <x:v>Positiva</x:v>
      </x:c>
      <x:c r="F364" s="9" t="str">
        <x:v>Navegador + HTTP + persistencia</x:v>
      </x:c>
      <x:c r="G364" s="10" t="str">
        <x:v>Pendiente</x:v>
      </x:c>
      <x:c r="H364" s="10"/>
      <x:c r="I364" s="10"/>
      <x:c r="J364" s="10"/>
      <x:c r="K364" s="10"/>
      <x:c r="L364" s="11"/>
      <x:c r="M364" s="12"/>
      <x:c r="N364" s="10"/>
    </x:row>
    <x:row r="365" ht="25" customHeight="1">
      <x:c r="A365" s="9" t="str">
        <x:v>QA-CAN-006</x:v>
      </x:c>
      <x:c r="B365" s="9" t="str">
        <x:v>CAN</x:v>
      </x:c>
      <x:c r="C365" s="9" t="str">
        <x:v>Vende Ya / Garage: venta Nota de venta 80</x:v>
      </x:c>
      <x:c r="D365" s="9" t="str">
        <x:v>P0</x:v>
      </x:c>
      <x:c r="E365" s="9" t="str">
        <x:v>Positiva</x:v>
      </x:c>
      <x:c r="F365" s="9" t="str">
        <x:v>Navegador + HTTP + persistencia</x:v>
      </x:c>
      <x:c r="G365" s="10" t="str">
        <x:v>Pendiente</x:v>
      </x:c>
      <x:c r="H365" s="10"/>
      <x:c r="I365" s="10"/>
      <x:c r="J365" s="10"/>
      <x:c r="K365" s="10"/>
      <x:c r="L365" s="11"/>
      <x:c r="M365" s="12"/>
      <x:c r="N365" s="10"/>
    </x:row>
    <x:row r="366" ht="25" customHeight="1">
      <x:c r="A366" s="9" t="str">
        <x:v>QA-CAN-007</x:v>
      </x:c>
      <x:c r="B366" s="9" t="str">
        <x:v>CAN</x:v>
      </x:c>
      <x:c r="C366" s="9" t="str">
        <x:v>Venta rápida: venta Factura 01</x:v>
      </x:c>
      <x:c r="D366" s="9" t="str">
        <x:v>P0</x:v>
      </x:c>
      <x:c r="E366" s="9" t="str">
        <x:v>Positiva</x:v>
      </x:c>
      <x:c r="F366" s="9" t="str">
        <x:v>Navegador + HTTP + persistencia</x:v>
      </x:c>
      <x:c r="G366" s="10" t="str">
        <x:v>Pendiente</x:v>
      </x:c>
      <x:c r="H366" s="10"/>
      <x:c r="I366" s="10"/>
      <x:c r="J366" s="10"/>
      <x:c r="K366" s="10"/>
      <x:c r="L366" s="11"/>
      <x:c r="M366" s="12"/>
      <x:c r="N366" s="10"/>
    </x:row>
    <x:row r="367" ht="25" customHeight="1">
      <x:c r="A367" s="9" t="str">
        <x:v>QA-CAN-008</x:v>
      </x:c>
      <x:c r="B367" s="9" t="str">
        <x:v>CAN</x:v>
      </x:c>
      <x:c r="C367" s="9" t="str">
        <x:v>Venta rápida: venta Nota de venta 80</x:v>
      </x:c>
      <x:c r="D367" s="9" t="str">
        <x:v>P0</x:v>
      </x:c>
      <x:c r="E367" s="9" t="str">
        <x:v>Positiva</x:v>
      </x:c>
      <x:c r="F367" s="9" t="str">
        <x:v>Navegador + HTTP + persistencia</x:v>
      </x:c>
      <x:c r="G367" s="10" t="str">
        <x:v>Pendiente</x:v>
      </x:c>
      <x:c r="H367" s="10"/>
      <x:c r="I367" s="10"/>
      <x:c r="J367" s="10"/>
      <x:c r="K367" s="10"/>
      <x:c r="L367" s="11"/>
      <x:c r="M367" s="12"/>
      <x:c r="N367" s="10"/>
    </x:row>
    <x:row r="368" ht="25" customHeight="1">
      <x:c r="A368" s="9" t="str">
        <x:v>QA-CAN-009</x:v>
      </x:c>
      <x:c r="B368" s="9" t="str">
        <x:v>CAN</x:v>
      </x:c>
      <x:c r="C368" s="9" t="str">
        <x:v>API de venta: venta Factura 01</x:v>
      </x:c>
      <x:c r="D368" s="9" t="str">
        <x:v>P0</x:v>
      </x:c>
      <x:c r="E368" s="9" t="str">
        <x:v>Positiva</x:v>
      </x:c>
      <x:c r="F368" s="9" t="str">
        <x:v>Navegador + HTTP + persistencia</x:v>
      </x:c>
      <x:c r="G368" s="10" t="str">
        <x:v>Pendiente</x:v>
      </x:c>
      <x:c r="H368" s="10"/>
      <x:c r="I368" s="10"/>
      <x:c r="J368" s="10"/>
      <x:c r="K368" s="10"/>
      <x:c r="L368" s="11"/>
      <x:c r="M368" s="12"/>
      <x:c r="N368" s="10"/>
    </x:row>
    <x:row r="369" ht="25" customHeight="1">
      <x:c r="A369" s="9" t="str">
        <x:v>QA-CAN-010</x:v>
      </x:c>
      <x:c r="B369" s="9" t="str">
        <x:v>CAN</x:v>
      </x:c>
      <x:c r="C369" s="9" t="str">
        <x:v>API de venta: venta Nota de venta 80</x:v>
      </x:c>
      <x:c r="D369" s="9" t="str">
        <x:v>P0</x:v>
      </x:c>
      <x:c r="E369" s="9" t="str">
        <x:v>Positiva</x:v>
      </x:c>
      <x:c r="F369" s="9" t="str">
        <x:v>Navegador + HTTP + persistencia</x:v>
      </x:c>
      <x:c r="G369" s="10" t="str">
        <x:v>Pendiente</x:v>
      </x:c>
      <x:c r="H369" s="10"/>
      <x:c r="I369" s="10"/>
      <x:c r="J369" s="10"/>
      <x:c r="K369" s="10"/>
      <x:c r="L369" s="11"/>
      <x:c r="M369" s="12"/>
      <x:c r="N369" s="10"/>
    </x:row>
    <x:row r="370" ht="25" customHeight="1">
      <x:c r="A370" s="9" t="str">
        <x:v>QA-CAN-011</x:v>
      </x:c>
      <x:c r="B370" s="9" t="str">
        <x:v>CAN</x:v>
      </x:c>
      <x:c r="C370" s="9" t="str">
        <x:v>Hotel: venta Factura 01</x:v>
      </x:c>
      <x:c r="D370" s="9" t="str">
        <x:v>P0</x:v>
      </x:c>
      <x:c r="E370" s="9" t="str">
        <x:v>Positiva</x:v>
      </x:c>
      <x:c r="F370" s="9" t="str">
        <x:v>Navegador + HTTP + persistencia</x:v>
      </x:c>
      <x:c r="G370" s="10" t="str">
        <x:v>Pendiente</x:v>
      </x:c>
      <x:c r="H370" s="10"/>
      <x:c r="I370" s="10"/>
      <x:c r="J370" s="10"/>
      <x:c r="K370" s="10"/>
      <x:c r="L370" s="11"/>
      <x:c r="M370" s="12"/>
      <x:c r="N370" s="10"/>
    </x:row>
    <x:row r="371" ht="25" customHeight="1">
      <x:c r="A371" s="9" t="str">
        <x:v>QA-CAN-012</x:v>
      </x:c>
      <x:c r="B371" s="9" t="str">
        <x:v>CAN</x:v>
      </x:c>
      <x:c r="C371" s="9" t="str">
        <x:v>Hotel: venta Nota de venta 80</x:v>
      </x:c>
      <x:c r="D371" s="9" t="str">
        <x:v>P0</x:v>
      </x:c>
      <x:c r="E371" s="9" t="str">
        <x:v>Positiva</x:v>
      </x:c>
      <x:c r="F371" s="9" t="str">
        <x:v>Navegador + HTTP + persistencia</x:v>
      </x:c>
      <x:c r="G371" s="10" t="str">
        <x:v>Pendiente</x:v>
      </x:c>
      <x:c r="H371" s="10"/>
      <x:c r="I371" s="10"/>
      <x:c r="J371" s="10"/>
      <x:c r="K371" s="10"/>
      <x:c r="L371" s="11"/>
      <x:c r="M371" s="12"/>
      <x:c r="N371" s="10"/>
    </x:row>
    <x:row r="372" ht="25" customHeight="1">
      <x:c r="A372" s="9" t="str">
        <x:v>QA-CAN-013</x:v>
      </x:c>
      <x:c r="B372" s="9" t="str">
        <x:v>CAN</x:v>
      </x:c>
      <x:c r="C372" s="9" t="str">
        <x:v>Restaurante: venta Factura 01</x:v>
      </x:c>
      <x:c r="D372" s="9" t="str">
        <x:v>P0</x:v>
      </x:c>
      <x:c r="E372" s="9" t="str">
        <x:v>Positiva</x:v>
      </x:c>
      <x:c r="F372" s="9" t="str">
        <x:v>Navegador + HTTP + persistencia</x:v>
      </x:c>
      <x:c r="G372" s="10" t="str">
        <x:v>Pendiente</x:v>
      </x:c>
      <x:c r="H372" s="10"/>
      <x:c r="I372" s="10"/>
      <x:c r="J372" s="10"/>
      <x:c r="K372" s="10"/>
      <x:c r="L372" s="11"/>
      <x:c r="M372" s="12"/>
      <x:c r="N372" s="10"/>
    </x:row>
    <x:row r="373" ht="25" customHeight="1">
      <x:c r="A373" s="9" t="str">
        <x:v>QA-CAN-014</x:v>
      </x:c>
      <x:c r="B373" s="9" t="str">
        <x:v>CAN</x:v>
      </x:c>
      <x:c r="C373" s="9" t="str">
        <x:v>Restaurante: venta Nota de venta 80</x:v>
      </x:c>
      <x:c r="D373" s="9" t="str">
        <x:v>P0</x:v>
      </x:c>
      <x:c r="E373" s="9" t="str">
        <x:v>Positiva</x:v>
      </x:c>
      <x:c r="F373" s="9" t="str">
        <x:v>Navegador + HTTP + persistencia</x:v>
      </x:c>
      <x:c r="G373" s="10" t="str">
        <x:v>Pendiente</x:v>
      </x:c>
      <x:c r="H373" s="10"/>
      <x:c r="I373" s="10"/>
      <x:c r="J373" s="10"/>
      <x:c r="K373" s="10"/>
      <x:c r="L373" s="11"/>
      <x:c r="M373" s="12"/>
      <x:c r="N373" s="10"/>
    </x:row>
    <x:row r="374" ht="25" customHeight="1">
      <x:c r="A374" s="9" t="str">
        <x:v>QA-CAN-015</x:v>
      </x:c>
      <x:c r="B374" s="9" t="str">
        <x:v>CAN</x:v>
      </x:c>
      <x:c r="C374" s="9" t="str">
        <x:v>Ecommerce: venta Factura 01</x:v>
      </x:c>
      <x:c r="D374" s="9" t="str">
        <x:v>P0</x:v>
      </x:c>
      <x:c r="E374" s="9" t="str">
        <x:v>Positiva</x:v>
      </x:c>
      <x:c r="F374" s="9" t="str">
        <x:v>Navegador + HTTP + persistencia</x:v>
      </x:c>
      <x:c r="G374" s="10" t="str">
        <x:v>Pendiente</x:v>
      </x:c>
      <x:c r="H374" s="10"/>
      <x:c r="I374" s="10"/>
      <x:c r="J374" s="10"/>
      <x:c r="K374" s="10"/>
      <x:c r="L374" s="11"/>
      <x:c r="M374" s="12"/>
      <x:c r="N374" s="10"/>
    </x:row>
    <x:row r="375" ht="25" customHeight="1">
      <x:c r="A375" s="9" t="str">
        <x:v>QA-CAN-016</x:v>
      </x:c>
      <x:c r="B375" s="9" t="str">
        <x:v>CAN</x:v>
      </x:c>
      <x:c r="C375" s="9" t="str">
        <x:v>Ecommerce: venta Nota de venta 80</x:v>
      </x:c>
      <x:c r="D375" s="9" t="str">
        <x:v>P0</x:v>
      </x:c>
      <x:c r="E375" s="9" t="str">
        <x:v>Positiva</x:v>
      </x:c>
      <x:c r="F375" s="9" t="str">
        <x:v>Navegador + HTTP + persistencia</x:v>
      </x:c>
      <x:c r="G375" s="10" t="str">
        <x:v>Pendiente</x:v>
      </x:c>
      <x:c r="H375" s="10"/>
      <x:c r="I375" s="10"/>
      <x:c r="J375" s="10"/>
      <x:c r="K375" s="10"/>
      <x:c r="L375" s="11"/>
      <x:c r="M375" s="12"/>
      <x:c r="N375" s="10"/>
    </x:row>
    <x:row r="376" ht="25" customHeight="1">
      <x:c r="A376" s="9" t="str">
        <x:v>QA-CAN-017</x:v>
      </x:c>
      <x:c r="B376" s="9" t="str">
        <x:v>CAN</x:v>
      </x:c>
      <x:c r="C376" s="9" t="str">
        <x:v>Mi Tienda / Store: venta Factura 01</x:v>
      </x:c>
      <x:c r="D376" s="9" t="str">
        <x:v>P0</x:v>
      </x:c>
      <x:c r="E376" s="9" t="str">
        <x:v>Positiva</x:v>
      </x:c>
      <x:c r="F376" s="9" t="str">
        <x:v>Navegador + HTTP + persistencia</x:v>
      </x:c>
      <x:c r="G376" s="10" t="str">
        <x:v>Pendiente</x:v>
      </x:c>
      <x:c r="H376" s="10"/>
      <x:c r="I376" s="10"/>
      <x:c r="J376" s="10"/>
      <x:c r="K376" s="10"/>
      <x:c r="L376" s="11"/>
      <x:c r="M376" s="12"/>
      <x:c r="N376" s="10"/>
    </x:row>
    <x:row r="377" ht="25" customHeight="1">
      <x:c r="A377" s="9" t="str">
        <x:v>QA-CAN-018</x:v>
      </x:c>
      <x:c r="B377" s="9" t="str">
        <x:v>CAN</x:v>
      </x:c>
      <x:c r="C377" s="9" t="str">
        <x:v>Mi Tienda / Store: venta Nota de venta 80</x:v>
      </x:c>
      <x:c r="D377" s="9" t="str">
        <x:v>P0</x:v>
      </x:c>
      <x:c r="E377" s="9" t="str">
        <x:v>Positiva</x:v>
      </x:c>
      <x:c r="F377" s="9" t="str">
        <x:v>Navegador + HTTP + persistencia</x:v>
      </x:c>
      <x:c r="G377" s="10" t="str">
        <x:v>Pendiente</x:v>
      </x:c>
      <x:c r="H377" s="10"/>
      <x:c r="I377" s="10"/>
      <x:c r="J377" s="10"/>
      <x:c r="K377" s="10"/>
      <x:c r="L377" s="11"/>
      <x:c r="M377" s="12"/>
      <x:c r="N377" s="10"/>
    </x:row>
    <x:row r="378" ht="25" customHeight="1">
      <x:c r="A378" s="9" t="str">
        <x:v>QA-CAN-019</x:v>
      </x:c>
      <x:c r="B378" s="9" t="str">
        <x:v>CAN</x:v>
      </x:c>
      <x:c r="C378" s="9" t="str">
        <x:v>Pedidos: venta Factura 01</x:v>
      </x:c>
      <x:c r="D378" s="9" t="str">
        <x:v>P0</x:v>
      </x:c>
      <x:c r="E378" s="9" t="str">
        <x:v>Positiva</x:v>
      </x:c>
      <x:c r="F378" s="9" t="str">
        <x:v>Navegador + HTTP + persistencia</x:v>
      </x:c>
      <x:c r="G378" s="10" t="str">
        <x:v>Pendiente</x:v>
      </x:c>
      <x:c r="H378" s="10"/>
      <x:c r="I378" s="10"/>
      <x:c r="J378" s="10"/>
      <x:c r="K378" s="10"/>
      <x:c r="L378" s="11"/>
      <x:c r="M378" s="12"/>
      <x:c r="N378" s="10"/>
    </x:row>
    <x:row r="379" ht="25" customHeight="1">
      <x:c r="A379" s="9" t="str">
        <x:v>QA-CAN-020</x:v>
      </x:c>
      <x:c r="B379" s="9" t="str">
        <x:v>CAN</x:v>
      </x:c>
      <x:c r="C379" s="9" t="str">
        <x:v>Pedidos: venta Nota de venta 80</x:v>
      </x:c>
      <x:c r="D379" s="9" t="str">
        <x:v>P0</x:v>
      </x:c>
      <x:c r="E379" s="9" t="str">
        <x:v>Positiva</x:v>
      </x:c>
      <x:c r="F379" s="9" t="str">
        <x:v>Navegador + HTTP + persistencia</x:v>
      </x:c>
      <x:c r="G379" s="10" t="str">
        <x:v>Pendiente</x:v>
      </x:c>
      <x:c r="H379" s="10"/>
      <x:c r="I379" s="10"/>
      <x:c r="J379" s="10"/>
      <x:c r="K379" s="10"/>
      <x:c r="L379" s="11"/>
      <x:c r="M379" s="12"/>
      <x:c r="N379" s="10"/>
    </x:row>
    <x:row r="380" ht="25" customHeight="1">
      <x:c r="A380" s="9" t="str">
        <x:v>QA-CAN-021</x:v>
      </x:c>
      <x:c r="B380" s="9" t="str">
        <x:v>CAN</x:v>
      </x:c>
      <x:c r="C380" s="9" t="str">
        <x:v>Servicio técnico: venta Factura 01</x:v>
      </x:c>
      <x:c r="D380" s="9" t="str">
        <x:v>P0</x:v>
      </x:c>
      <x:c r="E380" s="9" t="str">
        <x:v>Positiva</x:v>
      </x:c>
      <x:c r="F380" s="9" t="str">
        <x:v>Navegador + HTTP + persistencia</x:v>
      </x:c>
      <x:c r="G380" s="10" t="str">
        <x:v>Pendiente</x:v>
      </x:c>
      <x:c r="H380" s="10"/>
      <x:c r="I380" s="10"/>
      <x:c r="J380" s="10"/>
      <x:c r="K380" s="10"/>
      <x:c r="L380" s="11"/>
      <x:c r="M380" s="12"/>
      <x:c r="N380" s="10"/>
    </x:row>
    <x:row r="381" ht="25" customHeight="1">
      <x:c r="A381" s="9" t="str">
        <x:v>QA-CAN-022</x:v>
      </x:c>
      <x:c r="B381" s="9" t="str">
        <x:v>CAN</x:v>
      </x:c>
      <x:c r="C381" s="9" t="str">
        <x:v>Servicio técnico: venta Nota de venta nv</x:v>
      </x:c>
      <x:c r="D381" s="9" t="str">
        <x:v>P0</x:v>
      </x:c>
      <x:c r="E381" s="9" t="str">
        <x:v>Positiva</x:v>
      </x:c>
      <x:c r="F381" s="9" t="str">
        <x:v>Navegador + HTTP + persistencia</x:v>
      </x:c>
      <x:c r="G381" s="10" t="str">
        <x:v>Pendiente</x:v>
      </x:c>
      <x:c r="H381" s="10"/>
      <x:c r="I381" s="10"/>
      <x:c r="J381" s="10"/>
      <x:c r="K381" s="10"/>
      <x:c r="L381" s="11"/>
      <x:c r="M381" s="12"/>
      <x:c r="N381" s="10"/>
    </x:row>
    <x:row r="382" ht="25" customHeight="1">
      <x:c r="A382" s="9" t="str">
        <x:v>QA-CAN-023</x:v>
      </x:c>
      <x:c r="B382" s="9" t="str">
        <x:v>CAN</x:v>
      </x:c>
      <x:c r="C382" s="9" t="str">
        <x:v>WhatsApp Bot: venta Factura 01</x:v>
      </x:c>
      <x:c r="D382" s="9" t="str">
        <x:v>P0</x:v>
      </x:c>
      <x:c r="E382" s="9" t="str">
        <x:v>Positiva</x:v>
      </x:c>
      <x:c r="F382" s="9" t="str">
        <x:v>Navegador + HTTP + persistencia</x:v>
      </x:c>
      <x:c r="G382" s="10" t="str">
        <x:v>Pendiente</x:v>
      </x:c>
      <x:c r="H382" s="10"/>
      <x:c r="I382" s="10"/>
      <x:c r="J382" s="10"/>
      <x:c r="K382" s="10"/>
      <x:c r="L382" s="11"/>
      <x:c r="M382" s="12"/>
      <x:c r="N382" s="10"/>
    </x:row>
    <x:row r="383" ht="25" customHeight="1">
      <x:c r="A383" s="9" t="str">
        <x:v>QA-CAN-024</x:v>
      </x:c>
      <x:c r="B383" s="9" t="str">
        <x:v>CAN</x:v>
      </x:c>
      <x:c r="C383" s="9" t="str">
        <x:v>WhatsApp Bot: venta Nota de venta 80</x:v>
      </x:c>
      <x:c r="D383" s="9" t="str">
        <x:v>P0</x:v>
      </x:c>
      <x:c r="E383" s="9" t="str">
        <x:v>Positiva</x:v>
      </x:c>
      <x:c r="F383" s="9" t="str">
        <x:v>Navegador + HTTP + persistencia</x:v>
      </x:c>
      <x:c r="G383" s="10" t="str">
        <x:v>Pendiente</x:v>
      </x:c>
      <x:c r="H383" s="10"/>
      <x:c r="I383" s="10"/>
      <x:c r="J383" s="10"/>
      <x:c r="K383" s="10"/>
      <x:c r="L383" s="11"/>
      <x:c r="M383" s="12"/>
      <x:c r="N383" s="10"/>
    </x:row>
    <x:row r="384" ht="25" customHeight="1">
      <x:c r="A384" s="9" t="str">
        <x:v>QA-CAN-025</x:v>
      </x:c>
      <x:c r="B384" s="9" t="str">
        <x:v>CAN</x:v>
      </x:c>
      <x:c r="C384" s="9" t="str">
        <x:v>POS cambio de moneda</x:v>
      </x:c>
      <x:c r="D384" s="9" t="str">
        <x:v>P0</x:v>
      </x:c>
      <x:c r="E384" s="9" t="str">
        <x:v>Positiva</x:v>
      </x:c>
      <x:c r="F384" s="9" t="str">
        <x:v>Navegador + HTTP + persistencia</x:v>
      </x:c>
      <x:c r="G384" s="10" t="str">
        <x:v>Pendiente</x:v>
      </x:c>
      <x:c r="H384" s="10"/>
      <x:c r="I384" s="10"/>
      <x:c r="J384" s="10"/>
      <x:c r="K384" s="10"/>
      <x:c r="L384" s="11"/>
      <x:c r="M384" s="12"/>
      <x:c r="N384" s="10"/>
    </x:row>
    <x:row r="385" ht="25" customHeight="1">
      <x:c r="A385" s="9" t="str">
        <x:v>QA-CAN-026</x:v>
      </x:c>
      <x:c r="B385" s="9" t="str">
        <x:v>CAN</x:v>
      </x:c>
      <x:c r="C385" s="9" t="str">
        <x:v>POS efectivo sin denominaciones</x:v>
      </x:c>
      <x:c r="D385" s="9" t="str">
        <x:v>P1</x:v>
      </x:c>
      <x:c r="E385" s="9" t="str">
        <x:v>Positiva</x:v>
      </x:c>
      <x:c r="F385" s="9" t="str">
        <x:v>Navegador + HTTP + persistencia</x:v>
      </x:c>
      <x:c r="G385" s="10" t="str">
        <x:v>Pendiente</x:v>
      </x:c>
      <x:c r="H385" s="10"/>
      <x:c r="I385" s="10"/>
      <x:c r="J385" s="10"/>
      <x:c r="K385" s="10"/>
      <x:c r="L385" s="11"/>
      <x:c r="M385" s="12"/>
      <x:c r="N385" s="10"/>
    </x:row>
    <x:row r="386" ht="25" customHeight="1">
      <x:c r="A386" s="9" t="str">
        <x:v>QA-CAN-027</x:v>
      </x:c>
      <x:c r="B386" s="9" t="str">
        <x:v>CAN</x:v>
      </x:c>
      <x:c r="C386" s="9" t="str">
        <x:v>POS descuento con permiso</x:v>
      </x:c>
      <x:c r="D386" s="9" t="str">
        <x:v>P0</x:v>
      </x:c>
      <x:c r="E386" s="9" t="str">
        <x:v>Seguridad</x:v>
      </x:c>
      <x:c r="F386" s="9" t="str">
        <x:v>Navegador + HTTP + persistencia</x:v>
      </x:c>
      <x:c r="G386" s="10" t="str">
        <x:v>Pendiente</x:v>
      </x:c>
      <x:c r="H386" s="10"/>
      <x:c r="I386" s="10"/>
      <x:c r="J386" s="10"/>
      <x:c r="K386" s="10"/>
      <x:c r="L386" s="11"/>
      <x:c r="M386" s="12"/>
      <x:c r="N386" s="10"/>
    </x:row>
    <x:row r="387" ht="25" customHeight="1">
      <x:c r="A387" s="9" t="str">
        <x:v>QA-CAN-028</x:v>
      </x:c>
      <x:c r="B387" s="9" t="str">
        <x:v>CAN</x:v>
      </x:c>
      <x:c r="C387" s="9" t="str">
        <x:v>Garage conserva serie seleccionada</x:v>
      </x:c>
      <x:c r="D387" s="9" t="str">
        <x:v>P0</x:v>
      </x:c>
      <x:c r="E387" s="9" t="str">
        <x:v>Positiva</x:v>
      </x:c>
      <x:c r="F387" s="9" t="str">
        <x:v>Navegador + HTTP + persistencia</x:v>
      </x:c>
      <x:c r="G387" s="10" t="str">
        <x:v>Pendiente</x:v>
      </x:c>
      <x:c r="H387" s="10"/>
      <x:c r="I387" s="10"/>
      <x:c r="J387" s="10"/>
      <x:c r="K387" s="10"/>
      <x:c r="L387" s="11"/>
      <x:c r="M387" s="12"/>
      <x:c r="N387" s="10"/>
    </x:row>
    <x:row r="388" ht="25" customHeight="1">
      <x:c r="A388" s="9" t="str">
        <x:v>QA-CAN-029</x:v>
      </x:c>
      <x:c r="B388" s="9" t="str">
        <x:v>CAN</x:v>
      </x:c>
      <x:c r="C388" s="9" t="str">
        <x:v>POS sus pe nd id o y recuperado</x:v>
      </x:c>
      <x:c r="D388" s="9" t="str">
        <x:v>P1</x:v>
      </x:c>
      <x:c r="E388" s="9" t="str">
        <x:v>Positiva</x:v>
      </x:c>
      <x:c r="F388" s="9" t="str">
        <x:v>Navegador + HTTP + persistencia</x:v>
      </x:c>
      <x:c r="G388" s="10" t="str">
        <x:v>Pendiente</x:v>
      </x:c>
      <x:c r="H388" s="10"/>
      <x:c r="I388" s="10"/>
      <x:c r="J388" s="10"/>
      <x:c r="K388" s="10"/>
      <x:c r="L388" s="11"/>
      <x:c r="M388" s="12"/>
      <x:c r="N388" s="10"/>
    </x:row>
    <x:row r="389" ht="25" customHeight="1">
      <x:c r="A389" s="9" t="str">
        <x:v>QA-CAN-030</x:v>
      </x:c>
      <x:c r="B389" s="9" t="str">
        <x:v>CAN</x:v>
      </x:c>
      <x:c r="C389" s="9" t="str">
        <x:v>Hotel factura y NV presentación</x:v>
      </x:c>
      <x:c r="D389" s="9" t="str">
        <x:v>P1</x:v>
      </x:c>
      <x:c r="E389" s="9" t="str">
        <x:v>Positiva</x:v>
      </x:c>
      <x:c r="F389" s="9" t="str">
        <x:v>Navegador + HTTP + persistencia</x:v>
      </x:c>
      <x:c r="G389" s="10" t="str">
        <x:v>Pendiente</x:v>
      </x:c>
      <x:c r="H389" s="10"/>
      <x:c r="I389" s="10"/>
      <x:c r="J389" s="10"/>
      <x:c r="K389" s="10"/>
      <x:c r="L389" s="11"/>
      <x:c r="M389" s="12"/>
      <x:c r="N389" s="10"/>
    </x:row>
    <x:row r="390" ht="25" customHeight="1">
      <x:c r="A390" s="9" t="str">
        <x:v>QA-CAN-031</x:v>
      </x:c>
      <x:c r="B390" s="9" t="str">
        <x:v>CAN</x:v>
      </x:c>
      <x:c r="C390" s="9" t="str">
        <x:v>Restaurante consumos y propina</x:v>
      </x:c>
      <x:c r="D390" s="9" t="str">
        <x:v>P1</x:v>
      </x:c>
      <x:c r="E390" s="9" t="str">
        <x:v>Positiva</x:v>
      </x:c>
      <x:c r="F390" s="9" t="str">
        <x:v>Navegador + HTTP + persistencia</x:v>
      </x:c>
      <x:c r="G390" s="10" t="str">
        <x:v>Pendiente</x:v>
      </x:c>
      <x:c r="H390" s="10"/>
      <x:c r="I390" s="10"/>
      <x:c r="J390" s="10"/>
      <x:c r="K390" s="10"/>
      <x:c r="L390" s="11"/>
      <x:c r="M390" s="12"/>
      <x:c r="N390" s="10"/>
    </x:row>
    <x:row r="391" ht="25" customHeight="1">
      <x:c r="A391" s="9" t="str">
        <x:v>QA-CAN-032</x:v>
      </x:c>
      <x:c r="B391" s="9" t="str">
        <x:v>CAN</x:v>
      </x:c>
      <x:c r="C391" s="9" t="str">
        <x:v>Ecommerce precio manipulado</x:v>
      </x:c>
      <x:c r="D391" s="9" t="str">
        <x:v>P0</x:v>
      </x:c>
      <x:c r="E391" s="9" t="str">
        <x:v>Seguridad</x:v>
      </x:c>
      <x:c r="F391" s="9" t="str">
        <x:v>Navegador + HTTP + persistencia</x:v>
      </x:c>
      <x:c r="G391" s="10" t="str">
        <x:v>Pendiente</x:v>
      </x:c>
      <x:c r="H391" s="10"/>
      <x:c r="I391" s="10"/>
      <x:c r="J391" s="10"/>
      <x:c r="K391" s="10"/>
      <x:c r="L391" s="11"/>
      <x:c r="M391" s="12"/>
      <x:c r="N391" s="10"/>
    </x:row>
    <x:row r="392" ht="25" customHeight="1">
      <x:c r="A392" s="9" t="str">
        <x:v>QA-CAN-033</x:v>
      </x:c>
      <x:c r="B392" s="9" t="str">
        <x:v>CAN</x:v>
      </x:c>
      <x:c r="C392" s="9" t="str">
        <x:v>Ecommerce pago atribuido e idempotente</x:v>
      </x:c>
      <x:c r="D392" s="9" t="str">
        <x:v>P0</x:v>
      </x:c>
      <x:c r="E392" s="9" t="str">
        <x:v>Seguridad</x:v>
      </x:c>
      <x:c r="F392" s="9" t="str">
        <x:v>Navegador + HTTP + persistencia</x:v>
      </x:c>
      <x:c r="G392" s="10" t="str">
        <x:v>Pendiente</x:v>
      </x:c>
      <x:c r="H392" s="10"/>
      <x:c r="I392" s="10"/>
      <x:c r="J392" s="10"/>
      <x:c r="K392" s="10"/>
      <x:c r="L392" s="11"/>
      <x:c r="M392" s="12"/>
      <x:c r="N392" s="10"/>
    </x:row>
    <x:row r="393" ht="25" customHeight="1">
      <x:c r="A393" s="9" t="str">
        <x:v>QA-CAN-034</x:v>
      </x:c>
      <x:c r="B393" s="9" t="str">
        <x:v>CAN</x:v>
      </x:c>
      <x:c r="C393" s="9" t="str">
        <x:v>Mi Tienda sin serie de Boleta</x:v>
      </x:c>
      <x:c r="D393" s="9" t="str">
        <x:v>P1</x:v>
      </x:c>
      <x:c r="E393" s="9" t="str">
        <x:v>Positiva</x:v>
      </x:c>
      <x:c r="F393" s="9" t="str">
        <x:v>Navegador + HTTP + persistencia</x:v>
      </x:c>
      <x:c r="G393" s="10" t="str">
        <x:v>Pendiente</x:v>
      </x:c>
      <x:c r="H393" s="10"/>
      <x:c r="I393" s="10"/>
      <x:c r="J393" s="10"/>
      <x:c r="K393" s="10"/>
      <x:c r="L393" s="11"/>
      <x:c r="M393" s="12"/>
      <x:c r="N393" s="10"/>
    </x:row>
    <x:row r="394" ht="25" customHeight="1">
      <x:c r="A394" s="9" t="str">
        <x:v>QA-CAN-035</x:v>
      </x:c>
      <x:c r="B394" s="9" t="str">
        <x:v>CAN</x:v>
      </x:c>
      <x:c r="C394" s="9" t="str">
        <x:v>Servicio técnico alias nv</x:v>
      </x:c>
      <x:c r="D394" s="9" t="str">
        <x:v>P1</x:v>
      </x:c>
      <x:c r="E394" s="9" t="str">
        <x:v>Positiva</x:v>
      </x:c>
      <x:c r="F394" s="9" t="str">
        <x:v>Navegador + HTTP + persistencia</x:v>
      </x:c>
      <x:c r="G394" s="10" t="str">
        <x:v>Pendiente</x:v>
      </x:c>
      <x:c r="H394" s="10"/>
      <x:c r="I394" s="10"/>
      <x:c r="J394" s="10"/>
      <x:c r="K394" s="10"/>
      <x:c r="L394" s="11"/>
      <x:c r="M394" s="12"/>
      <x:c r="N394" s="10"/>
    </x:row>
    <x:row r="395" ht="25" customHeight="1">
      <x:c r="A395" s="9" t="str">
        <x:v>QA-CAN-036</x:v>
      </x:c>
      <x:c r="B395" s="9" t="str">
        <x:v>CAN</x:v>
      </x:c>
      <x:c r="C395" s="9" t="str">
        <x:v>Bot sin mensajes reales</x:v>
      </x:c>
      <x:c r="D395" s="9" t="str">
        <x:v>P0</x:v>
      </x:c>
      <x:c r="E395" s="9" t="str">
        <x:v>Simulación</x:v>
      </x:c>
      <x:c r="F395" s="9" t="str">
        <x:v>Navegador + HTTP + persistencia</x:v>
      </x:c>
      <x:c r="G395" s="10" t="str">
        <x:v>Pendiente</x:v>
      </x:c>
      <x:c r="H395" s="10"/>
      <x:c r="I395" s="10"/>
      <x:c r="J395" s="10"/>
      <x:c r="K395" s="10"/>
      <x:c r="L395" s="11"/>
      <x:c r="M395" s="12"/>
      <x:c r="N395" s="10"/>
    </x:row>
    <x:row r="396" ht="25" customHeight="1">
      <x:c r="A396" s="9" t="str">
        <x:v>QA-CAN-037</x:v>
      </x:c>
      <x:c r="B396" s="9" t="str">
        <x:v>CAN</x:v>
      </x:c>
      <x:c r="C396" s="9" t="str">
        <x:v>API/móvil DTO de documento</x:v>
      </x:c>
      <x:c r="D396" s="9" t="str">
        <x:v>P0</x:v>
      </x:c>
      <x:c r="E396" s="9" t="str">
        <x:v>Positiva</x:v>
      </x:c>
      <x:c r="F396" s="9" t="str">
        <x:v>Navegador + HTTP + persistencia</x:v>
      </x:c>
      <x:c r="G396" s="10" t="str">
        <x:v>Pendiente</x:v>
      </x:c>
      <x:c r="H396" s="10"/>
      <x:c r="I396" s="10"/>
      <x:c r="J396" s="10"/>
      <x:c r="K396" s="10"/>
      <x:c r="L396" s="11"/>
      <x:c r="M396" s="12"/>
      <x:c r="N396" s="10"/>
    </x:row>
    <x:row r="397" ht="25" customHeight="1">
      <x:c r="A397" s="9" t="str">
        <x:v>QA-CAN-038</x:v>
      </x:c>
      <x:c r="B397" s="9" t="str">
        <x:v>CAN</x:v>
      </x:c>
      <x:c r="C397" s="9" t="str">
        <x:v>Offline y sincronización</x:v>
      </x:c>
      <x:c r="D397" s="9" t="str">
        <x:v>P1</x:v>
      </x:c>
      <x:c r="E397" s="9" t="str">
        <x:v>Positiva</x:v>
      </x:c>
      <x:c r="F397" s="9" t="str">
        <x:v>Navegador + HTTP + persistencia</x:v>
      </x:c>
      <x:c r="G397" s="10" t="str">
        <x:v>Pendiente</x:v>
      </x:c>
      <x:c r="H397" s="10"/>
      <x:c r="I397" s="10"/>
      <x:c r="J397" s="10"/>
      <x:c r="K397" s="10"/>
      <x:c r="L397" s="11"/>
      <x:c r="M397" s="12"/>
      <x:c r="N397" s="10"/>
    </x:row>
    <x:row r="398" ht="25" customHeight="1">
      <x:c r="A398" s="9" t="str">
        <x:v>QA-CAN-039</x:v>
      </x:c>
      <x:c r="B398" s="9" t="str">
        <x:v>CAN</x:v>
      </x:c>
      <x:c r="C398" s="9" t="str">
        <x:v>Suscripciones y ventas periódicas</x:v>
      </x:c>
      <x:c r="D398" s="9" t="str">
        <x:v>P1</x:v>
      </x:c>
      <x:c r="E398" s="9" t="str">
        <x:v>Positiva</x:v>
      </x:c>
      <x:c r="F398" s="9" t="str">
        <x:v>Navegador + HTTP + persistencia</x:v>
      </x:c>
      <x:c r="G398" s="10" t="str">
        <x:v>Pendiente</x:v>
      </x:c>
      <x:c r="H398" s="10"/>
      <x:c r="I398" s="10"/>
      <x:c r="J398" s="10"/>
      <x:c r="K398" s="10"/>
      <x:c r="L398" s="11"/>
      <x:c r="M398" s="12"/>
      <x:c r="N398" s="10"/>
    </x:row>
    <x:row r="399" ht="25" customHeight="1">
      <x:c r="A399" s="9" t="str">
        <x:v>QA-CAN-040</x:v>
      </x:c>
      <x:c r="B399" s="9" t="str">
        <x:v>CAN</x:v>
      </x:c>
      <x:c r="C399" s="9" t="str">
        <x:v>Consignación y anticipos de otros módulos</x:v>
      </x:c>
      <x:c r="D399" s="9" t="str">
        <x:v>P0</x:v>
      </x:c>
      <x:c r="E399" s="9" t="str">
        <x:v>Positiva</x:v>
      </x:c>
      <x:c r="F399" s="9" t="str">
        <x:v>Navegador + HTTP + persistencia</x:v>
      </x:c>
      <x:c r="G399" s="10" t="str">
        <x:v>Pendiente</x:v>
      </x:c>
      <x:c r="H399" s="10"/>
      <x:c r="I399" s="10"/>
      <x:c r="J399" s="10"/>
      <x:c r="K399" s="10"/>
      <x:c r="L399" s="11"/>
      <x:c r="M399" s="12"/>
      <x:c r="N399" s="10"/>
    </x:row>
    <x:row r="400" ht="25" customHeight="1">
      <x:c r="A400" s="9" t="str">
        <x:v>QA-API-001</x:v>
      </x:c>
      <x:c r="B400" s="9" t="str">
        <x:v>API</x:v>
      </x:c>
      <x:c r="C400" s="9" t="str">
        <x:v>Creación externa de Factura</x:v>
      </x:c>
      <x:c r="D400" s="9" t="str">
        <x:v>P0</x:v>
      </x:c>
      <x:c r="E400" s="9" t="str">
        <x:v>Positiva</x:v>
      </x:c>
      <x:c r="F400" s="9" t="str">
        <x:v>Navegador + HTTP + persistencia</x:v>
      </x:c>
      <x:c r="G400" s="10" t="str">
        <x:v>Pendiente</x:v>
      </x:c>
      <x:c r="H400" s="10"/>
      <x:c r="I400" s="10"/>
      <x:c r="J400" s="10"/>
      <x:c r="K400" s="10"/>
      <x:c r="L400" s="11"/>
      <x:c r="M400" s="12"/>
      <x:c r="N400" s="10"/>
    </x:row>
    <x:row r="401" ht="25" customHeight="1">
      <x:c r="A401" s="9" t="str">
        <x:v>QA-API-002</x:v>
      </x:c>
      <x:c r="B401" s="9" t="str">
        <x:v>API</x:v>
      </x:c>
      <x:c r="C401" s="9" t="str">
        <x:v>Creación NC/ND por API</x:v>
      </x:c>
      <x:c r="D401" s="9" t="str">
        <x:v>P1</x:v>
      </x:c>
      <x:c r="E401" s="9" t="str">
        <x:v>Positiva</x:v>
      </x:c>
      <x:c r="F401" s="9" t="str">
        <x:v>Navegador + HTTP + persistencia</x:v>
      </x:c>
      <x:c r="G401" s="10" t="str">
        <x:v>Pendiente</x:v>
      </x:c>
      <x:c r="H401" s="10"/>
      <x:c r="I401" s="10"/>
      <x:c r="J401" s="10"/>
      <x:c r="K401" s="10"/>
      <x:c r="L401" s="11"/>
      <x:c r="M401" s="12"/>
      <x:c r="N401" s="10"/>
    </x:row>
    <x:row r="402" ht="25" customHeight="1">
      <x:c r="A402" s="9" t="str">
        <x:v>QA-API-003</x:v>
      </x:c>
      <x:c r="B402" s="9" t="str">
        <x:v>API</x:v>
      </x:c>
      <x:c r="C402" s="9" t="str">
        <x:v>Payload incompleto o JSON inválido</x:v>
      </x:c>
      <x:c r="D402" s="9" t="str">
        <x:v>P1</x:v>
      </x:c>
      <x:c r="E402" s="9" t="str">
        <x:v>Negativa</x:v>
      </x:c>
      <x:c r="F402" s="9" t="str">
        <x:v>Navegador + HTTP + persistencia</x:v>
      </x:c>
      <x:c r="G402" s="10" t="str">
        <x:v>Pendiente</x:v>
      </x:c>
      <x:c r="H402" s="10"/>
      <x:c r="I402" s="10"/>
      <x:c r="J402" s="10"/>
      <x:c r="K402" s="10"/>
      <x:c r="L402" s="11"/>
      <x:c r="M402" s="12"/>
      <x:c r="N402" s="10"/>
    </x:row>
    <x:row r="403" ht="25" customHeight="1">
      <x:c r="A403" s="9" t="str">
        <x:v>QA-API-004</x:v>
      </x:c>
      <x:c r="B403" s="9" t="str">
        <x:v>API</x:v>
      </x:c>
      <x:c r="C403" s="9" t="str">
        <x:v>Campos desconocidos y retirados</x:v>
      </x:c>
      <x:c r="D403" s="9" t="str">
        <x:v>P1</x:v>
      </x:c>
      <x:c r="E403" s="9" t="str">
        <x:v>Negativa</x:v>
      </x:c>
      <x:c r="F403" s="9" t="str">
        <x:v>Navegador + HTTP + persistencia</x:v>
      </x:c>
      <x:c r="G403" s="10" t="str">
        <x:v>Pendiente</x:v>
      </x:c>
      <x:c r="H403" s="10"/>
      <x:c r="I403" s="10"/>
      <x:c r="J403" s="10"/>
      <x:c r="K403" s="10"/>
      <x:c r="L403" s="11"/>
      <x:c r="M403" s="12"/>
      <x:c r="N403" s="10"/>
    </x:row>
    <x:row r="404" ht="25" customHeight="1">
      <x:c r="A404" s="9" t="str">
        <x:v>QA-API-005</x:v>
      </x:c>
      <x:c r="B404" s="9" t="str">
        <x:v>API</x:v>
      </x:c>
      <x:c r="C404" s="9" t="str">
        <x:v>Token sin alcance o inválido</x:v>
      </x:c>
      <x:c r="D404" s="9" t="str">
        <x:v>P0</x:v>
      </x:c>
      <x:c r="E404" s="9" t="str">
        <x:v>Seguridad</x:v>
      </x:c>
      <x:c r="F404" s="9" t="str">
        <x:v>Navegador + HTTP + persistencia</x:v>
      </x:c>
      <x:c r="G404" s="10" t="str">
        <x:v>Pendiente</x:v>
      </x:c>
      <x:c r="H404" s="10"/>
      <x:c r="I404" s="10"/>
      <x:c r="J404" s="10"/>
      <x:c r="K404" s="10"/>
      <x:c r="L404" s="11"/>
      <x:c r="M404" s="12"/>
      <x:c r="N404" s="10"/>
    </x:row>
    <x:row r="405" ht="25" customHeight="1">
      <x:c r="A405" s="9" t="str">
        <x:v>QA-API-006</x:v>
      </x:c>
      <x:c r="B405" s="9" t="str">
        <x:v>API</x:v>
      </x:c>
      <x:c r="C405" s="9" t="str">
        <x:v>Repetir misma creación HTTP</x:v>
      </x:c>
      <x:c r="D405" s="9" t="str">
        <x:v>P0</x:v>
      </x:c>
      <x:c r="E405" s="9" t="str">
        <x:v>Concurrencia</x:v>
      </x:c>
      <x:c r="F405" s="9" t="str">
        <x:v>Navegador + HTTP + persistencia</x:v>
      </x:c>
      <x:c r="G405" s="10" t="str">
        <x:v>Pendiente</x:v>
      </x:c>
      <x:c r="H405" s="10"/>
      <x:c r="I405" s="10"/>
      <x:c r="J405" s="10"/>
      <x:c r="K405" s="10"/>
      <x:c r="L405" s="11"/>
      <x:c r="M405" s="12"/>
      <x:c r="N405" s="10"/>
    </x:row>
    <x:row r="406" ht="25" customHeight="1">
      <x:c r="A406" s="9" t="str">
        <x:v>QA-API-007</x:v>
      </x:c>
      <x:c r="B406" s="9" t="str">
        <x:v>API</x:v>
      </x:c>
      <x:c r="C406" s="9" t="str">
        <x:v>API rechaza exportación/terceros</x:v>
      </x:c>
      <x:c r="D406" s="9" t="str">
        <x:v>P0</x:v>
      </x:c>
      <x:c r="E406" s="9" t="str">
        <x:v>Negativa</x:v>
      </x:c>
      <x:c r="F406" s="9" t="str">
        <x:v>Navegador + HTTP + persistencia</x:v>
      </x:c>
      <x:c r="G406" s="10" t="str">
        <x:v>Pendiente</x:v>
      </x:c>
      <x:c r="H406" s="10"/>
      <x:c r="I406" s="10"/>
      <x:c r="J406" s="10"/>
      <x:c r="K406" s="10"/>
      <x:c r="L406" s="11"/>
      <x:c r="M406" s="12"/>
      <x:c r="N406" s="10"/>
    </x:row>
    <x:row r="407" ht="25" customHeight="1">
      <x:c r="A407" s="9" t="str">
        <x:v>QA-API-008</x:v>
      </x:c>
      <x:c r="B407" s="9" t="str">
        <x:v>API</x:v>
      </x:c>
      <x:c r="C407" s="9" t="str">
        <x:v>Datos sensibles anidados</x:v>
      </x:c>
      <x:c r="D407" s="9" t="str">
        <x:v>P0</x:v>
      </x:c>
      <x:c r="E407" s="9" t="str">
        <x:v>Seguridad</x:v>
      </x:c>
      <x:c r="F407" s="9" t="str">
        <x:v>Navegador + HTTP + persistencia</x:v>
      </x:c>
      <x:c r="G407" s="10" t="str">
        <x:v>Pendiente</x:v>
      </x:c>
      <x:c r="H407" s="10"/>
      <x:c r="I407" s="10"/>
      <x:c r="J407" s="10"/>
      <x:c r="K407" s="10"/>
      <x:c r="L407" s="11"/>
      <x:c r="M407" s="12"/>
      <x:c r="N407" s="10"/>
    </x:row>
    <x:row r="408" ht="25" customHeight="1">
      <x:c r="A408" s="9" t="str">
        <x:v>QA-IMP-001</x:v>
      </x:c>
      <x:c r="B408" s="9" t="str">
        <x:v>IMP</x:v>
      </x:c>
      <x:c r="C408" s="9" t="str">
        <x:v>Descargar plantillas actuales</x:v>
      </x:c>
      <x:c r="D408" s="9" t="str">
        <x:v>P1</x:v>
      </x:c>
      <x:c r="E408" s="9" t="str">
        <x:v>Positiva</x:v>
      </x:c>
      <x:c r="F408" s="9" t="str">
        <x:v>Navegador + HTTP + persistencia</x:v>
      </x:c>
      <x:c r="G408" s="10" t="str">
        <x:v>Pendiente</x:v>
      </x:c>
      <x:c r="H408" s="10"/>
      <x:c r="I408" s="10"/>
      <x:c r="J408" s="10"/>
      <x:c r="K408" s="10"/>
      <x:c r="L408" s="11"/>
      <x:c r="M408" s="12"/>
      <x:c r="N408" s="10"/>
    </x:row>
    <x:row r="409" ht="25" customHeight="1">
      <x:c r="A409" s="9" t="str">
        <x:v>QA-IMP-002</x:v>
      </x:c>
      <x:c r="B409" s="9" t="str">
        <x:v>IMP</x:v>
      </x:c>
      <x:c r="C409" s="9" t="str">
        <x:v>Importación documento válido</x:v>
      </x:c>
      <x:c r="D409" s="9" t="str">
        <x:v>P0</x:v>
      </x:c>
      <x:c r="E409" s="9" t="str">
        <x:v>Positiva</x:v>
      </x:c>
      <x:c r="F409" s="9" t="str">
        <x:v>Navegador + HTTP + persistencia</x:v>
      </x:c>
      <x:c r="G409" s="10" t="str">
        <x:v>Pendiente</x:v>
      </x:c>
      <x:c r="H409" s="10"/>
      <x:c r="I409" s="10"/>
      <x:c r="J409" s="10"/>
      <x:c r="K409" s="10"/>
      <x:c r="L409" s="11"/>
      <x:c r="M409" s="12"/>
      <x:c r="N409" s="10"/>
    </x:row>
    <x:row r="410" ht="25" customHeight="1">
      <x:c r="A410" s="9" t="str">
        <x:v>QA-IMP-003</x:v>
      </x:c>
      <x:c r="B410" s="9" t="str">
        <x:v>IMP</x:v>
      </x:c>
      <x:c r="C410" s="9" t="str">
        <x:v>Segundo formato válido</x:v>
      </x:c>
      <x:c r="D410" s="9" t="str">
        <x:v>P1</x:v>
      </x:c>
      <x:c r="E410" s="9" t="str">
        <x:v>Positiva</x:v>
      </x:c>
      <x:c r="F410" s="9" t="str">
        <x:v>Navegador + HTTP + persistencia</x:v>
      </x:c>
      <x:c r="G410" s="10" t="str">
        <x:v>Pendiente</x:v>
      </x:c>
      <x:c r="H410" s="10"/>
      <x:c r="I410" s="10"/>
      <x:c r="J410" s="10"/>
      <x:c r="K410" s="10"/>
      <x:c r="L410" s="11"/>
      <x:c r="M410" s="12"/>
      <x:c r="N410" s="10"/>
    </x:row>
    <x:row r="411" ht="25" customHeight="1">
      <x:c r="A411" s="9" t="str">
        <x:v>QA-IMP-004</x:v>
      </x:c>
      <x:c r="B411" s="9" t="str">
        <x:v>IMP</x:v>
      </x:c>
      <x:c r="C411" s="9" t="str">
        <x:v>Importación Excel de comprobantes</x:v>
      </x:c>
      <x:c r="D411" s="9" t="str">
        <x:v>P1</x:v>
      </x:c>
      <x:c r="E411" s="9" t="str">
        <x:v>Positiva</x:v>
      </x:c>
      <x:c r="F411" s="9" t="str">
        <x:v>Navegador + HTTP + persistencia</x:v>
      </x:c>
      <x:c r="G411" s="10" t="str">
        <x:v>Pendiente</x:v>
      </x:c>
      <x:c r="H411" s="10"/>
      <x:c r="I411" s="10"/>
      <x:c r="J411" s="10"/>
      <x:c r="K411" s="10"/>
      <x:c r="L411" s="11"/>
      <x:c r="M411" s="12"/>
      <x:c r="N411" s="10"/>
    </x:row>
    <x:row r="412" ht="25" customHeight="1">
      <x:c r="A412" s="9" t="str">
        <x:v>QA-IMP-005</x:v>
      </x:c>
      <x:c r="B412" s="9" t="str">
        <x:v>IMP</x:v>
      </x:c>
      <x:c r="C412" s="9" t="str">
        <x:v>Fila inválida y archivo mixto</x:v>
      </x:c>
      <x:c r="D412" s="9" t="str">
        <x:v>P0</x:v>
      </x:c>
      <x:c r="E412" s="9" t="str">
        <x:v>Negativa</x:v>
      </x:c>
      <x:c r="F412" s="9" t="str">
        <x:v>Navegador + HTTP + persistencia</x:v>
      </x:c>
      <x:c r="G412" s="10" t="str">
        <x:v>Pendiente</x:v>
      </x:c>
      <x:c r="H412" s="10"/>
      <x:c r="I412" s="10"/>
      <x:c r="J412" s="10"/>
      <x:c r="K412" s="10"/>
      <x:c r="L412" s="11"/>
      <x:c r="M412" s="12"/>
      <x:c r="N412" s="10"/>
    </x:row>
    <x:row r="413" ht="25" customHeight="1">
      <x:c r="A413" s="9" t="str">
        <x:v>QA-IMP-006</x:v>
      </x:c>
      <x:c r="B413" s="9" t="str">
        <x:v>IMP</x:v>
      </x:c>
      <x:c r="C413" s="9" t="str">
        <x:v>Reimportación y duplicado</x:v>
      </x:c>
      <x:c r="D413" s="9" t="str">
        <x:v>P0</x:v>
      </x:c>
      <x:c r="E413" s="9" t="str">
        <x:v>Concurrencia</x:v>
      </x:c>
      <x:c r="F413" s="9" t="str">
        <x:v>Navegador + HTTP + persistencia</x:v>
      </x:c>
      <x:c r="G413" s="10" t="str">
        <x:v>Pendiente</x:v>
      </x:c>
      <x:c r="H413" s="10"/>
      <x:c r="I413" s="10"/>
      <x:c r="J413" s="10"/>
      <x:c r="K413" s="10"/>
      <x:c r="L413" s="11"/>
      <x:c r="M413" s="12"/>
      <x:c r="N413" s="10"/>
    </x:row>
    <x:row r="414" ht="25" customHeight="1">
      <x:c r="A414" s="9" t="str">
        <x:v>QA-IMP-007</x:v>
      </x:c>
      <x:c r="B414" s="9" t="str">
        <x:v>IMP</x:v>
      </x:c>
      <x:c r="C414" s="9" t="str">
        <x:v>Serie vacía y con guiones en importación</x:v>
      </x:c>
      <x:c r="D414" s="9" t="str">
        <x:v>P1</x:v>
      </x:c>
      <x:c r="E414" s="9" t="str">
        <x:v>Positiva</x:v>
      </x:c>
      <x:c r="F414" s="9" t="str">
        <x:v>Navegador + HTTP + persistencia</x:v>
      </x:c>
      <x:c r="G414" s="10" t="str">
        <x:v>Pendiente</x:v>
      </x:c>
      <x:c r="H414" s="10"/>
      <x:c r="I414" s="10"/>
      <x:c r="J414" s="10"/>
      <x:c r="K414" s="10"/>
      <x:c r="L414" s="11"/>
      <x:c r="M414" s="12"/>
      <x:c r="N414" s="10"/>
    </x:row>
    <x:row r="415" ht="25" customHeight="1">
      <x:c r="A415" s="9" t="str">
        <x:v>QA-IMP-008</x:v>
      </x:c>
      <x:c r="B415" s="9" t="str">
        <x:v>IMP</x:v>
      </x:c>
      <x:c r="C415" s="9" t="str">
        <x:v>Exportación/terceros importados no habilitados</x:v>
      </x:c>
      <x:c r="D415" s="9" t="str">
        <x:v>P0</x:v>
      </x:c>
      <x:c r="E415" s="9" t="str">
        <x:v>Negativa</x:v>
      </x:c>
      <x:c r="F415" s="9" t="str">
        <x:v>Navegador + HTTP + persistencia</x:v>
      </x:c>
      <x:c r="G415" s="10" t="str">
        <x:v>Pendiente</x:v>
      </x:c>
      <x:c r="H415" s="10"/>
      <x:c r="I415" s="10"/>
      <x:c r="J415" s="10"/>
      <x:c r="K415" s="10"/>
      <x:c r="L415" s="11"/>
      <x:c r="M415" s="12"/>
      <x:c r="N415" s="10"/>
    </x:row>
    <x:row r="416" ht="25" customHeight="1">
      <x:c r="A416" s="9" t="str">
        <x:v>QA-IMP-009</x:v>
      </x:c>
      <x:c r="B416" s="9" t="str">
        <x:v>IMP</x:v>
      </x:c>
      <x:c r="C416" s="9" t="str">
        <x:v>Masiva superadmin carga y proceso</x:v>
      </x:c>
      <x:c r="D416" s="9" t="str">
        <x:v>P0</x:v>
      </x:c>
      <x:c r="E416" s="9" t="str">
        <x:v>Positiva</x:v>
      </x:c>
      <x:c r="F416" s="9" t="str">
        <x:v>Navegador + HTTP + persistencia</x:v>
      </x:c>
      <x:c r="G416" s="10" t="str">
        <x:v>Pendiente</x:v>
      </x:c>
      <x:c r="H416" s="10"/>
      <x:c r="I416" s="10"/>
      <x:c r="J416" s="10"/>
      <x:c r="K416" s="10"/>
      <x:c r="L416" s="11"/>
      <x:c r="M416" s="12"/>
      <x:c r="N416" s="10"/>
    </x:row>
    <x:row r="417" ht="25" customHeight="1">
      <x:c r="A417" s="9" t="str">
        <x:v>QA-IMP-010</x:v>
      </x:c>
      <x:c r="B417" s="9" t="str">
        <x:v>IMP</x:v>
      </x:c>
      <x:c r="C417" s="9" t="str">
        <x:v>Masiva errores parciales y acceso</x:v>
      </x:c>
      <x:c r="D417" s="9" t="str">
        <x:v>P0</x:v>
      </x:c>
      <x:c r="E417" s="9" t="str">
        <x:v>Negativa</x:v>
      </x:c>
      <x:c r="F417" s="9" t="str">
        <x:v>Navegador + HTTP + persistencia</x:v>
      </x:c>
      <x:c r="G417" s="10" t="str">
        <x:v>Pendiente</x:v>
      </x:c>
      <x:c r="H417" s="10"/>
      <x:c r="I417" s="10"/>
      <x:c r="J417" s="10"/>
      <x:c r="K417" s="10"/>
      <x:c r="L417" s="11"/>
      <x:c r="M417" s="12"/>
      <x:c r="N417" s="10"/>
    </x:row>
    <x:row r="418" ht="25" customHeight="1">
      <x:c r="A418" s="9" t="str">
        <x:v>QA-IMP-011</x:v>
      </x:c>
      <x:c r="B418" s="9" t="str">
        <x:v>IMP</x:v>
      </x:c>
      <x:c r="C418" s="9" t="str">
        <x:v>Masiva PDF y exportación de resultados</x:v>
      </x:c>
      <x:c r="D418" s="9" t="str">
        <x:v>P1</x:v>
      </x:c>
      <x:c r="E418" s="9" t="str">
        <x:v>Positiva</x:v>
      </x:c>
      <x:c r="F418" s="9" t="str">
        <x:v>Navegador + HTTP + persistencia</x:v>
      </x:c>
      <x:c r="G418" s="10" t="str">
        <x:v>Pendiente</x:v>
      </x:c>
      <x:c r="H418" s="10"/>
      <x:c r="I418" s="10"/>
      <x:c r="J418" s="10"/>
      <x:c r="K418" s="10"/>
      <x:c r="L418" s="11"/>
      <x:c r="M418" s="12"/>
      <x:c r="N418" s="10"/>
    </x:row>
    <x:row r="419" ht="25" customHeight="1">
      <x:c r="A419" s="9" t="str">
        <x:v>QA-IMP-012</x:v>
      </x:c>
      <x:c r="B419" s="9" t="str">
        <x:v>IMP</x:v>
      </x:c>
      <x:c r="C419" s="9" t="str">
        <x:v>Archivo indebido y volumen</x:v>
      </x:c>
      <x:c r="D419" s="9" t="str">
        <x:v>P1</x:v>
      </x:c>
      <x:c r="E419" s="9" t="str">
        <x:v>Negativa</x:v>
      </x:c>
      <x:c r="F419" s="9" t="str">
        <x:v>Navegador + HTTP + persistencia</x:v>
      </x:c>
      <x:c r="G419" s="10" t="str">
        <x:v>Pendiente</x:v>
      </x:c>
      <x:c r="H419" s="10"/>
      <x:c r="I419" s="10"/>
      <x:c r="J419" s="10"/>
      <x:c r="K419" s="10"/>
      <x:c r="L419" s="11"/>
      <x:c r="M419" s="12"/>
      <x:c r="N419" s="10"/>
    </x:row>
    <x:row r="420" ht="25" customHeight="1">
      <x:c r="A420" s="9" t="str">
        <x:v>QA-ANU-001</x:v>
      </x:c>
      <x:c r="B420" s="9" t="str">
        <x:v>ANU</x:v>
      </x:c>
      <x:c r="C420" s="9" t="str">
        <x:v>Anulación local y estado</x:v>
      </x:c>
      <x:c r="D420" s="9" t="str">
        <x:v>P0</x:v>
      </x:c>
      <x:c r="E420" s="9" t="str">
        <x:v>Positiva</x:v>
      </x:c>
      <x:c r="F420" s="9" t="str">
        <x:v>Navegador + HTTP + persistencia</x:v>
      </x:c>
      <x:c r="G420" s="10" t="str">
        <x:v>Pendiente</x:v>
      </x:c>
      <x:c r="H420" s="10"/>
      <x:c r="I420" s="10"/>
      <x:c r="J420" s="10"/>
      <x:c r="K420" s="10"/>
      <x:c r="L420" s="11"/>
      <x:c r="M420" s="12"/>
      <x:c r="N420" s="10"/>
    </x:row>
    <x:row r="421" ht="25" customHeight="1">
      <x:c r="A421" s="9" t="str">
        <x:v>QA-ANU-002</x:v>
      </x:c>
      <x:c r="B421" s="9" t="str">
        <x:v>ANU</x:v>
      </x:c>
      <x:c r="C421" s="9" t="str">
        <x:v>Anulado prevalece sobre confirmed</x:v>
      </x:c>
      <x:c r="D421" s="9" t="str">
        <x:v>P0</x:v>
      </x:c>
      <x:c r="E421" s="9" t="str">
        <x:v>Negativa</x:v>
      </x:c>
      <x:c r="F421" s="9" t="str">
        <x:v>Navegador + HTTP + persistencia</x:v>
      </x:c>
      <x:c r="G421" s="10" t="str">
        <x:v>Pendiente</x:v>
      </x:c>
      <x:c r="H421" s="10"/>
      <x:c r="I421" s="10"/>
      <x:c r="J421" s="10"/>
      <x:c r="K421" s="10"/>
      <x:c r="L421" s="11"/>
      <x:c r="M421" s="12"/>
      <x:c r="N421" s="10"/>
    </x:row>
    <x:row r="422" ht="25" customHeight="1">
      <x:c r="A422" s="9" t="str">
        <x:v>QA-ANU-003</x:v>
      </x:c>
      <x:c r="B422" s="9" t="str">
        <x:v>ANU</x:v>
      </x:c>
      <x:c r="C422" s="9" t="str">
        <x:v>Restricción por fecha de anulación</x:v>
      </x:c>
      <x:c r="D422" s="9" t="str">
        <x:v>P1</x:v>
      </x:c>
      <x:c r="E422" s="9" t="str">
        <x:v>Negativa</x:v>
      </x:c>
      <x:c r="F422" s="9" t="str">
        <x:v>Navegador + HTTP + persistencia</x:v>
      </x:c>
      <x:c r="G422" s="10" t="str">
        <x:v>Pendiente</x:v>
      </x:c>
      <x:c r="H422" s="10"/>
      <x:c r="I422" s="10"/>
      <x:c r="J422" s="10"/>
      <x:c r="K422" s="10"/>
      <x:c r="L422" s="11"/>
      <x:c r="M422" s="12"/>
      <x:c r="N422" s="10"/>
    </x:row>
    <x:row r="423" ht="25" customHeight="1">
      <x:c r="A423" s="9" t="str">
        <x:v>QA-ANU-004</x:v>
      </x:c>
      <x:c r="B423" s="9" t="str">
        <x:v>ANU</x:v>
      </x:c>
      <x:c r="C423" s="9" t="str">
        <x:v>Solicitud por anular y cancelación local</x:v>
      </x:c>
      <x:c r="D423" s="9" t="str">
        <x:v>P1</x:v>
      </x:c>
      <x:c r="E423" s="9" t="str">
        <x:v>Positiva</x:v>
      </x:c>
      <x:c r="F423" s="9" t="str">
        <x:v>Navegador + HTTP + persistencia</x:v>
      </x:c>
      <x:c r="G423" s="10" t="str">
        <x:v>Pendiente</x:v>
      </x:c>
      <x:c r="H423" s="10"/>
      <x:c r="I423" s="10"/>
      <x:c r="J423" s="10"/>
      <x:c r="K423" s="10"/>
      <x:c r="L423" s="11"/>
      <x:c r="M423" s="12"/>
      <x:c r="N423" s="10"/>
    </x:row>
    <x:row r="424" ht="25" customHeight="1">
      <x:c r="A424" s="9" t="str">
        <x:v>QA-ANU-005</x:v>
      </x:c>
      <x:c r="B424" s="9" t="str">
        <x:v>ANU</x:v>
      </x:c>
      <x:c r="C424" s="9" t="str">
        <x:v>Anulación repetida/concurrente</x:v>
      </x:c>
      <x:c r="D424" s="9" t="str">
        <x:v>P0</x:v>
      </x:c>
      <x:c r="E424" s="9" t="str">
        <x:v>Concurrencia</x:v>
      </x:c>
      <x:c r="F424" s="9" t="str">
        <x:v>Navegador + HTTP + persistencia</x:v>
      </x:c>
      <x:c r="G424" s="10" t="str">
        <x:v>Pendiente</x:v>
      </x:c>
      <x:c r="H424" s="10"/>
      <x:c r="I424" s="10"/>
      <x:c r="J424" s="10"/>
      <x:c r="K424" s="10"/>
      <x:c r="L424" s="11"/>
      <x:c r="M424" s="12"/>
      <x:c r="N424" s="10"/>
    </x:row>
    <x:row r="425" ht="25" customHeight="1">
      <x:c r="A425" s="9" t="str">
        <x:v>QA-ANU-006</x:v>
      </x:c>
      <x:c r="B425" s="9" t="str">
        <x:v>ANU</x:v>
      </x:c>
      <x:c r="C425" s="9" t="str">
        <x:v>Recrear o registrar estado</x:v>
      </x:c>
      <x:c r="D425" s="9" t="str">
        <x:v>P0</x:v>
      </x:c>
      <x:c r="E425" s="9" t="str">
        <x:v>Positiva</x:v>
      </x:c>
      <x:c r="F425" s="9" t="str">
        <x:v>Navegador + HTTP + persistencia</x:v>
      </x:c>
      <x:c r="G425" s="10" t="str">
        <x:v>Pendiente</x:v>
      </x:c>
      <x:c r="H425" s="10"/>
      <x:c r="I425" s="10"/>
      <x:c r="J425" s="10"/>
      <x:c r="K425" s="10"/>
      <x:c r="L425" s="11"/>
      <x:c r="M425" s="12"/>
      <x:c r="N425" s="10"/>
    </x:row>
    <x:row r="426" ht="25" customHeight="1">
      <x:c r="A426" s="9" t="str">
        <x:v>QA-ANU-007</x:v>
      </x:c>
      <x:c r="B426" s="9" t="str">
        <x:v>ANU</x:v>
      </x:c>
      <x:c r="C426" s="9" t="str">
        <x:v>Eliminar documento con relaciones</x:v>
      </x:c>
      <x:c r="D426" s="9" t="str">
        <x:v>P0</x:v>
      </x:c>
      <x:c r="E426" s="9" t="str">
        <x:v>Negativa</x:v>
      </x:c>
      <x:c r="F426" s="9" t="str">
        <x:v>Navegador + HTTP + persistencia</x:v>
      </x:c>
      <x:c r="G426" s="10" t="str">
        <x:v>Pendiente</x:v>
      </x:c>
      <x:c r="H426" s="10"/>
      <x:c r="I426" s="10"/>
      <x:c r="J426" s="10"/>
      <x:c r="K426" s="10"/>
      <x:c r="L426" s="11"/>
      <x:c r="M426" s="12"/>
      <x:c r="N426" s="10"/>
    </x:row>
    <x:row r="427" ht="25" customHeight="1">
      <x:c r="A427" s="9" t="str">
        <x:v>QA-ANU-008</x:v>
      </x:c>
      <x:c r="B427" s="9" t="str">
        <x:v>ANU</x:v>
      </x:c>
      <x:c r="C427" s="9" t="str">
        <x:v>Herramienta de eliminación de datos DEMO</x:v>
      </x:c>
      <x:c r="D427" s="9" t="str">
        <x:v>P0</x:v>
      </x:c>
      <x:c r="E427" s="9" t="str">
        <x:v>Positiva</x:v>
      </x:c>
      <x:c r="F427" s="9" t="str">
        <x:v>Navegador + HTTP + persistencia</x:v>
      </x:c>
      <x:c r="G427" s="10" t="str">
        <x:v>Pendiente</x:v>
      </x:c>
      <x:c r="H427" s="10"/>
      <x:c r="I427" s="10"/>
      <x:c r="J427" s="10"/>
      <x:c r="K427" s="10"/>
      <x:c r="L427" s="11"/>
      <x:c r="M427" s="12"/>
      <x:c r="N427" s="10"/>
    </x:row>
    <x:row r="428" ht="25" customHeight="1">
      <x:c r="A428" s="9" t="str">
        <x:v>QA-ANU-009</x:v>
      </x:c>
      <x:c r="B428" s="9" t="str">
        <x:v>ANU</x:v>
      </x:c>
      <x:c r="C428" s="9" t="str">
        <x:v>Permisos de anular/recrear/eliminar</x:v>
      </x:c>
      <x:c r="D428" s="9" t="str">
        <x:v>P0</x:v>
      </x:c>
      <x:c r="E428" s="9" t="str">
        <x:v>Seguridad</x:v>
      </x:c>
      <x:c r="F428" s="9" t="str">
        <x:v>Navegador + HTTP + persistencia</x:v>
      </x:c>
      <x:c r="G428" s="10" t="str">
        <x:v>Pendiente</x:v>
      </x:c>
      <x:c r="H428" s="10"/>
      <x:c r="I428" s="10"/>
      <x:c r="J428" s="10"/>
      <x:c r="K428" s="10"/>
      <x:c r="L428" s="11"/>
      <x:c r="M428" s="12"/>
      <x:c r="N428" s="10"/>
    </x:row>
    <x:row r="429" ht="25" customHeight="1">
      <x:c r="A429" s="9" t="str">
        <x:v>QA-FIN-001</x:v>
      </x:c>
      <x:c r="B429" s="9" t="str">
        <x:v>FIN</x:v>
      </x:c>
      <x:c r="C429" s="9" t="str">
        <x:v>Conciliar venta, cobro y saldo</x:v>
      </x:c>
      <x:c r="D429" s="9" t="str">
        <x:v>P0</x:v>
      </x:c>
      <x:c r="E429" s="9" t="str">
        <x:v>Positiva</x:v>
      </x:c>
      <x:c r="F429" s="9" t="str">
        <x:v>Navegador + HTTP + persistencia</x:v>
      </x:c>
      <x:c r="G429" s="10" t="str">
        <x:v>Pendiente</x:v>
      </x:c>
      <x:c r="H429" s="10"/>
      <x:c r="I429" s="10"/>
      <x:c r="J429" s="10"/>
      <x:c r="K429" s="10"/>
      <x:c r="L429" s="11"/>
      <x:c r="M429" s="12"/>
      <x:c r="N429" s="10"/>
    </x:row>
    <x:row r="430" ht="25" customHeight="1">
      <x:c r="A430" s="9" t="str">
        <x:v>QA-FIN-002</x:v>
      </x:c>
      <x:c r="B430" s="9" t="str">
        <x:v>FIN</x:v>
      </x:c>
      <x:c r="C430" s="9" t="str">
        <x:v>Cierre de caja y bancos</x:v>
      </x:c>
      <x:c r="D430" s="9" t="str">
        <x:v>P0</x:v>
      </x:c>
      <x:c r="E430" s="9" t="str">
        <x:v>Positiva</x:v>
      </x:c>
      <x:c r="F430" s="9" t="str">
        <x:v>Navegador + HTTP + persistencia</x:v>
      </x:c>
      <x:c r="G430" s="10" t="str">
        <x:v>Pendiente</x:v>
      </x:c>
      <x:c r="H430" s="10"/>
      <x:c r="I430" s="10"/>
      <x:c r="J430" s="10"/>
      <x:c r="K430" s="10"/>
      <x:c r="L430" s="11"/>
      <x:c r="M430" s="12"/>
      <x:c r="N430" s="10"/>
    </x:row>
    <x:row r="431" ht="25" customHeight="1">
      <x:c r="A431" s="9" t="str">
        <x:v>QA-FIN-003</x:v>
      </x:c>
      <x:c r="B431" s="9" t="str">
        <x:v>FIN</x:v>
      </x:c>
      <x:c r="C431" s="9" t="str">
        <x:v>Recibos IGTF no duplican ingreso</x:v>
      </x:c>
      <x:c r="D431" s="9" t="str">
        <x:v>P0</x:v>
      </x:c>
      <x:c r="E431" s="9" t="str">
        <x:v>Positiva</x:v>
      </x:c>
      <x:c r="F431" s="9" t="str">
        <x:v>Navegador + HTTP + persistencia</x:v>
      </x:c>
      <x:c r="G431" s="10" t="str">
        <x:v>Pendiente</x:v>
      </x:c>
      <x:c r="H431" s="10"/>
      <x:c r="I431" s="10"/>
      <x:c r="J431" s="10"/>
      <x:c r="K431" s="10"/>
      <x:c r="L431" s="11"/>
      <x:c r="M431" s="12"/>
      <x:c r="N431" s="10"/>
    </x:row>
    <x:row r="432" ht="25" customHeight="1">
      <x:c r="A432" s="9" t="str">
        <x:v>QA-FIN-004</x:v>
      </x:c>
      <x:c r="B432" s="9" t="str">
        <x:v>FIN</x:v>
      </x:c>
      <x:c r="C432" s="9" t="str">
        <x:v>Reversión cambia reportes</x:v>
      </x:c>
      <x:c r="D432" s="9" t="str">
        <x:v>P0</x:v>
      </x:c>
      <x:c r="E432" s="9" t="str">
        <x:v>Positiva</x:v>
      </x:c>
      <x:c r="F432" s="9" t="str">
        <x:v>Navegador + HTTP + persistencia</x:v>
      </x:c>
      <x:c r="G432" s="10" t="str">
        <x:v>Pendiente</x:v>
      </x:c>
      <x:c r="H432" s="10"/>
      <x:c r="I432" s="10"/>
      <x:c r="J432" s="10"/>
      <x:c r="K432" s="10"/>
      <x:c r="L432" s="11"/>
      <x:c r="M432" s="12"/>
      <x:c r="N432" s="10"/>
    </x:row>
    <x:row r="433" ht="25" customHeight="1">
      <x:c r="A433" s="9" t="str">
        <x:v>QA-FIN-005</x:v>
      </x:c>
      <x:c r="B433" s="9" t="str">
        <x:v>FIN</x:v>
      </x:c>
      <x:c r="C433" s="9" t="str">
        <x:v>Facturas crédito y vencimientos</x:v>
      </x:c>
      <x:c r="D433" s="9" t="str">
        <x:v>P1</x:v>
      </x:c>
      <x:c r="E433" s="9" t="str">
        <x:v>Positiva</x:v>
      </x:c>
      <x:c r="F433" s="9" t="str">
        <x:v>Navegador + HTTP + persistencia</x:v>
      </x:c>
      <x:c r="G433" s="10" t="str">
        <x:v>Pendiente</x:v>
      </x:c>
      <x:c r="H433" s="10"/>
      <x:c r="I433" s="10"/>
      <x:c r="J433" s="10"/>
      <x:c r="K433" s="10"/>
      <x:c r="L433" s="11"/>
      <x:c r="M433" s="12"/>
      <x:c r="N433" s="10"/>
    </x:row>
    <x:row r="434" ht="25" customHeight="1">
      <x:c r="A434" s="9" t="str">
        <x:v>QA-FIN-006</x:v>
      </x:c>
      <x:c r="B434" s="9" t="str">
        <x:v>FIN</x:v>
      </x:c>
      <x:c r="C434" s="9" t="str">
        <x:v>Filtrar sucursal, usuario y moneda</x:v>
      </x:c>
      <x:c r="D434" s="9" t="str">
        <x:v>P0</x:v>
      </x:c>
      <x:c r="E434" s="9" t="str">
        <x:v>Positiva</x:v>
      </x:c>
      <x:c r="F434" s="9" t="str">
        <x:v>Navegador + HTTP + persistencia</x:v>
      </x:c>
      <x:c r="G434" s="10" t="str">
        <x:v>Pendiente</x:v>
      </x:c>
      <x:c r="H434" s="10"/>
      <x:c r="I434" s="10"/>
      <x:c r="J434" s="10"/>
      <x:c r="K434" s="10"/>
      <x:c r="L434" s="11"/>
      <x:c r="M434" s="12"/>
      <x:c r="N434" s="10"/>
    </x:row>
    <x:row r="435" ht="25" customHeight="1">
      <x:c r="A435" s="9" t="str">
        <x:v>QA-FIN-007</x:v>
      </x:c>
      <x:c r="B435" s="9" t="str">
        <x:v>FIN</x:v>
      </x:c>
      <x:c r="C435" s="9" t="str">
        <x:v>Todos los reportes de ventas</x:v>
      </x:c>
      <x:c r="D435" s="9" t="str">
        <x:v>P1</x:v>
      </x:c>
      <x:c r="E435" s="9" t="str">
        <x:v>Positiva</x:v>
      </x:c>
      <x:c r="F435" s="9" t="str">
        <x:v>Navegador + HTTP + persistencia</x:v>
      </x:c>
      <x:c r="G435" s="10" t="str">
        <x:v>Pendiente</x:v>
      </x:c>
      <x:c r="H435" s="10"/>
      <x:c r="I435" s="10"/>
      <x:c r="J435" s="10"/>
      <x:c r="K435" s="10"/>
      <x:c r="L435" s="11"/>
      <x:c r="M435" s="12"/>
      <x:c r="N435" s="10"/>
    </x:row>
    <x:row r="436" ht="25" customHeight="1">
      <x:c r="A436" s="9" t="str">
        <x:v>QA-FIN-008</x:v>
      </x:c>
      <x:c r="B436" s="9" t="str">
        <x:v>FIN</x:v>
      </x:c>
      <x:c r="C436" s="9" t="str">
        <x:v>Histórico con tasa actual distinta</x:v>
      </x:c>
      <x:c r="D436" s="9" t="str">
        <x:v>P0</x:v>
      </x:c>
      <x:c r="E436" s="9" t="str">
        <x:v>Positiva</x:v>
      </x:c>
      <x:c r="F436" s="9" t="str">
        <x:v>Navegador + HTTP + persistencia</x:v>
      </x:c>
      <x:c r="G436" s="10" t="str">
        <x:v>Pendiente</x:v>
      </x:c>
      <x:c r="H436" s="10"/>
      <x:c r="I436" s="10"/>
      <x:c r="J436" s="10"/>
      <x:c r="K436" s="10"/>
      <x:c r="L436" s="11"/>
      <x:c r="M436" s="12"/>
      <x:c r="N436" s="10"/>
    </x:row>
    <x:row r="437" ht="25" customHeight="1">
      <x:c r="A437" s="9" t="str">
        <x:v>QA-FIN-009</x:v>
      </x:c>
      <x:c r="B437" s="9" t="str">
        <x:v>FIN</x:v>
      </x:c>
      <x:c r="C437" s="9" t="str">
        <x:v>Estados anulados y notas en reportes</x:v>
      </x:c>
      <x:c r="D437" s="9" t="str">
        <x:v>P0</x:v>
      </x:c>
      <x:c r="E437" s="9" t="str">
        <x:v>Positiva</x:v>
      </x:c>
      <x:c r="F437" s="9" t="str">
        <x:v>Navegador + HTTP + persistencia</x:v>
      </x:c>
      <x:c r="G437" s="10" t="str">
        <x:v>Pendiente</x:v>
      </x:c>
      <x:c r="H437" s="10"/>
      <x:c r="I437" s="10"/>
      <x:c r="J437" s="10"/>
      <x:c r="K437" s="10"/>
      <x:c r="L437" s="11"/>
      <x:c r="M437" s="12"/>
      <x:c r="N437" s="10"/>
    </x:row>
    <x:row r="438" ht="25" customHeight="1">
      <x:c r="A438" s="9" t="str">
        <x:v>QA-FIN-010</x:v>
      </x:c>
      <x:c r="B438" s="9" t="str">
        <x:v>FIN</x:v>
      </x:c>
      <x:c r="C438" s="9" t="str">
        <x:v>Límites de fechas y zona horaria</x:v>
      </x:c>
      <x:c r="D438" s="9" t="str">
        <x:v>P1</x:v>
      </x:c>
      <x:c r="E438" s="9" t="str">
        <x:v>Positiva</x:v>
      </x:c>
      <x:c r="F438" s="9" t="str">
        <x:v>Navegador + HTTP + persistencia</x:v>
      </x:c>
      <x:c r="G438" s="10" t="str">
        <x:v>Pendiente</x:v>
      </x:c>
      <x:c r="H438" s="10"/>
      <x:c r="I438" s="10"/>
      <x:c r="J438" s="10"/>
      <x:c r="K438" s="10"/>
      <x:c r="L438" s="11"/>
      <x:c r="M438" s="12"/>
      <x:c r="N438" s="10"/>
    </x:row>
    <x:row r="439" ht="25" customHeight="1">
      <x:c r="A439" s="9" t="str">
        <x:v>QA-SEG-001</x:v>
      </x:c>
      <x:c r="B439" s="9" t="str">
        <x:v>SEG</x:v>
      </x:c>
      <x:c r="C439" s="9" t="str">
        <x:v>Dos tenants con IDs iguales</x:v>
      </x:c>
      <x:c r="D439" s="9" t="str">
        <x:v>P0</x:v>
      </x:c>
      <x:c r="E439" s="9" t="str">
        <x:v>Seguridad</x:v>
      </x:c>
      <x:c r="F439" s="9" t="str">
        <x:v>Navegador + HTTP + persistencia</x:v>
      </x:c>
      <x:c r="G439" s="10" t="str">
        <x:v>Pendiente</x:v>
      </x:c>
      <x:c r="H439" s="10"/>
      <x:c r="I439" s="10"/>
      <x:c r="J439" s="10"/>
      <x:c r="K439" s="10"/>
      <x:c r="L439" s="11"/>
      <x:c r="M439" s="12"/>
      <x:c r="N439" s="10"/>
    </x:row>
    <x:row r="440" ht="25" customHeight="1">
      <x:c r="A440" s="9" t="str">
        <x:v>QA-SEG-002</x:v>
      </x:c>
      <x:c r="B440" s="9" t="str">
        <x:v>SEG</x:v>
      </x:c>
      <x:c r="C440" s="9" t="str">
        <x:v>Sucursal ajena</x:v>
      </x:c>
      <x:c r="D440" s="9" t="str">
        <x:v>P0</x:v>
      </x:c>
      <x:c r="E440" s="9" t="str">
        <x:v>Seguridad</x:v>
      </x:c>
      <x:c r="F440" s="9" t="str">
        <x:v>Navegador + HTTP + persistencia</x:v>
      </x:c>
      <x:c r="G440" s="10" t="str">
        <x:v>Pendiente</x:v>
      </x:c>
      <x:c r="H440" s="10"/>
      <x:c r="I440" s="10"/>
      <x:c r="J440" s="10"/>
      <x:c r="K440" s="10"/>
      <x:c r="L440" s="11"/>
      <x:c r="M440" s="12"/>
      <x:c r="N440" s="10"/>
    </x:row>
    <x:row r="441" ht="25" customHeight="1">
      <x:c r="A441" s="9" t="str">
        <x:v>QA-SEG-003</x:v>
      </x:c>
      <x:c r="B441" s="9" t="str">
        <x:v>SEG</x:v>
      </x:c>
      <x:c r="C441" s="9" t="str">
        <x:v>Visitante y sesión expirada</x:v>
      </x:c>
      <x:c r="D441" s="9" t="str">
        <x:v>P0</x:v>
      </x:c>
      <x:c r="E441" s="9" t="str">
        <x:v>Seguridad</x:v>
      </x:c>
      <x:c r="F441" s="9" t="str">
        <x:v>Navegador + HTTP + persistencia</x:v>
      </x:c>
      <x:c r="G441" s="10" t="str">
        <x:v>Pendiente</x:v>
      </x:c>
      <x:c r="H441" s="10"/>
      <x:c r="I441" s="10"/>
      <x:c r="J441" s="10"/>
      <x:c r="K441" s="10"/>
      <x:c r="L441" s="11"/>
      <x:c r="M441" s="12"/>
      <x:c r="N441" s="10"/>
    </x:row>
    <x:row r="442" ht="25" customHeight="1">
      <x:c r="A442" s="9" t="str">
        <x:v>QA-SEG-004</x:v>
      </x:c>
      <x:c r="B442" s="9" t="str">
        <x:v>SEG</x:v>
      </x:c>
      <x:c r="C442" s="9" t="str">
        <x:v>CSRF y verbos de HKA</x:v>
      </x:c>
      <x:c r="D442" s="9" t="str">
        <x:v>P0</x:v>
      </x:c>
      <x:c r="E442" s="9" t="str">
        <x:v>Seguridad</x:v>
      </x:c>
      <x:c r="F442" s="9" t="str">
        <x:v>Navegador + HTTP + persistencia</x:v>
      </x:c>
      <x:c r="G442" s="10" t="str">
        <x:v>Pendiente</x:v>
      </x:c>
      <x:c r="H442" s="10"/>
      <x:c r="I442" s="10"/>
      <x:c r="J442" s="10"/>
      <x:c r="K442" s="10"/>
      <x:c r="L442" s="11"/>
      <x:c r="M442" s="12"/>
      <x:c r="N442" s="10"/>
    </x:row>
    <x:row r="443" ht="25" customHeight="1">
      <x:c r="A443" s="9" t="str">
        <x:v>QA-SEG-005</x:v>
      </x:c>
      <x:c r="B443" s="9" t="str">
        <x:v>SEG</x:v>
      </x:c>
      <x:c r="C443" s="9" t="str">
        <x:v>Integrador y permisos de usuario</x:v>
      </x:c>
      <x:c r="D443" s="9" t="str">
        <x:v>P0</x:v>
      </x:c>
      <x:c r="E443" s="9" t="str">
        <x:v>Seguridad</x:v>
      </x:c>
      <x:c r="F443" s="9" t="str">
        <x:v>Navegador + HTTP + persistencia</x:v>
      </x:c>
      <x:c r="G443" s="10" t="str">
        <x:v>Pendiente</x:v>
      </x:c>
      <x:c r="H443" s="10"/>
      <x:c r="I443" s="10"/>
      <x:c r="J443" s="10"/>
      <x:c r="K443" s="10"/>
      <x:c r="L443" s="11"/>
      <x:c r="M443" s="12"/>
      <x:c r="N443" s="10"/>
    </x:row>
    <x:row r="444" ht="25" customHeight="1">
      <x:c r="A444" s="9" t="str">
        <x:v>QA-SEG-006</x:v>
      </x:c>
      <x:c r="B444" s="9" t="str">
        <x:v>SEG</x:v>
      </x:c>
      <x:c r="C444" s="9" t="str">
        <x:v>Enlace público digital con UUID</x:v>
      </x:c>
      <x:c r="D444" s="9" t="str">
        <x:v>P0</x:v>
      </x:c>
      <x:c r="E444" s="9" t="str">
        <x:v>Seguridad</x:v>
      </x:c>
      <x:c r="F444" s="9" t="str">
        <x:v>Navegador + HTTP + persistencia</x:v>
      </x:c>
      <x:c r="G444" s="10" t="str">
        <x:v>Pendiente</x:v>
      </x:c>
      <x:c r="H444" s="10"/>
      <x:c r="I444" s="10"/>
      <x:c r="J444" s="10"/>
      <x:c r="K444" s="10"/>
      <x:c r="L444" s="11"/>
      <x:c r="M444" s="12"/>
      <x:c r="N444" s="10"/>
    </x:row>
    <x:row r="445" ht="25" customHeight="1">
      <x:c r="A445" s="9" t="str">
        <x:v>QA-SEG-007</x:v>
      </x:c>
      <x:c r="B445" s="9" t="str">
        <x:v>SEG</x:v>
      </x:c>
      <x:c r="C445" s="9" t="str">
        <x:v>Nombre de archivo no es acceso</x:v>
      </x:c>
      <x:c r="D445" s="9" t="str">
        <x:v>P0</x:v>
      </x:c>
      <x:c r="E445" s="9" t="str">
        <x:v>Seguridad</x:v>
      </x:c>
      <x:c r="F445" s="9" t="str">
        <x:v>Navegador + HTTP + persistencia</x:v>
      </x:c>
      <x:c r="G445" s="10" t="str">
        <x:v>Pendiente</x:v>
      </x:c>
      <x:c r="H445" s="10"/>
      <x:c r="I445" s="10"/>
      <x:c r="J445" s="10"/>
      <x:c r="K445" s="10"/>
      <x:c r="L445" s="11"/>
      <x:c r="M445" s="12"/>
      <x:c r="N445" s="10"/>
    </x:row>
    <x:row r="446" ht="25" customHeight="1">
      <x:c r="A446" s="9" t="str">
        <x:v>QA-SEG-008</x:v>
      </x:c>
      <x:c r="B446" s="9" t="str">
        <x:v>SEG</x:v>
      </x:c>
      <x:c r="C446" s="9" t="str">
        <x:v>XSS en textos y diagnósticos</x:v>
      </x:c>
      <x:c r="D446" s="9" t="str">
        <x:v>P0</x:v>
      </x:c>
      <x:c r="E446" s="9" t="str">
        <x:v>Seguridad</x:v>
      </x:c>
      <x:c r="F446" s="9" t="str">
        <x:v>Navegador + HTTP + persistencia</x:v>
      </x:c>
      <x:c r="G446" s="10" t="str">
        <x:v>Pendiente</x:v>
      </x:c>
      <x:c r="H446" s="10"/>
      <x:c r="I446" s="10"/>
      <x:c r="J446" s="10"/>
      <x:c r="K446" s="10"/>
      <x:c r="L446" s="11"/>
      <x:c r="M446" s="12"/>
      <x:c r="N446" s="10"/>
    </x:row>
    <x:row r="447" ht="25" customHeight="1">
      <x:c r="A447" s="9" t="str">
        <x:v>QA-SEG-009</x:v>
      </x:c>
      <x:c r="B447" s="9" t="str">
        <x:v>SEG</x:v>
      </x:c>
      <x:c r="C447" s="9" t="str">
        <x:v>Archivos y URLs no autorizadas</x:v>
      </x:c>
      <x:c r="D447" s="9" t="str">
        <x:v>P0</x:v>
      </x:c>
      <x:c r="E447" s="9" t="str">
        <x:v>Seguridad</x:v>
      </x:c>
      <x:c r="F447" s="9" t="str">
        <x:v>Navegador + HTTP + persistencia</x:v>
      </x:c>
      <x:c r="G447" s="10" t="str">
        <x:v>Pendiente</x:v>
      </x:c>
      <x:c r="H447" s="10"/>
      <x:c r="I447" s="10"/>
      <x:c r="J447" s="10"/>
      <x:c r="K447" s="10"/>
      <x:c r="L447" s="11"/>
      <x:c r="M447" s="12"/>
      <x:c r="N447" s="10"/>
    </x:row>
    <x:row r="448" ht="25" customHeight="1">
      <x:c r="A448" s="9" t="str">
        <x:v>QA-SEG-010</x:v>
      </x:c>
      <x:c r="B448" s="9" t="str">
        <x:v>SEG</x:v>
      </x:c>
      <x:c r="C448" s="9" t="str">
        <x:v>Datos sanitizados en informes/logs</x:v>
      </x:c>
      <x:c r="D448" s="9" t="str">
        <x:v>P0</x:v>
      </x:c>
      <x:c r="E448" s="9" t="str">
        <x:v>Seguridad</x:v>
      </x:c>
      <x:c r="F448" s="9" t="str">
        <x:v>Navegador + HTTP + persistencia</x:v>
      </x:c>
      <x:c r="G448" s="10" t="str">
        <x:v>Pendiente</x:v>
      </x:c>
      <x:c r="H448" s="10"/>
      <x:c r="I448" s="10"/>
      <x:c r="J448" s="10"/>
      <x:c r="K448" s="10"/>
      <x:c r="L448" s="11"/>
      <x:c r="M448" s="12"/>
      <x:c r="N448" s="10"/>
    </x:row>
    <x:row r="449" ht="25" customHeight="1">
      <x:c r="A449" s="9" t="str">
        <x:v>QA-SEG-011</x:v>
      </x:c>
      <x:c r="B449" s="9" t="str">
        <x:v>SEG</x:v>
      </x:c>
      <x:c r="C449" s="9" t="str">
        <x:v>Carrera de autorización antes/después PDF</x:v>
      </x:c>
      <x:c r="D449" s="9" t="str">
        <x:v>P0</x:v>
      </x:c>
      <x:c r="E449" s="9" t="str">
        <x:v>Concurrencia</x:v>
      </x:c>
      <x:c r="F449" s="9" t="str">
        <x:v>Navegador + HTTP + persistencia</x:v>
      </x:c>
      <x:c r="G449" s="10" t="str">
        <x:v>Pendiente</x:v>
      </x:c>
      <x:c r="H449" s="10"/>
      <x:c r="I449" s="10"/>
      <x:c r="J449" s="10"/>
      <x:c r="K449" s="10"/>
      <x:c r="L449" s="11"/>
      <x:c r="M449" s="12"/>
      <x:c r="N449" s="10"/>
    </x:row>
    <x:row r="450" ht="25" customHeight="1">
      <x:c r="A450" s="9" t="str">
        <x:v>QA-SEG-012</x:v>
      </x:c>
      <x:c r="B450" s="9" t="str">
        <x:v>SEG</x:v>
      </x:c>
      <x:c r="C450" s="9" t="str">
        <x:v>Permisos de precios,descuentos y pagos</x:v>
      </x:c>
      <x:c r="D450" s="9" t="str">
        <x:v>P0</x:v>
      </x:c>
      <x:c r="E450" s="9" t="str">
        <x:v>Seguridad</x:v>
      </x:c>
      <x:c r="F450" s="9" t="str">
        <x:v>Navegador + HTTP + persistencia</x:v>
      </x:c>
      <x:c r="G450" s="10" t="str">
        <x:v>Pendiente</x:v>
      </x:c>
      <x:c r="H450" s="10"/>
      <x:c r="I450" s="10"/>
      <x:c r="J450" s="10"/>
      <x:c r="K450" s="10"/>
      <x:c r="L450" s="11"/>
      <x:c r="M450" s="12"/>
      <x:c r="N450" s="10"/>
    </x:row>
    <x:row r="451" ht="25" customHeight="1">
      <x:c r="A451" s="9" t="str">
        <x:v>QA-ROB-001</x:v>
      </x:c>
      <x:c r="B451" s="9" t="str">
        <x:v>ROB</x:v>
      </x:c>
      <x:c r="C451" s="9" t="str">
        <x:v>Interrupción y recuperación de aplicación</x:v>
      </x:c>
      <x:c r="D451" s="9" t="str">
        <x:v>P0</x:v>
      </x:c>
      <x:c r="E451" s="9" t="str">
        <x:v>Concurrencia</x:v>
      </x:c>
      <x:c r="F451" s="9" t="str">
        <x:v>Navegador + HTTP + persistencia</x:v>
      </x:c>
      <x:c r="G451" s="10" t="str">
        <x:v>Pendiente</x:v>
      </x:c>
      <x:c r="H451" s="10"/>
      <x:c r="I451" s="10"/>
      <x:c r="J451" s="10"/>
      <x:c r="K451" s="10"/>
      <x:c r="L451" s="11"/>
      <x:c r="M451" s="12"/>
      <x:c r="N451" s="10"/>
    </x:row>
    <x:row r="452" ht="25" customHeight="1">
      <x:c r="A452" s="9" t="str">
        <x:v>QA-ROB-002</x:v>
      </x:c>
      <x:c r="B452" s="9" t="str">
        <x:v>ROB</x:v>
      </x:c>
      <x:c r="C452" s="9" t="str">
        <x:v>Volumen y tiempos de listado</x:v>
      </x:c>
      <x:c r="D452" s="9" t="str">
        <x:v>P1</x:v>
      </x:c>
      <x:c r="E452" s="9" t="str">
        <x:v>Positiva</x:v>
      </x:c>
      <x:c r="F452" s="9" t="str">
        <x:v>Navegador + HTTP + persistencia</x:v>
      </x:c>
      <x:c r="G452" s="10" t="str">
        <x:v>Pendiente</x:v>
      </x:c>
      <x:c r="H452" s="10"/>
      <x:c r="I452" s="10"/>
      <x:c r="J452" s="10"/>
      <x:c r="K452" s="10"/>
      <x:c r="L452" s="11"/>
      <x:c r="M452" s="12"/>
      <x:c r="N452" s="10"/>
    </x:row>
    <x:row r="453" ht="25" customHeight="1">
      <x:c r="A453" s="9" t="str">
        <x:v>QA-ROB-003</x:v>
      </x:c>
      <x:c r="B453" s="9" t="str">
        <x:v>ROB</x:v>
      </x:c>
      <x:c r="C453" s="9" t="str">
        <x:v>Documento extenso</x:v>
      </x:c>
      <x:c r="D453" s="9" t="str">
        <x:v>P1</x:v>
      </x:c>
      <x:c r="E453" s="9" t="str">
        <x:v>Positiva</x:v>
      </x:c>
      <x:c r="F453" s="9" t="str">
        <x:v>Navegador + HTTP + persistencia</x:v>
      </x:c>
      <x:c r="G453" s="10" t="str">
        <x:v>Pendiente</x:v>
      </x:c>
      <x:c r="H453" s="10"/>
      <x:c r="I453" s="10"/>
      <x:c r="J453" s="10"/>
      <x:c r="K453" s="10"/>
      <x:c r="L453" s="11"/>
      <x:c r="M453" s="12"/>
      <x:c r="N453" s="10"/>
    </x:row>
    <x:row r="454" ht="25" customHeight="1">
      <x:c r="A454" s="9" t="str">
        <x:v>QA-ROB-004</x:v>
      </x:c>
      <x:c r="B454" s="9" t="str">
        <x:v>ROB</x:v>
      </x:c>
      <x:c r="C454" s="9" t="str">
        <x:v>Pruebas automatizadas aisladas</x:v>
      </x:c>
      <x:c r="D454" s="9" t="str">
        <x:v>P1</x:v>
      </x:c>
      <x:c r="E454" s="9" t="str">
        <x:v>Positiva</x:v>
      </x:c>
      <x:c r="F454" s="9" t="str">
        <x:v>Navegador + HTTP + persistencia</x:v>
      </x:c>
      <x:c r="G454" s="10" t="str">
        <x:v>Pendiente</x:v>
      </x:c>
      <x:c r="H454" s="10"/>
      <x:c r="I454" s="10"/>
      <x:c r="J454" s="10"/>
      <x:c r="K454" s="10"/>
      <x:c r="L454" s="11"/>
      <x:c r="M454" s="12"/>
      <x:c r="N454" s="10"/>
    </x:row>
    <x:row r="455" ht="25" customHeight="1">
      <x:c r="A455" s="9" t="str">
        <x:v>QA-ROB-005</x:v>
      </x:c>
      <x:c r="B455" s="9" t="str">
        <x:v>ROB</x:v>
      </x:c>
      <x:c r="C455" s="9" t="str">
        <x:v>Retest de defectos y regresión</x:v>
      </x:c>
      <x:c r="D455" s="9" t="str">
        <x:v>P0</x:v>
      </x:c>
      <x:c r="E455" s="9" t="str">
        <x:v>Positiva</x:v>
      </x:c>
      <x:c r="F455" s="9" t="str">
        <x:v>Navegador + HTTP + persistencia</x:v>
      </x:c>
      <x:c r="G455" s="10" t="str">
        <x:v>Pendiente</x:v>
      </x:c>
      <x:c r="H455" s="10"/>
      <x:c r="I455" s="10"/>
      <x:c r="J455" s="10"/>
      <x:c r="K455" s="10"/>
      <x:c r="L455" s="11"/>
      <x:c r="M455" s="12"/>
      <x:c r="N455" s="10"/>
    </x:row>
    <x:row r="456" ht="25" customHeight="1">
      <x:c r="A456" s="9" t="str">
        <x:v>QA-ROB-006</x:v>
      </x:c>
      <x:c r="B456" s="9" t="str">
        <x:v>ROB</x:v>
      </x:c>
      <x:c r="C456" s="9" t="str">
        <x:v>Informe final y conteos</x:v>
      </x:c>
      <x:c r="D456" s="9" t="str">
        <x:v>P0</x:v>
      </x:c>
      <x:c r="E456" s="9" t="str">
        <x:v>Positiva</x:v>
      </x:c>
      <x:c r="F456" s="9" t="str">
        <x:v>Navegador + HTTP + persistencia</x:v>
      </x:c>
      <x:c r="G456" s="10" t="str">
        <x:v>Pendiente</x:v>
      </x:c>
      <x:c r="H456" s="10"/>
      <x:c r="I456" s="10"/>
      <x:c r="J456" s="10"/>
      <x:c r="K456" s="10"/>
      <x:c r="L456" s="11"/>
      <x:c r="M456" s="12"/>
      <x:c r="N456" s="10"/>
    </x:row>
    <x:row r="457" ht="25" customHeight="1">
      <x:c r="A457" s="9" t="str">
        <x:v>QA-MAT-001</x:v>
      </x:c>
      <x:c r="B457" s="9" t="str">
        <x:v>MAT</x:v>
      </x:c>
      <x:c r="C457" s="9" t="str">
        <x:v>Comprobantes web / 01 / identidad 0 Doc.sin.rif</x:v>
      </x:c>
      <x:c r="D457" s="9" t="str">
        <x:v>P1</x:v>
      </x:c>
      <x:c r="E457" s="9" t="str">
        <x:v>Positiva</x:v>
      </x:c>
      <x:c r="F457" s="9" t="str">
        <x:v>Navegador + HTTP + persistencia</x:v>
      </x:c>
      <x:c r="G457" s="10" t="str">
        <x:v>Pendiente</x:v>
      </x:c>
      <x:c r="H457" s="10"/>
      <x:c r="I457" s="10"/>
      <x:c r="J457" s="10"/>
      <x:c r="K457" s="10"/>
      <x:c r="L457" s="11"/>
      <x:c r="M457" s="12"/>
      <x:c r="N457" s="10"/>
    </x:row>
    <x:row r="458" ht="25" customHeight="1">
      <x:c r="A458" s="9" t="str">
        <x:v>QA-MAT-002</x:v>
      </x:c>
      <x:c r="B458" s="9" t="str">
        <x:v>MAT</x:v>
      </x:c>
      <x:c r="C458" s="9" t="str">
        <x:v>Comprobantes web / 01 / identidad 1 Venezolano</x:v>
      </x:c>
      <x:c r="D458" s="9" t="str">
        <x:v>P1</x:v>
      </x:c>
      <x:c r="E458" s="9" t="str">
        <x:v>Positiva</x:v>
      </x:c>
      <x:c r="F458" s="9" t="str">
        <x:v>Navegador + HTTP + persistencia</x:v>
      </x:c>
      <x:c r="G458" s="10" t="str">
        <x:v>Pendiente</x:v>
      </x:c>
      <x:c r="H458" s="10"/>
      <x:c r="I458" s="10"/>
      <x:c r="J458" s="10"/>
      <x:c r="K458" s="10"/>
      <x:c r="L458" s="11"/>
      <x:c r="M458" s="12"/>
      <x:c r="N458" s="10"/>
    </x:row>
    <x:row r="459" ht="25" customHeight="1">
      <x:c r="A459" s="9" t="str">
        <x:v>QA-MAT-003</x:v>
      </x:c>
      <x:c r="B459" s="9" t="str">
        <x:v>MAT</x:v>
      </x:c>
      <x:c r="C459" s="9" t="str">
        <x:v>Comprobantes web / 01 / identidad 6 Juridico</x:v>
      </x:c>
      <x:c r="D459" s="9" t="str">
        <x:v>P1</x:v>
      </x:c>
      <x:c r="E459" s="9" t="str">
        <x:v>Positiva</x:v>
      </x:c>
      <x:c r="F459" s="9" t="str">
        <x:v>Navegador + HTTP + persistencia</x:v>
      </x:c>
      <x:c r="G459" s="10" t="str">
        <x:v>Pendiente</x:v>
      </x:c>
      <x:c r="H459" s="10"/>
      <x:c r="I459" s="10"/>
      <x:c r="J459" s="10"/>
      <x:c r="K459" s="10"/>
      <x:c r="L459" s="11"/>
      <x:c r="M459" s="12"/>
      <x:c r="N459" s="10"/>
    </x:row>
    <x:row r="460" ht="25" customHeight="1">
      <x:c r="A460" s="9" t="str">
        <x:v>QA-MAT-004</x:v>
      </x:c>
      <x:c r="B460" s="9" t="str">
        <x:v>MAT</x:v>
      </x:c>
      <x:c r="C460" s="9" t="str">
        <x:v>Comprobantes web / 01 / identidad 7 Pasaporte</x:v>
      </x:c>
      <x:c r="D460" s="9" t="str">
        <x:v>P1</x:v>
      </x:c>
      <x:c r="E460" s="9" t="str">
        <x:v>Positiva</x:v>
      </x:c>
      <x:c r="F460" s="9" t="str">
        <x:v>Navegador + HTTP + persistencia</x:v>
      </x:c>
      <x:c r="G460" s="10" t="str">
        <x:v>Pendiente</x:v>
      </x:c>
      <x:c r="H460" s="10"/>
      <x:c r="I460" s="10"/>
      <x:c r="J460" s="10"/>
      <x:c r="K460" s="10"/>
      <x:c r="L460" s="11"/>
      <x:c r="M460" s="12"/>
      <x:c r="N460" s="10"/>
    </x:row>
    <x:row r="461" ht="25" customHeight="1">
      <x:c r="A461" s="9" t="str">
        <x:v>QA-MAT-005</x:v>
      </x:c>
      <x:c r="B461" s="9" t="str">
        <x:v>MAT</x:v>
      </x:c>
      <x:c r="C461" s="9" t="str">
        <x:v>Comprobantes web / 01 / identidad E Extranjero</x:v>
      </x:c>
      <x:c r="D461" s="9" t="str">
        <x:v>P1</x:v>
      </x:c>
      <x:c r="E461" s="9" t="str">
        <x:v>Positiva</x:v>
      </x:c>
      <x:c r="F461" s="9" t="str">
        <x:v>Navegador + HTTP + persistencia</x:v>
      </x:c>
      <x:c r="G461" s="10" t="str">
        <x:v>Pendiente</x:v>
      </x:c>
      <x:c r="H461" s="10"/>
      <x:c r="I461" s="10"/>
      <x:c r="J461" s="10"/>
      <x:c r="K461" s="10"/>
      <x:c r="L461" s="11"/>
      <x:c r="M461" s="12"/>
      <x:c r="N461" s="10"/>
    </x:row>
    <x:row r="462" ht="25" customHeight="1">
      <x:c r="A462" s="9" t="str">
        <x:v>QA-MAT-006</x:v>
      </x:c>
      <x:c r="B462" s="9" t="str">
        <x:v>MAT</x:v>
      </x:c>
      <x:c r="C462" s="9" t="str">
        <x:v>Comprobantes web / 01 / identidad C Comuna</x:v>
      </x:c>
      <x:c r="D462" s="9" t="str">
        <x:v>P1</x:v>
      </x:c>
      <x:c r="E462" s="9" t="str">
        <x:v>Positiva</x:v>
      </x:c>
      <x:c r="F462" s="9" t="str">
        <x:v>Navegador + HTTP + persistencia</x:v>
      </x:c>
      <x:c r="G462" s="10" t="str">
        <x:v>Pendiente</x:v>
      </x:c>
      <x:c r="H462" s="10"/>
      <x:c r="I462" s="10"/>
      <x:c r="J462" s="10"/>
      <x:c r="K462" s="10"/>
      <x:c r="L462" s="11"/>
      <x:c r="M462" s="12"/>
      <x:c r="N462" s="10"/>
    </x:row>
    <x:row r="463" ht="25" customHeight="1">
      <x:c r="A463" s="9" t="str">
        <x:v>QA-MAT-007</x:v>
      </x:c>
      <x:c r="B463" s="9" t="str">
        <x:v>MAT</x:v>
      </x:c>
      <x:c r="C463" s="9" t="str">
        <x:v>Comprobantes web / 01 / identidad G Gubernamental</x:v>
      </x:c>
      <x:c r="D463" s="9" t="str">
        <x:v>P1</x:v>
      </x:c>
      <x:c r="E463" s="9" t="str">
        <x:v>Positiva</x:v>
      </x:c>
      <x:c r="F463" s="9" t="str">
        <x:v>Navegador + HTTP + persistencia</x:v>
      </x:c>
      <x:c r="G463" s="10" t="str">
        <x:v>Pendiente</x:v>
      </x:c>
      <x:c r="H463" s="10"/>
      <x:c r="I463" s="10"/>
      <x:c r="J463" s="10"/>
      <x:c r="K463" s="10"/>
      <x:c r="L463" s="11"/>
      <x:c r="M463" s="12"/>
      <x:c r="N463" s="10"/>
    </x:row>
    <x:row r="464" ht="25" customHeight="1">
      <x:c r="A464" s="9" t="str">
        <x:v>QA-MAT-008</x:v>
      </x:c>
      <x:c r="B464" s="9" t="str">
        <x:v>MAT</x:v>
      </x:c>
      <x:c r="C464" s="9" t="str">
        <x:v>Comprobantes web / 01 / identidad R Firma Personal</x:v>
      </x:c>
      <x:c r="D464" s="9" t="str">
        <x:v>P1</x:v>
      </x:c>
      <x:c r="E464" s="9" t="str">
        <x:v>Positiva</x:v>
      </x:c>
      <x:c r="F464" s="9" t="str">
        <x:v>Navegador + HTTP + persistencia</x:v>
      </x:c>
      <x:c r="G464" s="10" t="str">
        <x:v>Pendiente</x:v>
      </x:c>
      <x:c r="H464" s="10"/>
      <x:c r="I464" s="10"/>
      <x:c r="J464" s="10"/>
      <x:c r="K464" s="10"/>
      <x:c r="L464" s="11"/>
      <x:c r="M464" s="12"/>
      <x:c r="N464" s="10"/>
    </x:row>
    <x:row r="465" ht="25" customHeight="1">
      <x:c r="A465" s="9" t="str">
        <x:v>QA-MAT-009</x:v>
      </x:c>
      <x:c r="B465" s="9" t="str">
        <x:v>MAT</x:v>
      </x:c>
      <x:c r="C465" s="9" t="str">
        <x:v>Comprobantes web / 80 / identidad 0 Doc.sin.rif</x:v>
      </x:c>
      <x:c r="D465" s="9" t="str">
        <x:v>P1</x:v>
      </x:c>
      <x:c r="E465" s="9" t="str">
        <x:v>Positiva</x:v>
      </x:c>
      <x:c r="F465" s="9" t="str">
        <x:v>Navegador + HTTP + persistencia</x:v>
      </x:c>
      <x:c r="G465" s="10" t="str">
        <x:v>Pendiente</x:v>
      </x:c>
      <x:c r="H465" s="10"/>
      <x:c r="I465" s="10"/>
      <x:c r="J465" s="10"/>
      <x:c r="K465" s="10"/>
      <x:c r="L465" s="11"/>
      <x:c r="M465" s="12"/>
      <x:c r="N465" s="10"/>
    </x:row>
    <x:row r="466" ht="25" customHeight="1">
      <x:c r="A466" s="9" t="str">
        <x:v>QA-MAT-010</x:v>
      </x:c>
      <x:c r="B466" s="9" t="str">
        <x:v>MAT</x:v>
      </x:c>
      <x:c r="C466" s="9" t="str">
        <x:v>Comprobantes web / 80 / identidad 1 Venezolano</x:v>
      </x:c>
      <x:c r="D466" s="9" t="str">
        <x:v>P1</x:v>
      </x:c>
      <x:c r="E466" s="9" t="str">
        <x:v>Positiva</x:v>
      </x:c>
      <x:c r="F466" s="9" t="str">
        <x:v>Navegador + HTTP + persistencia</x:v>
      </x:c>
      <x:c r="G466" s="10" t="str">
        <x:v>Pendiente</x:v>
      </x:c>
      <x:c r="H466" s="10"/>
      <x:c r="I466" s="10"/>
      <x:c r="J466" s="10"/>
      <x:c r="K466" s="10"/>
      <x:c r="L466" s="11"/>
      <x:c r="M466" s="12"/>
      <x:c r="N466" s="10"/>
    </x:row>
    <x:row r="467" ht="25" customHeight="1">
      <x:c r="A467" s="9" t="str">
        <x:v>QA-MAT-011</x:v>
      </x:c>
      <x:c r="B467" s="9" t="str">
        <x:v>MAT</x:v>
      </x:c>
      <x:c r="C467" s="9" t="str">
        <x:v>Comprobantes web / 80 / identidad 6 Juridico</x:v>
      </x:c>
      <x:c r="D467" s="9" t="str">
        <x:v>P1</x:v>
      </x:c>
      <x:c r="E467" s="9" t="str">
        <x:v>Positiva</x:v>
      </x:c>
      <x:c r="F467" s="9" t="str">
        <x:v>Navegador + HTTP + persistencia</x:v>
      </x:c>
      <x:c r="G467" s="10" t="str">
        <x:v>Pendiente</x:v>
      </x:c>
      <x:c r="H467" s="10"/>
      <x:c r="I467" s="10"/>
      <x:c r="J467" s="10"/>
      <x:c r="K467" s="10"/>
      <x:c r="L467" s="11"/>
      <x:c r="M467" s="12"/>
      <x:c r="N467" s="10"/>
    </x:row>
    <x:row r="468" ht="25" customHeight="1">
      <x:c r="A468" s="9" t="str">
        <x:v>QA-MAT-012</x:v>
      </x:c>
      <x:c r="B468" s="9" t="str">
        <x:v>MAT</x:v>
      </x:c>
      <x:c r="C468" s="9" t="str">
        <x:v>Comprobantes web / 80 / identidad 7 Pasaporte</x:v>
      </x:c>
      <x:c r="D468" s="9" t="str">
        <x:v>P1</x:v>
      </x:c>
      <x:c r="E468" s="9" t="str">
        <x:v>Positiva</x:v>
      </x:c>
      <x:c r="F468" s="9" t="str">
        <x:v>Navegador + HTTP + persistencia</x:v>
      </x:c>
      <x:c r="G468" s="10" t="str">
        <x:v>Pendiente</x:v>
      </x:c>
      <x:c r="H468" s="10"/>
      <x:c r="I468" s="10"/>
      <x:c r="J468" s="10"/>
      <x:c r="K468" s="10"/>
      <x:c r="L468" s="11"/>
      <x:c r="M468" s="12"/>
      <x:c r="N468" s="10"/>
    </x:row>
    <x:row r="469" ht="25" customHeight="1">
      <x:c r="A469" s="9" t="str">
        <x:v>QA-MAT-013</x:v>
      </x:c>
      <x:c r="B469" s="9" t="str">
        <x:v>MAT</x:v>
      </x:c>
      <x:c r="C469" s="9" t="str">
        <x:v>Comprobantes web / 80 / identidad E Extranjero</x:v>
      </x:c>
      <x:c r="D469" s="9" t="str">
        <x:v>P1</x:v>
      </x:c>
      <x:c r="E469" s="9" t="str">
        <x:v>Positiva</x:v>
      </x:c>
      <x:c r="F469" s="9" t="str">
        <x:v>Navegador + HTTP + persistencia</x:v>
      </x:c>
      <x:c r="G469" s="10" t="str">
        <x:v>Pendiente</x:v>
      </x:c>
      <x:c r="H469" s="10"/>
      <x:c r="I469" s="10"/>
      <x:c r="J469" s="10"/>
      <x:c r="K469" s="10"/>
      <x:c r="L469" s="11"/>
      <x:c r="M469" s="12"/>
      <x:c r="N469" s="10"/>
    </x:row>
    <x:row r="470" ht="25" customHeight="1">
      <x:c r="A470" s="9" t="str">
        <x:v>QA-MAT-014</x:v>
      </x:c>
      <x:c r="B470" s="9" t="str">
        <x:v>MAT</x:v>
      </x:c>
      <x:c r="C470" s="9" t="str">
        <x:v>Comprobantes web / 80 / identidad C Comuna</x:v>
      </x:c>
      <x:c r="D470" s="9" t="str">
        <x:v>P1</x:v>
      </x:c>
      <x:c r="E470" s="9" t="str">
        <x:v>Positiva</x:v>
      </x:c>
      <x:c r="F470" s="9" t="str">
        <x:v>Navegador + HTTP + persistencia</x:v>
      </x:c>
      <x:c r="G470" s="10" t="str">
        <x:v>Pendiente</x:v>
      </x:c>
      <x:c r="H470" s="10"/>
      <x:c r="I470" s="10"/>
      <x:c r="J470" s="10"/>
      <x:c r="K470" s="10"/>
      <x:c r="L470" s="11"/>
      <x:c r="M470" s="12"/>
      <x:c r="N470" s="10"/>
    </x:row>
    <x:row r="471" ht="25" customHeight="1">
      <x:c r="A471" s="9" t="str">
        <x:v>QA-MAT-015</x:v>
      </x:c>
      <x:c r="B471" s="9" t="str">
        <x:v>MAT</x:v>
      </x:c>
      <x:c r="C471" s="9" t="str">
        <x:v>Comprobantes web / 80 / identidad G Gubernamental</x:v>
      </x:c>
      <x:c r="D471" s="9" t="str">
        <x:v>P1</x:v>
      </x:c>
      <x:c r="E471" s="9" t="str">
        <x:v>Positiva</x:v>
      </x:c>
      <x:c r="F471" s="9" t="str">
        <x:v>Navegador + HTTP + persistencia</x:v>
      </x:c>
      <x:c r="G471" s="10" t="str">
        <x:v>Pendiente</x:v>
      </x:c>
      <x:c r="H471" s="10"/>
      <x:c r="I471" s="10"/>
      <x:c r="J471" s="10"/>
      <x:c r="K471" s="10"/>
      <x:c r="L471" s="11"/>
      <x:c r="M471" s="12"/>
      <x:c r="N471" s="10"/>
    </x:row>
    <x:row r="472" ht="25" customHeight="1">
      <x:c r="A472" s="9" t="str">
        <x:v>QA-MAT-016</x:v>
      </x:c>
      <x:c r="B472" s="9" t="str">
        <x:v>MAT</x:v>
      </x:c>
      <x:c r="C472" s="9" t="str">
        <x:v>Comprobantes web / 80 / identidad R Firma Personal</x:v>
      </x:c>
      <x:c r="D472" s="9" t="str">
        <x:v>P1</x:v>
      </x:c>
      <x:c r="E472" s="9" t="str">
        <x:v>Positiva</x:v>
      </x:c>
      <x:c r="F472" s="9" t="str">
        <x:v>Navegador + HTTP + persistencia</x:v>
      </x:c>
      <x:c r="G472" s="10" t="str">
        <x:v>Pendiente</x:v>
      </x:c>
      <x:c r="H472" s="10"/>
      <x:c r="I472" s="10"/>
      <x:c r="J472" s="10"/>
      <x:c r="K472" s="10"/>
      <x:c r="L472" s="11"/>
      <x:c r="M472" s="12"/>
      <x:c r="N472" s="10"/>
    </x:row>
    <x:row r="473" ht="25" customHeight="1">
      <x:c r="A473" s="9" t="str">
        <x:v>QA-MAT-017</x:v>
      </x:c>
      <x:c r="B473" s="9" t="str">
        <x:v>MAT</x:v>
      </x:c>
      <x:c r="C473" s="9" t="str">
        <x:v>POS / 01 / identidad 0 Doc.sin.rif</x:v>
      </x:c>
      <x:c r="D473" s="9" t="str">
        <x:v>P1</x:v>
      </x:c>
      <x:c r="E473" s="9" t="str">
        <x:v>Positiva</x:v>
      </x:c>
      <x:c r="F473" s="9" t="str">
        <x:v>Navegador + HTTP + persistencia</x:v>
      </x:c>
      <x:c r="G473" s="10" t="str">
        <x:v>Pendiente</x:v>
      </x:c>
      <x:c r="H473" s="10"/>
      <x:c r="I473" s="10"/>
      <x:c r="J473" s="10"/>
      <x:c r="K473" s="10"/>
      <x:c r="L473" s="11"/>
      <x:c r="M473" s="12"/>
      <x:c r="N473" s="10"/>
    </x:row>
    <x:row r="474" ht="25" customHeight="1">
      <x:c r="A474" s="9" t="str">
        <x:v>QA-MAT-018</x:v>
      </x:c>
      <x:c r="B474" s="9" t="str">
        <x:v>MAT</x:v>
      </x:c>
      <x:c r="C474" s="9" t="str">
        <x:v>POS / 01 / identidad 1 Venezolano</x:v>
      </x:c>
      <x:c r="D474" s="9" t="str">
        <x:v>P1</x:v>
      </x:c>
      <x:c r="E474" s="9" t="str">
        <x:v>Positiva</x:v>
      </x:c>
      <x:c r="F474" s="9" t="str">
        <x:v>Navegador + HTTP + persistencia</x:v>
      </x:c>
      <x:c r="G474" s="10" t="str">
        <x:v>Pendiente</x:v>
      </x:c>
      <x:c r="H474" s="10"/>
      <x:c r="I474" s="10"/>
      <x:c r="J474" s="10"/>
      <x:c r="K474" s="10"/>
      <x:c r="L474" s="11"/>
      <x:c r="M474" s="12"/>
      <x:c r="N474" s="10"/>
    </x:row>
    <x:row r="475" ht="25" customHeight="1">
      <x:c r="A475" s="9" t="str">
        <x:v>QA-MAT-019</x:v>
      </x:c>
      <x:c r="B475" s="9" t="str">
        <x:v>MAT</x:v>
      </x:c>
      <x:c r="C475" s="9" t="str">
        <x:v>POS / 01 / identidad 6 Juridico</x:v>
      </x:c>
      <x:c r="D475" s="9" t="str">
        <x:v>P1</x:v>
      </x:c>
      <x:c r="E475" s="9" t="str">
        <x:v>Positiva</x:v>
      </x:c>
      <x:c r="F475" s="9" t="str">
        <x:v>Navegador + HTTP + persistencia</x:v>
      </x:c>
      <x:c r="G475" s="10" t="str">
        <x:v>Pendiente</x:v>
      </x:c>
      <x:c r="H475" s="10"/>
      <x:c r="I475" s="10"/>
      <x:c r="J475" s="10"/>
      <x:c r="K475" s="10"/>
      <x:c r="L475" s="11"/>
      <x:c r="M475" s="12"/>
      <x:c r="N475" s="10"/>
    </x:row>
    <x:row r="476" ht="25" customHeight="1">
      <x:c r="A476" s="9" t="str">
        <x:v>QA-MAT-020</x:v>
      </x:c>
      <x:c r="B476" s="9" t="str">
        <x:v>MAT</x:v>
      </x:c>
      <x:c r="C476" s="9" t="str">
        <x:v>POS / 01 / identidad 7 Pasaporte</x:v>
      </x:c>
      <x:c r="D476" s="9" t="str">
        <x:v>P1</x:v>
      </x:c>
      <x:c r="E476" s="9" t="str">
        <x:v>Positiva</x:v>
      </x:c>
      <x:c r="F476" s="9" t="str">
        <x:v>Navegador + HTTP + persistencia</x:v>
      </x:c>
      <x:c r="G476" s="10" t="str">
        <x:v>Pendiente</x:v>
      </x:c>
      <x:c r="H476" s="10"/>
      <x:c r="I476" s="10"/>
      <x:c r="J476" s="10"/>
      <x:c r="K476" s="10"/>
      <x:c r="L476" s="11"/>
      <x:c r="M476" s="12"/>
      <x:c r="N476" s="10"/>
    </x:row>
    <x:row r="477" ht="25" customHeight="1">
      <x:c r="A477" s="9" t="str">
        <x:v>QA-MAT-021</x:v>
      </x:c>
      <x:c r="B477" s="9" t="str">
        <x:v>MAT</x:v>
      </x:c>
      <x:c r="C477" s="9" t="str">
        <x:v>POS / 01 / identidad E Extranjero</x:v>
      </x:c>
      <x:c r="D477" s="9" t="str">
        <x:v>P1</x:v>
      </x:c>
      <x:c r="E477" s="9" t="str">
        <x:v>Positiva</x:v>
      </x:c>
      <x:c r="F477" s="9" t="str">
        <x:v>Navegador + HTTP + persistencia</x:v>
      </x:c>
      <x:c r="G477" s="10" t="str">
        <x:v>Pendiente</x:v>
      </x:c>
      <x:c r="H477" s="10"/>
      <x:c r="I477" s="10"/>
      <x:c r="J477" s="10"/>
      <x:c r="K477" s="10"/>
      <x:c r="L477" s="11"/>
      <x:c r="M477" s="12"/>
      <x:c r="N477" s="10"/>
    </x:row>
    <x:row r="478" ht="25" customHeight="1">
      <x:c r="A478" s="9" t="str">
        <x:v>QA-MAT-022</x:v>
      </x:c>
      <x:c r="B478" s="9" t="str">
        <x:v>MAT</x:v>
      </x:c>
      <x:c r="C478" s="9" t="str">
        <x:v>POS / 01 / identidad C Comuna</x:v>
      </x:c>
      <x:c r="D478" s="9" t="str">
        <x:v>P1</x:v>
      </x:c>
      <x:c r="E478" s="9" t="str">
        <x:v>Positiva</x:v>
      </x:c>
      <x:c r="F478" s="9" t="str">
        <x:v>Navegador + HTTP + persistencia</x:v>
      </x:c>
      <x:c r="G478" s="10" t="str">
        <x:v>Pendiente</x:v>
      </x:c>
      <x:c r="H478" s="10"/>
      <x:c r="I478" s="10"/>
      <x:c r="J478" s="10"/>
      <x:c r="K478" s="10"/>
      <x:c r="L478" s="11"/>
      <x:c r="M478" s="12"/>
      <x:c r="N478" s="10"/>
    </x:row>
    <x:row r="479" ht="25" customHeight="1">
      <x:c r="A479" s="9" t="str">
        <x:v>QA-MAT-023</x:v>
      </x:c>
      <x:c r="B479" s="9" t="str">
        <x:v>MAT</x:v>
      </x:c>
      <x:c r="C479" s="9" t="str">
        <x:v>POS / 01 / identidad G Gubernamental</x:v>
      </x:c>
      <x:c r="D479" s="9" t="str">
        <x:v>P1</x:v>
      </x:c>
      <x:c r="E479" s="9" t="str">
        <x:v>Positiva</x:v>
      </x:c>
      <x:c r="F479" s="9" t="str">
        <x:v>Navegador + HTTP + persistencia</x:v>
      </x:c>
      <x:c r="G479" s="10" t="str">
        <x:v>Pendiente</x:v>
      </x:c>
      <x:c r="H479" s="10"/>
      <x:c r="I479" s="10"/>
      <x:c r="J479" s="10"/>
      <x:c r="K479" s="10"/>
      <x:c r="L479" s="11"/>
      <x:c r="M479" s="12"/>
      <x:c r="N479" s="10"/>
    </x:row>
    <x:row r="480" ht="25" customHeight="1">
      <x:c r="A480" s="9" t="str">
        <x:v>QA-MAT-024</x:v>
      </x:c>
      <x:c r="B480" s="9" t="str">
        <x:v>MAT</x:v>
      </x:c>
      <x:c r="C480" s="9" t="str">
        <x:v>POS / 01 / identidad R Firma Personal</x:v>
      </x:c>
      <x:c r="D480" s="9" t="str">
        <x:v>P1</x:v>
      </x:c>
      <x:c r="E480" s="9" t="str">
        <x:v>Positiva</x:v>
      </x:c>
      <x:c r="F480" s="9" t="str">
        <x:v>Navegador + HTTP + persistencia</x:v>
      </x:c>
      <x:c r="G480" s="10" t="str">
        <x:v>Pendiente</x:v>
      </x:c>
      <x:c r="H480" s="10"/>
      <x:c r="I480" s="10"/>
      <x:c r="J480" s="10"/>
      <x:c r="K480" s="10"/>
      <x:c r="L480" s="11"/>
      <x:c r="M480" s="12"/>
      <x:c r="N480" s="10"/>
    </x:row>
    <x:row r="481" ht="25" customHeight="1">
      <x:c r="A481" s="9" t="str">
        <x:v>QA-MAT-025</x:v>
      </x:c>
      <x:c r="B481" s="9" t="str">
        <x:v>MAT</x:v>
      </x:c>
      <x:c r="C481" s="9" t="str">
        <x:v>POS / 80 / identidad 0 Doc.sin.rif</x:v>
      </x:c>
      <x:c r="D481" s="9" t="str">
        <x:v>P1</x:v>
      </x:c>
      <x:c r="E481" s="9" t="str">
        <x:v>Positiva</x:v>
      </x:c>
      <x:c r="F481" s="9" t="str">
        <x:v>Navegador + HTTP + persistencia</x:v>
      </x:c>
      <x:c r="G481" s="10" t="str">
        <x:v>Pendiente</x:v>
      </x:c>
      <x:c r="H481" s="10"/>
      <x:c r="I481" s="10"/>
      <x:c r="J481" s="10"/>
      <x:c r="K481" s="10"/>
      <x:c r="L481" s="11"/>
      <x:c r="M481" s="12"/>
      <x:c r="N481" s="10"/>
    </x:row>
    <x:row r="482" ht="25" customHeight="1">
      <x:c r="A482" s="9" t="str">
        <x:v>QA-MAT-026</x:v>
      </x:c>
      <x:c r="B482" s="9" t="str">
        <x:v>MAT</x:v>
      </x:c>
      <x:c r="C482" s="9" t="str">
        <x:v>POS / 80 / identidad 1 Venezolano</x:v>
      </x:c>
      <x:c r="D482" s="9" t="str">
        <x:v>P1</x:v>
      </x:c>
      <x:c r="E482" s="9" t="str">
        <x:v>Positiva</x:v>
      </x:c>
      <x:c r="F482" s="9" t="str">
        <x:v>Navegador + HTTP + persistencia</x:v>
      </x:c>
      <x:c r="G482" s="10" t="str">
        <x:v>Pendiente</x:v>
      </x:c>
      <x:c r="H482" s="10"/>
      <x:c r="I482" s="10"/>
      <x:c r="J482" s="10"/>
      <x:c r="K482" s="10"/>
      <x:c r="L482" s="11"/>
      <x:c r="M482" s="12"/>
      <x:c r="N482" s="10"/>
    </x:row>
    <x:row r="483" ht="25" customHeight="1">
      <x:c r="A483" s="9" t="str">
        <x:v>QA-MAT-027</x:v>
      </x:c>
      <x:c r="B483" s="9" t="str">
        <x:v>MAT</x:v>
      </x:c>
      <x:c r="C483" s="9" t="str">
        <x:v>POS / 80 / identidad 6 Juridico</x:v>
      </x:c>
      <x:c r="D483" s="9" t="str">
        <x:v>P1</x:v>
      </x:c>
      <x:c r="E483" s="9" t="str">
        <x:v>Positiva</x:v>
      </x:c>
      <x:c r="F483" s="9" t="str">
        <x:v>Navegador + HTTP + persistencia</x:v>
      </x:c>
      <x:c r="G483" s="10" t="str">
        <x:v>Pendiente</x:v>
      </x:c>
      <x:c r="H483" s="10"/>
      <x:c r="I483" s="10"/>
      <x:c r="J483" s="10"/>
      <x:c r="K483" s="10"/>
      <x:c r="L483" s="11"/>
      <x:c r="M483" s="12"/>
      <x:c r="N483" s="10"/>
    </x:row>
    <x:row r="484" ht="25" customHeight="1">
      <x:c r="A484" s="9" t="str">
        <x:v>QA-MAT-028</x:v>
      </x:c>
      <x:c r="B484" s="9" t="str">
        <x:v>MAT</x:v>
      </x:c>
      <x:c r="C484" s="9" t="str">
        <x:v>POS / 80 / identidad 7 Pasaporte</x:v>
      </x:c>
      <x:c r="D484" s="9" t="str">
        <x:v>P1</x:v>
      </x:c>
      <x:c r="E484" s="9" t="str">
        <x:v>Positiva</x:v>
      </x:c>
      <x:c r="F484" s="9" t="str">
        <x:v>Navegador + HTTP + persistencia</x:v>
      </x:c>
      <x:c r="G484" s="10" t="str">
        <x:v>Pendiente</x:v>
      </x:c>
      <x:c r="H484" s="10"/>
      <x:c r="I484" s="10"/>
      <x:c r="J484" s="10"/>
      <x:c r="K484" s="10"/>
      <x:c r="L484" s="11"/>
      <x:c r="M484" s="12"/>
      <x:c r="N484" s="10"/>
    </x:row>
    <x:row r="485" ht="25" customHeight="1">
      <x:c r="A485" s="9" t="str">
        <x:v>QA-MAT-029</x:v>
      </x:c>
      <x:c r="B485" s="9" t="str">
        <x:v>MAT</x:v>
      </x:c>
      <x:c r="C485" s="9" t="str">
        <x:v>POS / 80 / identidad E Extranjero</x:v>
      </x:c>
      <x:c r="D485" s="9" t="str">
        <x:v>P1</x:v>
      </x:c>
      <x:c r="E485" s="9" t="str">
        <x:v>Positiva</x:v>
      </x:c>
      <x:c r="F485" s="9" t="str">
        <x:v>Navegador + HTTP + persistencia</x:v>
      </x:c>
      <x:c r="G485" s="10" t="str">
        <x:v>Pendiente</x:v>
      </x:c>
      <x:c r="H485" s="10"/>
      <x:c r="I485" s="10"/>
      <x:c r="J485" s="10"/>
      <x:c r="K485" s="10"/>
      <x:c r="L485" s="11"/>
      <x:c r="M485" s="12"/>
      <x:c r="N485" s="10"/>
    </x:row>
    <x:row r="486" ht="25" customHeight="1">
      <x:c r="A486" s="9" t="str">
        <x:v>QA-MAT-030</x:v>
      </x:c>
      <x:c r="B486" s="9" t="str">
        <x:v>MAT</x:v>
      </x:c>
      <x:c r="C486" s="9" t="str">
        <x:v>POS / 80 / identidad C Comuna</x:v>
      </x:c>
      <x:c r="D486" s="9" t="str">
        <x:v>P1</x:v>
      </x:c>
      <x:c r="E486" s="9" t="str">
        <x:v>Positiva</x:v>
      </x:c>
      <x:c r="F486" s="9" t="str">
        <x:v>Navegador + HTTP + persistencia</x:v>
      </x:c>
      <x:c r="G486" s="10" t="str">
        <x:v>Pendiente</x:v>
      </x:c>
      <x:c r="H486" s="10"/>
      <x:c r="I486" s="10"/>
      <x:c r="J486" s="10"/>
      <x:c r="K486" s="10"/>
      <x:c r="L486" s="11"/>
      <x:c r="M486" s="12"/>
      <x:c r="N486" s="10"/>
    </x:row>
    <x:row r="487" ht="25" customHeight="1">
      <x:c r="A487" s="9" t="str">
        <x:v>QA-MAT-031</x:v>
      </x:c>
      <x:c r="B487" s="9" t="str">
        <x:v>MAT</x:v>
      </x:c>
      <x:c r="C487" s="9" t="str">
        <x:v>POS / 80 / identidad G Gubernamental</x:v>
      </x:c>
      <x:c r="D487" s="9" t="str">
        <x:v>P1</x:v>
      </x:c>
      <x:c r="E487" s="9" t="str">
        <x:v>Positiva</x:v>
      </x:c>
      <x:c r="F487" s="9" t="str">
        <x:v>Navegador + HTTP + persistencia</x:v>
      </x:c>
      <x:c r="G487" s="10" t="str">
        <x:v>Pendiente</x:v>
      </x:c>
      <x:c r="H487" s="10"/>
      <x:c r="I487" s="10"/>
      <x:c r="J487" s="10"/>
      <x:c r="K487" s="10"/>
      <x:c r="L487" s="11"/>
      <x:c r="M487" s="12"/>
      <x:c r="N487" s="10"/>
    </x:row>
    <x:row r="488" ht="25" customHeight="1">
      <x:c r="A488" s="9" t="str">
        <x:v>QA-MAT-032</x:v>
      </x:c>
      <x:c r="B488" s="9" t="str">
        <x:v>MAT</x:v>
      </x:c>
      <x:c r="C488" s="9" t="str">
        <x:v>POS / 80 / identidad R Firma Personal</x:v>
      </x:c>
      <x:c r="D488" s="9" t="str">
        <x:v>P1</x:v>
      </x:c>
      <x:c r="E488" s="9" t="str">
        <x:v>Positiva</x:v>
      </x:c>
      <x:c r="F488" s="9" t="str">
        <x:v>Navegador + HTTP + persistencia</x:v>
      </x:c>
      <x:c r="G488" s="10" t="str">
        <x:v>Pendiente</x:v>
      </x:c>
      <x:c r="H488" s="10"/>
      <x:c r="I488" s="10"/>
      <x:c r="J488" s="10"/>
      <x:c r="K488" s="10"/>
      <x:c r="L488" s="11"/>
      <x:c r="M488" s="12"/>
      <x:c r="N488" s="10"/>
    </x:row>
    <x:row r="489" ht="25" customHeight="1">
      <x:c r="A489" s="9" t="str">
        <x:v>QA-MAT-033</x:v>
      </x:c>
      <x:c r="B489" s="9" t="str">
        <x:v>MAT</x:v>
      </x:c>
      <x:c r="C489" s="9" t="str">
        <x:v>Vende Ya / Garage / 01 / identidad 0 Doc.sin.rif</x:v>
      </x:c>
      <x:c r="D489" s="9" t="str">
        <x:v>P1</x:v>
      </x:c>
      <x:c r="E489" s="9" t="str">
        <x:v>Positiva</x:v>
      </x:c>
      <x:c r="F489" s="9" t="str">
        <x:v>Navegador + HTTP + persistencia</x:v>
      </x:c>
      <x:c r="G489" s="10" t="str">
        <x:v>Pendiente</x:v>
      </x:c>
      <x:c r="H489" s="10"/>
      <x:c r="I489" s="10"/>
      <x:c r="J489" s="10"/>
      <x:c r="K489" s="10"/>
      <x:c r="L489" s="11"/>
      <x:c r="M489" s="12"/>
      <x:c r="N489" s="10"/>
    </x:row>
    <x:row r="490" ht="25" customHeight="1">
      <x:c r="A490" s="9" t="str">
        <x:v>QA-MAT-034</x:v>
      </x:c>
      <x:c r="B490" s="9" t="str">
        <x:v>MAT</x:v>
      </x:c>
      <x:c r="C490" s="9" t="str">
        <x:v>Vende Ya / Garage / 01 / identidad 1 Venezolano</x:v>
      </x:c>
      <x:c r="D490" s="9" t="str">
        <x:v>P1</x:v>
      </x:c>
      <x:c r="E490" s="9" t="str">
        <x:v>Positiva</x:v>
      </x:c>
      <x:c r="F490" s="9" t="str">
        <x:v>Navegador + HTTP + persistencia</x:v>
      </x:c>
      <x:c r="G490" s="10" t="str">
        <x:v>Pendiente</x:v>
      </x:c>
      <x:c r="H490" s="10"/>
      <x:c r="I490" s="10"/>
      <x:c r="J490" s="10"/>
      <x:c r="K490" s="10"/>
      <x:c r="L490" s="11"/>
      <x:c r="M490" s="12"/>
      <x:c r="N490" s="10"/>
    </x:row>
    <x:row r="491" ht="25" customHeight="1">
      <x:c r="A491" s="9" t="str">
        <x:v>QA-MAT-035</x:v>
      </x:c>
      <x:c r="B491" s="9" t="str">
        <x:v>MAT</x:v>
      </x:c>
      <x:c r="C491" s="9" t="str">
        <x:v>Vende Ya / Garage / 01 / identidad 6 Juridico</x:v>
      </x:c>
      <x:c r="D491" s="9" t="str">
        <x:v>P1</x:v>
      </x:c>
      <x:c r="E491" s="9" t="str">
        <x:v>Positiva</x:v>
      </x:c>
      <x:c r="F491" s="9" t="str">
        <x:v>Navegador + HTTP + persistencia</x:v>
      </x:c>
      <x:c r="G491" s="10" t="str">
        <x:v>Pendiente</x:v>
      </x:c>
      <x:c r="H491" s="10"/>
      <x:c r="I491" s="10"/>
      <x:c r="J491" s="10"/>
      <x:c r="K491" s="10"/>
      <x:c r="L491" s="11"/>
      <x:c r="M491" s="12"/>
      <x:c r="N491" s="10"/>
    </x:row>
    <x:row r="492" ht="25" customHeight="1">
      <x:c r="A492" s="9" t="str">
        <x:v>QA-MAT-036</x:v>
      </x:c>
      <x:c r="B492" s="9" t="str">
        <x:v>MAT</x:v>
      </x:c>
      <x:c r="C492" s="9" t="str">
        <x:v>Vende Ya / Garage / 01 / identidad 7 Pasaporte</x:v>
      </x:c>
      <x:c r="D492" s="9" t="str">
        <x:v>P1</x:v>
      </x:c>
      <x:c r="E492" s="9" t="str">
        <x:v>Positiva</x:v>
      </x:c>
      <x:c r="F492" s="9" t="str">
        <x:v>Navegador + HTTP + persistencia</x:v>
      </x:c>
      <x:c r="G492" s="10" t="str">
        <x:v>Pendiente</x:v>
      </x:c>
      <x:c r="H492" s="10"/>
      <x:c r="I492" s="10"/>
      <x:c r="J492" s="10"/>
      <x:c r="K492" s="10"/>
      <x:c r="L492" s="11"/>
      <x:c r="M492" s="12"/>
      <x:c r="N492" s="10"/>
    </x:row>
    <x:row r="493" ht="25" customHeight="1">
      <x:c r="A493" s="9" t="str">
        <x:v>QA-MAT-037</x:v>
      </x:c>
      <x:c r="B493" s="9" t="str">
        <x:v>MAT</x:v>
      </x:c>
      <x:c r="C493" s="9" t="str">
        <x:v>Vende Ya / Garage / 01 / identidad E Extranjero</x:v>
      </x:c>
      <x:c r="D493" s="9" t="str">
        <x:v>P1</x:v>
      </x:c>
      <x:c r="E493" s="9" t="str">
        <x:v>Positiva</x:v>
      </x:c>
      <x:c r="F493" s="9" t="str">
        <x:v>Navegador + HTTP + persistencia</x:v>
      </x:c>
      <x:c r="G493" s="10" t="str">
        <x:v>Pendiente</x:v>
      </x:c>
      <x:c r="H493" s="10"/>
      <x:c r="I493" s="10"/>
      <x:c r="J493" s="10"/>
      <x:c r="K493" s="10"/>
      <x:c r="L493" s="11"/>
      <x:c r="M493" s="12"/>
      <x:c r="N493" s="10"/>
    </x:row>
    <x:row r="494" ht="25" customHeight="1">
      <x:c r="A494" s="9" t="str">
        <x:v>QA-MAT-038</x:v>
      </x:c>
      <x:c r="B494" s="9" t="str">
        <x:v>MAT</x:v>
      </x:c>
      <x:c r="C494" s="9" t="str">
        <x:v>Vende Ya / Garage / 01 / identidad C Comuna</x:v>
      </x:c>
      <x:c r="D494" s="9" t="str">
        <x:v>P1</x:v>
      </x:c>
      <x:c r="E494" s="9" t="str">
        <x:v>Positiva</x:v>
      </x:c>
      <x:c r="F494" s="9" t="str">
        <x:v>Navegador + HTTP + persistencia</x:v>
      </x:c>
      <x:c r="G494" s="10" t="str">
        <x:v>Pendiente</x:v>
      </x:c>
      <x:c r="H494" s="10"/>
      <x:c r="I494" s="10"/>
      <x:c r="J494" s="10"/>
      <x:c r="K494" s="10"/>
      <x:c r="L494" s="11"/>
      <x:c r="M494" s="12"/>
      <x:c r="N494" s="10"/>
    </x:row>
    <x:row r="495" ht="25" customHeight="1">
      <x:c r="A495" s="9" t="str">
        <x:v>QA-MAT-039</x:v>
      </x:c>
      <x:c r="B495" s="9" t="str">
        <x:v>MAT</x:v>
      </x:c>
      <x:c r="C495" s="9" t="str">
        <x:v>Vende Ya / Garage / 01 / identidad G Gubernamental</x:v>
      </x:c>
      <x:c r="D495" s="9" t="str">
        <x:v>P1</x:v>
      </x:c>
      <x:c r="E495" s="9" t="str">
        <x:v>Positiva</x:v>
      </x:c>
      <x:c r="F495" s="9" t="str">
        <x:v>Navegador + HTTP + persistencia</x:v>
      </x:c>
      <x:c r="G495" s="10" t="str">
        <x:v>Pendiente</x:v>
      </x:c>
      <x:c r="H495" s="10"/>
      <x:c r="I495" s="10"/>
      <x:c r="J495" s="10"/>
      <x:c r="K495" s="10"/>
      <x:c r="L495" s="11"/>
      <x:c r="M495" s="12"/>
      <x:c r="N495" s="10"/>
    </x:row>
    <x:row r="496" ht="25" customHeight="1">
      <x:c r="A496" s="9" t="str">
        <x:v>QA-MAT-040</x:v>
      </x:c>
      <x:c r="B496" s="9" t="str">
        <x:v>MAT</x:v>
      </x:c>
      <x:c r="C496" s="9" t="str">
        <x:v>Vende Ya / Garage / 01 / identidad R Firma Personal</x:v>
      </x:c>
      <x:c r="D496" s="9" t="str">
        <x:v>P1</x:v>
      </x:c>
      <x:c r="E496" s="9" t="str">
        <x:v>Positiva</x:v>
      </x:c>
      <x:c r="F496" s="9" t="str">
        <x:v>Navegador + HTTP + persistencia</x:v>
      </x:c>
      <x:c r="G496" s="10" t="str">
        <x:v>Pendiente</x:v>
      </x:c>
      <x:c r="H496" s="10"/>
      <x:c r="I496" s="10"/>
      <x:c r="J496" s="10"/>
      <x:c r="K496" s="10"/>
      <x:c r="L496" s="11"/>
      <x:c r="M496" s="12"/>
      <x:c r="N496" s="10"/>
    </x:row>
    <x:row r="497" ht="25" customHeight="1">
      <x:c r="A497" s="9" t="str">
        <x:v>QA-MAT-041</x:v>
      </x:c>
      <x:c r="B497" s="9" t="str">
        <x:v>MAT</x:v>
      </x:c>
      <x:c r="C497" s="9" t="str">
        <x:v>Vende Ya / Garage / 80 / identidad 0 Doc.sin.rif</x:v>
      </x:c>
      <x:c r="D497" s="9" t="str">
        <x:v>P1</x:v>
      </x:c>
      <x:c r="E497" s="9" t="str">
        <x:v>Positiva</x:v>
      </x:c>
      <x:c r="F497" s="9" t="str">
        <x:v>Navegador + HTTP + persistencia</x:v>
      </x:c>
      <x:c r="G497" s="10" t="str">
        <x:v>Pendiente</x:v>
      </x:c>
      <x:c r="H497" s="10"/>
      <x:c r="I497" s="10"/>
      <x:c r="J497" s="10"/>
      <x:c r="K497" s="10"/>
      <x:c r="L497" s="11"/>
      <x:c r="M497" s="12"/>
      <x:c r="N497" s="10"/>
    </x:row>
    <x:row r="498" ht="25" customHeight="1">
      <x:c r="A498" s="9" t="str">
        <x:v>QA-MAT-042</x:v>
      </x:c>
      <x:c r="B498" s="9" t="str">
        <x:v>MAT</x:v>
      </x:c>
      <x:c r="C498" s="9" t="str">
        <x:v>Vende Ya / Garage / 80 / identidad 1 Venezolano</x:v>
      </x:c>
      <x:c r="D498" s="9" t="str">
        <x:v>P1</x:v>
      </x:c>
      <x:c r="E498" s="9" t="str">
        <x:v>Positiva</x:v>
      </x:c>
      <x:c r="F498" s="9" t="str">
        <x:v>Navegador + HTTP + persistencia</x:v>
      </x:c>
      <x:c r="G498" s="10" t="str">
        <x:v>Pendiente</x:v>
      </x:c>
      <x:c r="H498" s="10"/>
      <x:c r="I498" s="10"/>
      <x:c r="J498" s="10"/>
      <x:c r="K498" s="10"/>
      <x:c r="L498" s="11"/>
      <x:c r="M498" s="12"/>
      <x:c r="N498" s="10"/>
    </x:row>
    <x:row r="499" ht="25" customHeight="1">
      <x:c r="A499" s="9" t="str">
        <x:v>QA-MAT-043</x:v>
      </x:c>
      <x:c r="B499" s="9" t="str">
        <x:v>MAT</x:v>
      </x:c>
      <x:c r="C499" s="9" t="str">
        <x:v>Vende Ya / Garage / 80 / identidad 6 Juridico</x:v>
      </x:c>
      <x:c r="D499" s="9" t="str">
        <x:v>P1</x:v>
      </x:c>
      <x:c r="E499" s="9" t="str">
        <x:v>Positiva</x:v>
      </x:c>
      <x:c r="F499" s="9" t="str">
        <x:v>Navegador + HTTP + persistencia</x:v>
      </x:c>
      <x:c r="G499" s="10" t="str">
        <x:v>Pendiente</x:v>
      </x:c>
      <x:c r="H499" s="10"/>
      <x:c r="I499" s="10"/>
      <x:c r="J499" s="10"/>
      <x:c r="K499" s="10"/>
      <x:c r="L499" s="11"/>
      <x:c r="M499" s="12"/>
      <x:c r="N499" s="10"/>
    </x:row>
    <x:row r="500" ht="25" customHeight="1">
      <x:c r="A500" s="9" t="str">
        <x:v>QA-MAT-044</x:v>
      </x:c>
      <x:c r="B500" s="9" t="str">
        <x:v>MAT</x:v>
      </x:c>
      <x:c r="C500" s="9" t="str">
        <x:v>Vende Ya / Garage / 80 / identidad 7 Pasaporte</x:v>
      </x:c>
      <x:c r="D500" s="9" t="str">
        <x:v>P1</x:v>
      </x:c>
      <x:c r="E500" s="9" t="str">
        <x:v>Positiva</x:v>
      </x:c>
      <x:c r="F500" s="9" t="str">
        <x:v>Navegador + HTTP + persistencia</x:v>
      </x:c>
      <x:c r="G500" s="10" t="str">
        <x:v>Pendiente</x:v>
      </x:c>
      <x:c r="H500" s="10"/>
      <x:c r="I500" s="10"/>
      <x:c r="J500" s="10"/>
      <x:c r="K500" s="10"/>
      <x:c r="L500" s="11"/>
      <x:c r="M500" s="12"/>
      <x:c r="N500" s="10"/>
    </x:row>
    <x:row r="501" ht="25" customHeight="1">
      <x:c r="A501" s="9" t="str">
        <x:v>QA-MAT-045</x:v>
      </x:c>
      <x:c r="B501" s="9" t="str">
        <x:v>MAT</x:v>
      </x:c>
      <x:c r="C501" s="9" t="str">
        <x:v>Vende Ya / Garage / 80 / identidad E Extranjero</x:v>
      </x:c>
      <x:c r="D501" s="9" t="str">
        <x:v>P1</x:v>
      </x:c>
      <x:c r="E501" s="9" t="str">
        <x:v>Positiva</x:v>
      </x:c>
      <x:c r="F501" s="9" t="str">
        <x:v>Navegador + HTTP + persistencia</x:v>
      </x:c>
      <x:c r="G501" s="10" t="str">
        <x:v>Pendiente</x:v>
      </x:c>
      <x:c r="H501" s="10"/>
      <x:c r="I501" s="10"/>
      <x:c r="J501" s="10"/>
      <x:c r="K501" s="10"/>
      <x:c r="L501" s="11"/>
      <x:c r="M501" s="12"/>
      <x:c r="N501" s="10"/>
    </x:row>
    <x:row r="502" ht="25" customHeight="1">
      <x:c r="A502" s="9" t="str">
        <x:v>QA-MAT-046</x:v>
      </x:c>
      <x:c r="B502" s="9" t="str">
        <x:v>MAT</x:v>
      </x:c>
      <x:c r="C502" s="9" t="str">
        <x:v>Vende Ya / Garage / 80 / identidad C Comuna</x:v>
      </x:c>
      <x:c r="D502" s="9" t="str">
        <x:v>P1</x:v>
      </x:c>
      <x:c r="E502" s="9" t="str">
        <x:v>Positiva</x:v>
      </x:c>
      <x:c r="F502" s="9" t="str">
        <x:v>Navegador + HTTP + persistencia</x:v>
      </x:c>
      <x:c r="G502" s="10" t="str">
        <x:v>Pendiente</x:v>
      </x:c>
      <x:c r="H502" s="10"/>
      <x:c r="I502" s="10"/>
      <x:c r="J502" s="10"/>
      <x:c r="K502" s="10"/>
      <x:c r="L502" s="11"/>
      <x:c r="M502" s="12"/>
      <x:c r="N502" s="10"/>
    </x:row>
    <x:row r="503" ht="25" customHeight="1">
      <x:c r="A503" s="9" t="str">
        <x:v>QA-MAT-047</x:v>
      </x:c>
      <x:c r="B503" s="9" t="str">
        <x:v>MAT</x:v>
      </x:c>
      <x:c r="C503" s="9" t="str">
        <x:v>Vende Ya / Garage / 80 / identidad G Gubernamental</x:v>
      </x:c>
      <x:c r="D503" s="9" t="str">
        <x:v>P1</x:v>
      </x:c>
      <x:c r="E503" s="9" t="str">
        <x:v>Positiva</x:v>
      </x:c>
      <x:c r="F503" s="9" t="str">
        <x:v>Navegador + HTTP + persistencia</x:v>
      </x:c>
      <x:c r="G503" s="10" t="str">
        <x:v>Pendiente</x:v>
      </x:c>
      <x:c r="H503" s="10"/>
      <x:c r="I503" s="10"/>
      <x:c r="J503" s="10"/>
      <x:c r="K503" s="10"/>
      <x:c r="L503" s="11"/>
      <x:c r="M503" s="12"/>
      <x:c r="N503" s="10"/>
    </x:row>
    <x:row r="504" ht="25" customHeight="1">
      <x:c r="A504" s="9" t="str">
        <x:v>QA-MAT-048</x:v>
      </x:c>
      <x:c r="B504" s="9" t="str">
        <x:v>MAT</x:v>
      </x:c>
      <x:c r="C504" s="9" t="str">
        <x:v>Vende Ya / Garage / 80 / identidad R Firma Personal</x:v>
      </x:c>
      <x:c r="D504" s="9" t="str">
        <x:v>P1</x:v>
      </x:c>
      <x:c r="E504" s="9" t="str">
        <x:v>Positiva</x:v>
      </x:c>
      <x:c r="F504" s="9" t="str">
        <x:v>Navegador + HTTP + persistencia</x:v>
      </x:c>
      <x:c r="G504" s="10" t="str">
        <x:v>Pendiente</x:v>
      </x:c>
      <x:c r="H504" s="10"/>
      <x:c r="I504" s="10"/>
      <x:c r="J504" s="10"/>
      <x:c r="K504" s="10"/>
      <x:c r="L504" s="11"/>
      <x:c r="M504" s="12"/>
      <x:c r="N504" s="10"/>
    </x:row>
    <x:row r="505" ht="25" customHeight="1">
      <x:c r="A505" s="9" t="str">
        <x:v>QA-MAT-049</x:v>
      </x:c>
      <x:c r="B505" s="9" t="str">
        <x:v>MAT</x:v>
      </x:c>
      <x:c r="C505" s="9" t="str">
        <x:v>Venta rápida / 01 / identidad 0 Doc.sin.rif</x:v>
      </x:c>
      <x:c r="D505" s="9" t="str">
        <x:v>P1</x:v>
      </x:c>
      <x:c r="E505" s="9" t="str">
        <x:v>Positiva</x:v>
      </x:c>
      <x:c r="F505" s="9" t="str">
        <x:v>Navegador + HTTP + persistencia</x:v>
      </x:c>
      <x:c r="G505" s="10" t="str">
        <x:v>Pendiente</x:v>
      </x:c>
      <x:c r="H505" s="10"/>
      <x:c r="I505" s="10"/>
      <x:c r="J505" s="10"/>
      <x:c r="K505" s="10"/>
      <x:c r="L505" s="11"/>
      <x:c r="M505" s="12"/>
      <x:c r="N505" s="10"/>
    </x:row>
    <x:row r="506" ht="25" customHeight="1">
      <x:c r="A506" s="9" t="str">
        <x:v>QA-MAT-050</x:v>
      </x:c>
      <x:c r="B506" s="9" t="str">
        <x:v>MAT</x:v>
      </x:c>
      <x:c r="C506" s="9" t="str">
        <x:v>Venta rápida / 01 / identidad 1 Venezolano</x:v>
      </x:c>
      <x:c r="D506" s="9" t="str">
        <x:v>P1</x:v>
      </x:c>
      <x:c r="E506" s="9" t="str">
        <x:v>Positiva</x:v>
      </x:c>
      <x:c r="F506" s="9" t="str">
        <x:v>Navegador + HTTP + persistencia</x:v>
      </x:c>
      <x:c r="G506" s="10" t="str">
        <x:v>Pendiente</x:v>
      </x:c>
      <x:c r="H506" s="10"/>
      <x:c r="I506" s="10"/>
      <x:c r="J506" s="10"/>
      <x:c r="K506" s="10"/>
      <x:c r="L506" s="11"/>
      <x:c r="M506" s="12"/>
      <x:c r="N506" s="10"/>
    </x:row>
    <x:row r="507" ht="25" customHeight="1">
      <x:c r="A507" s="9" t="str">
        <x:v>QA-MAT-051</x:v>
      </x:c>
      <x:c r="B507" s="9" t="str">
        <x:v>MAT</x:v>
      </x:c>
      <x:c r="C507" s="9" t="str">
        <x:v>Venta rápida / 01 / identidad 6 Juridico</x:v>
      </x:c>
      <x:c r="D507" s="9" t="str">
        <x:v>P1</x:v>
      </x:c>
      <x:c r="E507" s="9" t="str">
        <x:v>Positiva</x:v>
      </x:c>
      <x:c r="F507" s="9" t="str">
        <x:v>Navegador + HTTP + persistencia</x:v>
      </x:c>
      <x:c r="G507" s="10" t="str">
        <x:v>Pendiente</x:v>
      </x:c>
      <x:c r="H507" s="10"/>
      <x:c r="I507" s="10"/>
      <x:c r="J507" s="10"/>
      <x:c r="K507" s="10"/>
      <x:c r="L507" s="11"/>
      <x:c r="M507" s="12"/>
      <x:c r="N507" s="10"/>
    </x:row>
    <x:row r="508" ht="25" customHeight="1">
      <x:c r="A508" s="9" t="str">
        <x:v>QA-MAT-052</x:v>
      </x:c>
      <x:c r="B508" s="9" t="str">
        <x:v>MAT</x:v>
      </x:c>
      <x:c r="C508" s="9" t="str">
        <x:v>Venta rápida / 01 / identidad 7 Pasaporte</x:v>
      </x:c>
      <x:c r="D508" s="9" t="str">
        <x:v>P1</x:v>
      </x:c>
      <x:c r="E508" s="9" t="str">
        <x:v>Positiva</x:v>
      </x:c>
      <x:c r="F508" s="9" t="str">
        <x:v>Navegador + HTTP + persistencia</x:v>
      </x:c>
      <x:c r="G508" s="10" t="str">
        <x:v>Pendiente</x:v>
      </x:c>
      <x:c r="H508" s="10"/>
      <x:c r="I508" s="10"/>
      <x:c r="J508" s="10"/>
      <x:c r="K508" s="10"/>
      <x:c r="L508" s="11"/>
      <x:c r="M508" s="12"/>
      <x:c r="N508" s="10"/>
    </x:row>
    <x:row r="509" ht="25" customHeight="1">
      <x:c r="A509" s="9" t="str">
        <x:v>QA-MAT-053</x:v>
      </x:c>
      <x:c r="B509" s="9" t="str">
        <x:v>MAT</x:v>
      </x:c>
      <x:c r="C509" s="9" t="str">
        <x:v>Venta rápida / 01 / identidad E Extranjero</x:v>
      </x:c>
      <x:c r="D509" s="9" t="str">
        <x:v>P1</x:v>
      </x:c>
      <x:c r="E509" s="9" t="str">
        <x:v>Positiva</x:v>
      </x:c>
      <x:c r="F509" s="9" t="str">
        <x:v>Navegador + HTTP + persistencia</x:v>
      </x:c>
      <x:c r="G509" s="10" t="str">
        <x:v>Pendiente</x:v>
      </x:c>
      <x:c r="H509" s="10"/>
      <x:c r="I509" s="10"/>
      <x:c r="J509" s="10"/>
      <x:c r="K509" s="10"/>
      <x:c r="L509" s="11"/>
      <x:c r="M509" s="12"/>
      <x:c r="N509" s="10"/>
    </x:row>
    <x:row r="510" ht="25" customHeight="1">
      <x:c r="A510" s="9" t="str">
        <x:v>QA-MAT-054</x:v>
      </x:c>
      <x:c r="B510" s="9" t="str">
        <x:v>MAT</x:v>
      </x:c>
      <x:c r="C510" s="9" t="str">
        <x:v>Venta rápida / 01 / identidad C Comuna</x:v>
      </x:c>
      <x:c r="D510" s="9" t="str">
        <x:v>P1</x:v>
      </x:c>
      <x:c r="E510" s="9" t="str">
        <x:v>Positiva</x:v>
      </x:c>
      <x:c r="F510" s="9" t="str">
        <x:v>Navegador + HTTP + persistencia</x:v>
      </x:c>
      <x:c r="G510" s="10" t="str">
        <x:v>Pendiente</x:v>
      </x:c>
      <x:c r="H510" s="10"/>
      <x:c r="I510" s="10"/>
      <x:c r="J510" s="10"/>
      <x:c r="K510" s="10"/>
      <x:c r="L510" s="11"/>
      <x:c r="M510" s="12"/>
      <x:c r="N510" s="10"/>
    </x:row>
    <x:row r="511" ht="25" customHeight="1">
      <x:c r="A511" s="9" t="str">
        <x:v>QA-MAT-055</x:v>
      </x:c>
      <x:c r="B511" s="9" t="str">
        <x:v>MAT</x:v>
      </x:c>
      <x:c r="C511" s="9" t="str">
        <x:v>Venta rápida / 01 / identidad G Gubernamental</x:v>
      </x:c>
      <x:c r="D511" s="9" t="str">
        <x:v>P1</x:v>
      </x:c>
      <x:c r="E511" s="9" t="str">
        <x:v>Positiva</x:v>
      </x:c>
      <x:c r="F511" s="9" t="str">
        <x:v>Navegador + HTTP + persistencia</x:v>
      </x:c>
      <x:c r="G511" s="10" t="str">
        <x:v>Pendiente</x:v>
      </x:c>
      <x:c r="H511" s="10"/>
      <x:c r="I511" s="10"/>
      <x:c r="J511" s="10"/>
      <x:c r="K511" s="10"/>
      <x:c r="L511" s="11"/>
      <x:c r="M511" s="12"/>
      <x:c r="N511" s="10"/>
    </x:row>
    <x:row r="512" ht="25" customHeight="1">
      <x:c r="A512" s="9" t="str">
        <x:v>QA-MAT-056</x:v>
      </x:c>
      <x:c r="B512" s="9" t="str">
        <x:v>MAT</x:v>
      </x:c>
      <x:c r="C512" s="9" t="str">
        <x:v>Venta rápida / 01 / identidad R Firma Personal</x:v>
      </x:c>
      <x:c r="D512" s="9" t="str">
        <x:v>P1</x:v>
      </x:c>
      <x:c r="E512" s="9" t="str">
        <x:v>Positiva</x:v>
      </x:c>
      <x:c r="F512" s="9" t="str">
        <x:v>Navegador + HTTP + persistencia</x:v>
      </x:c>
      <x:c r="G512" s="10" t="str">
        <x:v>Pendiente</x:v>
      </x:c>
      <x:c r="H512" s="10"/>
      <x:c r="I512" s="10"/>
      <x:c r="J512" s="10"/>
      <x:c r="K512" s="10"/>
      <x:c r="L512" s="11"/>
      <x:c r="M512" s="12"/>
      <x:c r="N512" s="10"/>
    </x:row>
    <x:row r="513" ht="25" customHeight="1">
      <x:c r="A513" s="9" t="str">
        <x:v>QA-MAT-057</x:v>
      </x:c>
      <x:c r="B513" s="9" t="str">
        <x:v>MAT</x:v>
      </x:c>
      <x:c r="C513" s="9" t="str">
        <x:v>Venta rápida / 80 / identidad 0 Doc.sin.rif</x:v>
      </x:c>
      <x:c r="D513" s="9" t="str">
        <x:v>P1</x:v>
      </x:c>
      <x:c r="E513" s="9" t="str">
        <x:v>Positiva</x:v>
      </x:c>
      <x:c r="F513" s="9" t="str">
        <x:v>Navegador + HTTP + persistencia</x:v>
      </x:c>
      <x:c r="G513" s="10" t="str">
        <x:v>Pendiente</x:v>
      </x:c>
      <x:c r="H513" s="10"/>
      <x:c r="I513" s="10"/>
      <x:c r="J513" s="10"/>
      <x:c r="K513" s="10"/>
      <x:c r="L513" s="11"/>
      <x:c r="M513" s="12"/>
      <x:c r="N513" s="10"/>
    </x:row>
    <x:row r="514" ht="25" customHeight="1">
      <x:c r="A514" s="9" t="str">
        <x:v>QA-MAT-058</x:v>
      </x:c>
      <x:c r="B514" s="9" t="str">
        <x:v>MAT</x:v>
      </x:c>
      <x:c r="C514" s="9" t="str">
        <x:v>Venta rápida / 80 / identidad 1 Venezolano</x:v>
      </x:c>
      <x:c r="D514" s="9" t="str">
        <x:v>P1</x:v>
      </x:c>
      <x:c r="E514" s="9" t="str">
        <x:v>Positiva</x:v>
      </x:c>
      <x:c r="F514" s="9" t="str">
        <x:v>Navegador + HTTP + persistencia</x:v>
      </x:c>
      <x:c r="G514" s="10" t="str">
        <x:v>Pendiente</x:v>
      </x:c>
      <x:c r="H514" s="10"/>
      <x:c r="I514" s="10"/>
      <x:c r="J514" s="10"/>
      <x:c r="K514" s="10"/>
      <x:c r="L514" s="11"/>
      <x:c r="M514" s="12"/>
      <x:c r="N514" s="10"/>
    </x:row>
    <x:row r="515" ht="25" customHeight="1">
      <x:c r="A515" s="9" t="str">
        <x:v>QA-MAT-059</x:v>
      </x:c>
      <x:c r="B515" s="9" t="str">
        <x:v>MAT</x:v>
      </x:c>
      <x:c r="C515" s="9" t="str">
        <x:v>Venta rápida / 80 / identidad 6 Juridico</x:v>
      </x:c>
      <x:c r="D515" s="9" t="str">
        <x:v>P1</x:v>
      </x:c>
      <x:c r="E515" s="9" t="str">
        <x:v>Positiva</x:v>
      </x:c>
      <x:c r="F515" s="9" t="str">
        <x:v>Navegador + HTTP + persistencia</x:v>
      </x:c>
      <x:c r="G515" s="10" t="str">
        <x:v>Pendiente</x:v>
      </x:c>
      <x:c r="H515" s="10"/>
      <x:c r="I515" s="10"/>
      <x:c r="J515" s="10"/>
      <x:c r="K515" s="10"/>
      <x:c r="L515" s="11"/>
      <x:c r="M515" s="12"/>
      <x:c r="N515" s="10"/>
    </x:row>
    <x:row r="516" ht="25" customHeight="1">
      <x:c r="A516" s="9" t="str">
        <x:v>QA-MAT-060</x:v>
      </x:c>
      <x:c r="B516" s="9" t="str">
        <x:v>MAT</x:v>
      </x:c>
      <x:c r="C516" s="9" t="str">
        <x:v>Venta rápida / 80 / identidad 7 Pasaporte</x:v>
      </x:c>
      <x:c r="D516" s="9" t="str">
        <x:v>P1</x:v>
      </x:c>
      <x:c r="E516" s="9" t="str">
        <x:v>Positiva</x:v>
      </x:c>
      <x:c r="F516" s="9" t="str">
        <x:v>Navegador + HTTP + persistencia</x:v>
      </x:c>
      <x:c r="G516" s="10" t="str">
        <x:v>Pendiente</x:v>
      </x:c>
      <x:c r="H516" s="10"/>
      <x:c r="I516" s="10"/>
      <x:c r="J516" s="10"/>
      <x:c r="K516" s="10"/>
      <x:c r="L516" s="11"/>
      <x:c r="M516" s="12"/>
      <x:c r="N516" s="10"/>
    </x:row>
    <x:row r="517" ht="25" customHeight="1">
      <x:c r="A517" s="9" t="str">
        <x:v>QA-MAT-061</x:v>
      </x:c>
      <x:c r="B517" s="9" t="str">
        <x:v>MAT</x:v>
      </x:c>
      <x:c r="C517" s="9" t="str">
        <x:v>Venta rápida / 80 / identidad E Extranjero</x:v>
      </x:c>
      <x:c r="D517" s="9" t="str">
        <x:v>P1</x:v>
      </x:c>
      <x:c r="E517" s="9" t="str">
        <x:v>Positiva</x:v>
      </x:c>
      <x:c r="F517" s="9" t="str">
        <x:v>Navegador + HTTP + persistencia</x:v>
      </x:c>
      <x:c r="G517" s="10" t="str">
        <x:v>Pendiente</x:v>
      </x:c>
      <x:c r="H517" s="10"/>
      <x:c r="I517" s="10"/>
      <x:c r="J517" s="10"/>
      <x:c r="K517" s="10"/>
      <x:c r="L517" s="11"/>
      <x:c r="M517" s="12"/>
      <x:c r="N517" s="10"/>
    </x:row>
    <x:row r="518" ht="25" customHeight="1">
      <x:c r="A518" s="9" t="str">
        <x:v>QA-MAT-062</x:v>
      </x:c>
      <x:c r="B518" s="9" t="str">
        <x:v>MAT</x:v>
      </x:c>
      <x:c r="C518" s="9" t="str">
        <x:v>Venta rápida / 80 / identidad C Comuna</x:v>
      </x:c>
      <x:c r="D518" s="9" t="str">
        <x:v>P1</x:v>
      </x:c>
      <x:c r="E518" s="9" t="str">
        <x:v>Positiva</x:v>
      </x:c>
      <x:c r="F518" s="9" t="str">
        <x:v>Navegador + HTTP + persistencia</x:v>
      </x:c>
      <x:c r="G518" s="10" t="str">
        <x:v>Pendiente</x:v>
      </x:c>
      <x:c r="H518" s="10"/>
      <x:c r="I518" s="10"/>
      <x:c r="J518" s="10"/>
      <x:c r="K518" s="10"/>
      <x:c r="L518" s="11"/>
      <x:c r="M518" s="12"/>
      <x:c r="N518" s="10"/>
    </x:row>
    <x:row r="519" ht="25" customHeight="1">
      <x:c r="A519" s="9" t="str">
        <x:v>QA-MAT-063</x:v>
      </x:c>
      <x:c r="B519" s="9" t="str">
        <x:v>MAT</x:v>
      </x:c>
      <x:c r="C519" s="9" t="str">
        <x:v>Venta rápida / 80 / identidad G Gubernamental</x:v>
      </x:c>
      <x:c r="D519" s="9" t="str">
        <x:v>P1</x:v>
      </x:c>
      <x:c r="E519" s="9" t="str">
        <x:v>Positiva</x:v>
      </x:c>
      <x:c r="F519" s="9" t="str">
        <x:v>Navegador + HTTP + persistencia</x:v>
      </x:c>
      <x:c r="G519" s="10" t="str">
        <x:v>Pendiente</x:v>
      </x:c>
      <x:c r="H519" s="10"/>
      <x:c r="I519" s="10"/>
      <x:c r="J519" s="10"/>
      <x:c r="K519" s="10"/>
      <x:c r="L519" s="11"/>
      <x:c r="M519" s="12"/>
      <x:c r="N519" s="10"/>
    </x:row>
    <x:row r="520" ht="25" customHeight="1">
      <x:c r="A520" s="9" t="str">
        <x:v>QA-MAT-064</x:v>
      </x:c>
      <x:c r="B520" s="9" t="str">
        <x:v>MAT</x:v>
      </x:c>
      <x:c r="C520" s="9" t="str">
        <x:v>Venta rápida / 80 / identidad R Firma Personal</x:v>
      </x:c>
      <x:c r="D520" s="9" t="str">
        <x:v>P1</x:v>
      </x:c>
      <x:c r="E520" s="9" t="str">
        <x:v>Positiva</x:v>
      </x:c>
      <x:c r="F520" s="9" t="str">
        <x:v>Navegador + HTTP + persistencia</x:v>
      </x:c>
      <x:c r="G520" s="10" t="str">
        <x:v>Pendiente</x:v>
      </x:c>
      <x:c r="H520" s="10"/>
      <x:c r="I520" s="10"/>
      <x:c r="J520" s="10"/>
      <x:c r="K520" s="10"/>
      <x:c r="L520" s="11"/>
      <x:c r="M520" s="12"/>
      <x:c r="N520" s="10"/>
    </x:row>
    <x:row r="521" ht="25" customHeight="1">
      <x:c r="A521" s="9" t="str">
        <x:v>QA-MAT-065</x:v>
      </x:c>
      <x:c r="B521" s="9" t="str">
        <x:v>MAT</x:v>
      </x:c>
      <x:c r="C521" s="9" t="str">
        <x:v>API de venta / 01 / identidad 0 Doc.sin.rif</x:v>
      </x:c>
      <x:c r="D521" s="9" t="str">
        <x:v>P1</x:v>
      </x:c>
      <x:c r="E521" s="9" t="str">
        <x:v>Positiva</x:v>
      </x:c>
      <x:c r="F521" s="9" t="str">
        <x:v>Navegador + HTTP + persistencia</x:v>
      </x:c>
      <x:c r="G521" s="10" t="str">
        <x:v>Pendiente</x:v>
      </x:c>
      <x:c r="H521" s="10"/>
      <x:c r="I521" s="10"/>
      <x:c r="J521" s="10"/>
      <x:c r="K521" s="10"/>
      <x:c r="L521" s="11"/>
      <x:c r="M521" s="12"/>
      <x:c r="N521" s="10"/>
    </x:row>
    <x:row r="522" ht="25" customHeight="1">
      <x:c r="A522" s="9" t="str">
        <x:v>QA-MAT-066</x:v>
      </x:c>
      <x:c r="B522" s="9" t="str">
        <x:v>MAT</x:v>
      </x:c>
      <x:c r="C522" s="9" t="str">
        <x:v>API de venta / 01 / identidad 1 Venezolano</x:v>
      </x:c>
      <x:c r="D522" s="9" t="str">
        <x:v>P1</x:v>
      </x:c>
      <x:c r="E522" s="9" t="str">
        <x:v>Positiva</x:v>
      </x:c>
      <x:c r="F522" s="9" t="str">
        <x:v>Navegador + HTTP + persistencia</x:v>
      </x:c>
      <x:c r="G522" s="10" t="str">
        <x:v>Pendiente</x:v>
      </x:c>
      <x:c r="H522" s="10"/>
      <x:c r="I522" s="10"/>
      <x:c r="J522" s="10"/>
      <x:c r="K522" s="10"/>
      <x:c r="L522" s="11"/>
      <x:c r="M522" s="12"/>
      <x:c r="N522" s="10"/>
    </x:row>
    <x:row r="523" ht="25" customHeight="1">
      <x:c r="A523" s="9" t="str">
        <x:v>QA-MAT-067</x:v>
      </x:c>
      <x:c r="B523" s="9" t="str">
        <x:v>MAT</x:v>
      </x:c>
      <x:c r="C523" s="9" t="str">
        <x:v>API de venta / 01 / identidad 6 Juridico</x:v>
      </x:c>
      <x:c r="D523" s="9" t="str">
        <x:v>P1</x:v>
      </x:c>
      <x:c r="E523" s="9" t="str">
        <x:v>Positiva</x:v>
      </x:c>
      <x:c r="F523" s="9" t="str">
        <x:v>Navegador + HTTP + persistencia</x:v>
      </x:c>
      <x:c r="G523" s="10" t="str">
        <x:v>Pendiente</x:v>
      </x:c>
      <x:c r="H523" s="10"/>
      <x:c r="I523" s="10"/>
      <x:c r="J523" s="10"/>
      <x:c r="K523" s="10"/>
      <x:c r="L523" s="11"/>
      <x:c r="M523" s="12"/>
      <x:c r="N523" s="10"/>
    </x:row>
    <x:row r="524" ht="25" customHeight="1">
      <x:c r="A524" s="9" t="str">
        <x:v>QA-MAT-068</x:v>
      </x:c>
      <x:c r="B524" s="9" t="str">
        <x:v>MAT</x:v>
      </x:c>
      <x:c r="C524" s="9" t="str">
        <x:v>API de venta / 01 / identidad 7 Pasaporte</x:v>
      </x:c>
      <x:c r="D524" s="9" t="str">
        <x:v>P1</x:v>
      </x:c>
      <x:c r="E524" s="9" t="str">
        <x:v>Positiva</x:v>
      </x:c>
      <x:c r="F524" s="9" t="str">
        <x:v>Navegador + HTTP + persistencia</x:v>
      </x:c>
      <x:c r="G524" s="10" t="str">
        <x:v>Pendiente</x:v>
      </x:c>
      <x:c r="H524" s="10"/>
      <x:c r="I524" s="10"/>
      <x:c r="J524" s="10"/>
      <x:c r="K524" s="10"/>
      <x:c r="L524" s="11"/>
      <x:c r="M524" s="12"/>
      <x:c r="N524" s="10"/>
    </x:row>
    <x:row r="525" ht="25" customHeight="1">
      <x:c r="A525" s="9" t="str">
        <x:v>QA-MAT-069</x:v>
      </x:c>
      <x:c r="B525" s="9" t="str">
        <x:v>MAT</x:v>
      </x:c>
      <x:c r="C525" s="9" t="str">
        <x:v>API de venta / 01 / identidad E Extranjero</x:v>
      </x:c>
      <x:c r="D525" s="9" t="str">
        <x:v>P1</x:v>
      </x:c>
      <x:c r="E525" s="9" t="str">
        <x:v>Positiva</x:v>
      </x:c>
      <x:c r="F525" s="9" t="str">
        <x:v>Navegador + HTTP + persistencia</x:v>
      </x:c>
      <x:c r="G525" s="10" t="str">
        <x:v>Pendiente</x:v>
      </x:c>
      <x:c r="H525" s="10"/>
      <x:c r="I525" s="10"/>
      <x:c r="J525" s="10"/>
      <x:c r="K525" s="10"/>
      <x:c r="L525" s="11"/>
      <x:c r="M525" s="12"/>
      <x:c r="N525" s="10"/>
    </x:row>
    <x:row r="526" ht="25" customHeight="1">
      <x:c r="A526" s="9" t="str">
        <x:v>QA-MAT-070</x:v>
      </x:c>
      <x:c r="B526" s="9" t="str">
        <x:v>MAT</x:v>
      </x:c>
      <x:c r="C526" s="9" t="str">
        <x:v>API de venta / 01 / identidad C Comuna</x:v>
      </x:c>
      <x:c r="D526" s="9" t="str">
        <x:v>P1</x:v>
      </x:c>
      <x:c r="E526" s="9" t="str">
        <x:v>Positiva</x:v>
      </x:c>
      <x:c r="F526" s="9" t="str">
        <x:v>Navegador + HTTP + persistencia</x:v>
      </x:c>
      <x:c r="G526" s="10" t="str">
        <x:v>Pendiente</x:v>
      </x:c>
      <x:c r="H526" s="10"/>
      <x:c r="I526" s="10"/>
      <x:c r="J526" s="10"/>
      <x:c r="K526" s="10"/>
      <x:c r="L526" s="11"/>
      <x:c r="M526" s="12"/>
      <x:c r="N526" s="10"/>
    </x:row>
    <x:row r="527" ht="25" customHeight="1">
      <x:c r="A527" s="9" t="str">
        <x:v>QA-MAT-071</x:v>
      </x:c>
      <x:c r="B527" s="9" t="str">
        <x:v>MAT</x:v>
      </x:c>
      <x:c r="C527" s="9" t="str">
        <x:v>API de venta / 01 / identidad G Gubernamental</x:v>
      </x:c>
      <x:c r="D527" s="9" t="str">
        <x:v>P1</x:v>
      </x:c>
      <x:c r="E527" s="9" t="str">
        <x:v>Positiva</x:v>
      </x:c>
      <x:c r="F527" s="9" t="str">
        <x:v>Navegador + HTTP + persistencia</x:v>
      </x:c>
      <x:c r="G527" s="10" t="str">
        <x:v>Pendiente</x:v>
      </x:c>
      <x:c r="H527" s="10"/>
      <x:c r="I527" s="10"/>
      <x:c r="J527" s="10"/>
      <x:c r="K527" s="10"/>
      <x:c r="L527" s="11"/>
      <x:c r="M527" s="12"/>
      <x:c r="N527" s="10"/>
    </x:row>
    <x:row r="528" ht="25" customHeight="1">
      <x:c r="A528" s="9" t="str">
        <x:v>QA-MAT-072</x:v>
      </x:c>
      <x:c r="B528" s="9" t="str">
        <x:v>MAT</x:v>
      </x:c>
      <x:c r="C528" s="9" t="str">
        <x:v>API de venta / 01 / identidad R Firma Personal</x:v>
      </x:c>
      <x:c r="D528" s="9" t="str">
        <x:v>P1</x:v>
      </x:c>
      <x:c r="E528" s="9" t="str">
        <x:v>Positiva</x:v>
      </x:c>
      <x:c r="F528" s="9" t="str">
        <x:v>Navegador + HTTP + persistencia</x:v>
      </x:c>
      <x:c r="G528" s="10" t="str">
        <x:v>Pendiente</x:v>
      </x:c>
      <x:c r="H528" s="10"/>
      <x:c r="I528" s="10"/>
      <x:c r="J528" s="10"/>
      <x:c r="K528" s="10"/>
      <x:c r="L528" s="11"/>
      <x:c r="M528" s="12"/>
      <x:c r="N528" s="10"/>
    </x:row>
    <x:row r="529" ht="25" customHeight="1">
      <x:c r="A529" s="9" t="str">
        <x:v>QA-MAT-073</x:v>
      </x:c>
      <x:c r="B529" s="9" t="str">
        <x:v>MAT</x:v>
      </x:c>
      <x:c r="C529" s="9" t="str">
        <x:v>API de venta / 80 / identidad 0 Doc.sin.rif</x:v>
      </x:c>
      <x:c r="D529" s="9" t="str">
        <x:v>P1</x:v>
      </x:c>
      <x:c r="E529" s="9" t="str">
        <x:v>Positiva</x:v>
      </x:c>
      <x:c r="F529" s="9" t="str">
        <x:v>Navegador + HTTP + persistencia</x:v>
      </x:c>
      <x:c r="G529" s="10" t="str">
        <x:v>Pendiente</x:v>
      </x:c>
      <x:c r="H529" s="10"/>
      <x:c r="I529" s="10"/>
      <x:c r="J529" s="10"/>
      <x:c r="K529" s="10"/>
      <x:c r="L529" s="11"/>
      <x:c r="M529" s="12"/>
      <x:c r="N529" s="10"/>
    </x:row>
    <x:row r="530" ht="25" customHeight="1">
      <x:c r="A530" s="9" t="str">
        <x:v>QA-MAT-074</x:v>
      </x:c>
      <x:c r="B530" s="9" t="str">
        <x:v>MAT</x:v>
      </x:c>
      <x:c r="C530" s="9" t="str">
        <x:v>API de venta / 80 / identidad 1 Venezolano</x:v>
      </x:c>
      <x:c r="D530" s="9" t="str">
        <x:v>P1</x:v>
      </x:c>
      <x:c r="E530" s="9" t="str">
        <x:v>Positiva</x:v>
      </x:c>
      <x:c r="F530" s="9" t="str">
        <x:v>Navegador + HTTP + persistencia</x:v>
      </x:c>
      <x:c r="G530" s="10" t="str">
        <x:v>Pendiente</x:v>
      </x:c>
      <x:c r="H530" s="10"/>
      <x:c r="I530" s="10"/>
      <x:c r="J530" s="10"/>
      <x:c r="K530" s="10"/>
      <x:c r="L530" s="11"/>
      <x:c r="M530" s="12"/>
      <x:c r="N530" s="10"/>
    </x:row>
    <x:row r="531" ht="25" customHeight="1">
      <x:c r="A531" s="9" t="str">
        <x:v>QA-MAT-075</x:v>
      </x:c>
      <x:c r="B531" s="9" t="str">
        <x:v>MAT</x:v>
      </x:c>
      <x:c r="C531" s="9" t="str">
        <x:v>API de venta / 80 / identidad 6 Juridico</x:v>
      </x:c>
      <x:c r="D531" s="9" t="str">
        <x:v>P1</x:v>
      </x:c>
      <x:c r="E531" s="9" t="str">
        <x:v>Positiva</x:v>
      </x:c>
      <x:c r="F531" s="9" t="str">
        <x:v>Navegador + HTTP + persistencia</x:v>
      </x:c>
      <x:c r="G531" s="10" t="str">
        <x:v>Pendiente</x:v>
      </x:c>
      <x:c r="H531" s="10"/>
      <x:c r="I531" s="10"/>
      <x:c r="J531" s="10"/>
      <x:c r="K531" s="10"/>
      <x:c r="L531" s="11"/>
      <x:c r="M531" s="12"/>
      <x:c r="N531" s="10"/>
    </x:row>
    <x:row r="532" ht="25" customHeight="1">
      <x:c r="A532" s="9" t="str">
        <x:v>QA-MAT-076</x:v>
      </x:c>
      <x:c r="B532" s="9" t="str">
        <x:v>MAT</x:v>
      </x:c>
      <x:c r="C532" s="9" t="str">
        <x:v>API de venta / 80 / identidad 7 Pasaporte</x:v>
      </x:c>
      <x:c r="D532" s="9" t="str">
        <x:v>P1</x:v>
      </x:c>
      <x:c r="E532" s="9" t="str">
        <x:v>Positiva</x:v>
      </x:c>
      <x:c r="F532" s="9" t="str">
        <x:v>Navegador + HTTP + persistencia</x:v>
      </x:c>
      <x:c r="G532" s="10" t="str">
        <x:v>Pendiente</x:v>
      </x:c>
      <x:c r="H532" s="10"/>
      <x:c r="I532" s="10"/>
      <x:c r="J532" s="10"/>
      <x:c r="K532" s="10"/>
      <x:c r="L532" s="11"/>
      <x:c r="M532" s="12"/>
      <x:c r="N532" s="10"/>
    </x:row>
    <x:row r="533" ht="25" customHeight="1">
      <x:c r="A533" s="9" t="str">
        <x:v>QA-MAT-077</x:v>
      </x:c>
      <x:c r="B533" s="9" t="str">
        <x:v>MAT</x:v>
      </x:c>
      <x:c r="C533" s="9" t="str">
        <x:v>API de venta / 80 / identidad E Extranjero</x:v>
      </x:c>
      <x:c r="D533" s="9" t="str">
        <x:v>P1</x:v>
      </x:c>
      <x:c r="E533" s="9" t="str">
        <x:v>Positiva</x:v>
      </x:c>
      <x:c r="F533" s="9" t="str">
        <x:v>Navegador + HTTP + persistencia</x:v>
      </x:c>
      <x:c r="G533" s="10" t="str">
        <x:v>Pendiente</x:v>
      </x:c>
      <x:c r="H533" s="10"/>
      <x:c r="I533" s="10"/>
      <x:c r="J533" s="10"/>
      <x:c r="K533" s="10"/>
      <x:c r="L533" s="11"/>
      <x:c r="M533" s="12"/>
      <x:c r="N533" s="10"/>
    </x:row>
    <x:row r="534" ht="25" customHeight="1">
      <x:c r="A534" s="9" t="str">
        <x:v>QA-MAT-078</x:v>
      </x:c>
      <x:c r="B534" s="9" t="str">
        <x:v>MAT</x:v>
      </x:c>
      <x:c r="C534" s="9" t="str">
        <x:v>API de venta / 80 / identidad C Comuna</x:v>
      </x:c>
      <x:c r="D534" s="9" t="str">
        <x:v>P1</x:v>
      </x:c>
      <x:c r="E534" s="9" t="str">
        <x:v>Positiva</x:v>
      </x:c>
      <x:c r="F534" s="9" t="str">
        <x:v>Navegador + HTTP + persistencia</x:v>
      </x:c>
      <x:c r="G534" s="10" t="str">
        <x:v>Pendiente</x:v>
      </x:c>
      <x:c r="H534" s="10"/>
      <x:c r="I534" s="10"/>
      <x:c r="J534" s="10"/>
      <x:c r="K534" s="10"/>
      <x:c r="L534" s="11"/>
      <x:c r="M534" s="12"/>
      <x:c r="N534" s="10"/>
    </x:row>
    <x:row r="535" ht="25" customHeight="1">
      <x:c r="A535" s="9" t="str">
        <x:v>QA-MAT-079</x:v>
      </x:c>
      <x:c r="B535" s="9" t="str">
        <x:v>MAT</x:v>
      </x:c>
      <x:c r="C535" s="9" t="str">
        <x:v>API de venta / 80 / identidad G Gubernamental</x:v>
      </x:c>
      <x:c r="D535" s="9" t="str">
        <x:v>P1</x:v>
      </x:c>
      <x:c r="E535" s="9" t="str">
        <x:v>Positiva</x:v>
      </x:c>
      <x:c r="F535" s="9" t="str">
        <x:v>Navegador + HTTP + persistencia</x:v>
      </x:c>
      <x:c r="G535" s="10" t="str">
        <x:v>Pendiente</x:v>
      </x:c>
      <x:c r="H535" s="10"/>
      <x:c r="I535" s="10"/>
      <x:c r="J535" s="10"/>
      <x:c r="K535" s="10"/>
      <x:c r="L535" s="11"/>
      <x:c r="M535" s="12"/>
      <x:c r="N535" s="10"/>
    </x:row>
    <x:row r="536" ht="25" customHeight="1">
      <x:c r="A536" s="9" t="str">
        <x:v>QA-MAT-080</x:v>
      </x:c>
      <x:c r="B536" s="9" t="str">
        <x:v>MAT</x:v>
      </x:c>
      <x:c r="C536" s="9" t="str">
        <x:v>API de venta / 80 / identidad R Firma Personal</x:v>
      </x:c>
      <x:c r="D536" s="9" t="str">
        <x:v>P1</x:v>
      </x:c>
      <x:c r="E536" s="9" t="str">
        <x:v>Positiva</x:v>
      </x:c>
      <x:c r="F536" s="9" t="str">
        <x:v>Navegador + HTTP + persistencia</x:v>
      </x:c>
      <x:c r="G536" s="10" t="str">
        <x:v>Pendiente</x:v>
      </x:c>
      <x:c r="H536" s="10"/>
      <x:c r="I536" s="10"/>
      <x:c r="J536" s="10"/>
      <x:c r="K536" s="10"/>
      <x:c r="L536" s="11"/>
      <x:c r="M536" s="12"/>
      <x:c r="N536" s="10"/>
    </x:row>
    <x:row r="537" ht="25" customHeight="1">
      <x:c r="A537" s="9" t="str">
        <x:v>QA-MAT-081</x:v>
      </x:c>
      <x:c r="B537" s="9" t="str">
        <x:v>MAT</x:v>
      </x:c>
      <x:c r="C537" s="9" t="str">
        <x:v>Hotel / 01 / identidad 0 Doc.sin.rif</x:v>
      </x:c>
      <x:c r="D537" s="9" t="str">
        <x:v>P1</x:v>
      </x:c>
      <x:c r="E537" s="9" t="str">
        <x:v>Positiva</x:v>
      </x:c>
      <x:c r="F537" s="9" t="str">
        <x:v>Navegador + HTTP + persistencia</x:v>
      </x:c>
      <x:c r="G537" s="10" t="str">
        <x:v>Pendiente</x:v>
      </x:c>
      <x:c r="H537" s="10"/>
      <x:c r="I537" s="10"/>
      <x:c r="J537" s="10"/>
      <x:c r="K537" s="10"/>
      <x:c r="L537" s="11"/>
      <x:c r="M537" s="12"/>
      <x:c r="N537" s="10"/>
    </x:row>
    <x:row r="538" ht="25" customHeight="1">
      <x:c r="A538" s="9" t="str">
        <x:v>QA-MAT-082</x:v>
      </x:c>
      <x:c r="B538" s="9" t="str">
        <x:v>MAT</x:v>
      </x:c>
      <x:c r="C538" s="9" t="str">
        <x:v>Hotel / 01 / identidad 1 Venezolano</x:v>
      </x:c>
      <x:c r="D538" s="9" t="str">
        <x:v>P1</x:v>
      </x:c>
      <x:c r="E538" s="9" t="str">
        <x:v>Positiva</x:v>
      </x:c>
      <x:c r="F538" s="9" t="str">
        <x:v>Navegador + HTTP + persistencia</x:v>
      </x:c>
      <x:c r="G538" s="10" t="str">
        <x:v>Pendiente</x:v>
      </x:c>
      <x:c r="H538" s="10"/>
      <x:c r="I538" s="10"/>
      <x:c r="J538" s="10"/>
      <x:c r="K538" s="10"/>
      <x:c r="L538" s="11"/>
      <x:c r="M538" s="12"/>
      <x:c r="N538" s="10"/>
    </x:row>
    <x:row r="539" ht="25" customHeight="1">
      <x:c r="A539" s="9" t="str">
        <x:v>QA-MAT-083</x:v>
      </x:c>
      <x:c r="B539" s="9" t="str">
        <x:v>MAT</x:v>
      </x:c>
      <x:c r="C539" s="9" t="str">
        <x:v>Hotel / 01 / identidad 6 Juridico</x:v>
      </x:c>
      <x:c r="D539" s="9" t="str">
        <x:v>P1</x:v>
      </x:c>
      <x:c r="E539" s="9" t="str">
        <x:v>Positiva</x:v>
      </x:c>
      <x:c r="F539" s="9" t="str">
        <x:v>Navegador + HTTP + persistencia</x:v>
      </x:c>
      <x:c r="G539" s="10" t="str">
        <x:v>Pendiente</x:v>
      </x:c>
      <x:c r="H539" s="10"/>
      <x:c r="I539" s="10"/>
      <x:c r="J539" s="10"/>
      <x:c r="K539" s="10"/>
      <x:c r="L539" s="11"/>
      <x:c r="M539" s="12"/>
      <x:c r="N539" s="10"/>
    </x:row>
    <x:row r="540" ht="25" customHeight="1">
      <x:c r="A540" s="9" t="str">
        <x:v>QA-MAT-084</x:v>
      </x:c>
      <x:c r="B540" s="9" t="str">
        <x:v>MAT</x:v>
      </x:c>
      <x:c r="C540" s="9" t="str">
        <x:v>Hotel / 01 / identidad 7 Pasaporte</x:v>
      </x:c>
      <x:c r="D540" s="9" t="str">
        <x:v>P1</x:v>
      </x:c>
      <x:c r="E540" s="9" t="str">
        <x:v>Positiva</x:v>
      </x:c>
      <x:c r="F540" s="9" t="str">
        <x:v>Navegador + HTTP + persistencia</x:v>
      </x:c>
      <x:c r="G540" s="10" t="str">
        <x:v>Pendiente</x:v>
      </x:c>
      <x:c r="H540" s="10"/>
      <x:c r="I540" s="10"/>
      <x:c r="J540" s="10"/>
      <x:c r="K540" s="10"/>
      <x:c r="L540" s="11"/>
      <x:c r="M540" s="12"/>
      <x:c r="N540" s="10"/>
    </x:row>
    <x:row r="541" ht="25" customHeight="1">
      <x:c r="A541" s="9" t="str">
        <x:v>QA-MAT-085</x:v>
      </x:c>
      <x:c r="B541" s="9" t="str">
        <x:v>MAT</x:v>
      </x:c>
      <x:c r="C541" s="9" t="str">
        <x:v>Hotel / 01 / identidad E Extranjero</x:v>
      </x:c>
      <x:c r="D541" s="9" t="str">
        <x:v>P1</x:v>
      </x:c>
      <x:c r="E541" s="9" t="str">
        <x:v>Positiva</x:v>
      </x:c>
      <x:c r="F541" s="9" t="str">
        <x:v>Navegador + HTTP + persistencia</x:v>
      </x:c>
      <x:c r="G541" s="10" t="str">
        <x:v>Pendiente</x:v>
      </x:c>
      <x:c r="H541" s="10"/>
      <x:c r="I541" s="10"/>
      <x:c r="J541" s="10"/>
      <x:c r="K541" s="10"/>
      <x:c r="L541" s="11"/>
      <x:c r="M541" s="12"/>
      <x:c r="N541" s="10"/>
    </x:row>
    <x:row r="542" ht="25" customHeight="1">
      <x:c r="A542" s="9" t="str">
        <x:v>QA-MAT-086</x:v>
      </x:c>
      <x:c r="B542" s="9" t="str">
        <x:v>MAT</x:v>
      </x:c>
      <x:c r="C542" s="9" t="str">
        <x:v>Hotel / 01 / identidad C Comuna</x:v>
      </x:c>
      <x:c r="D542" s="9" t="str">
        <x:v>P1</x:v>
      </x:c>
      <x:c r="E542" s="9" t="str">
        <x:v>Positiva</x:v>
      </x:c>
      <x:c r="F542" s="9" t="str">
        <x:v>Navegador + HTTP + persistencia</x:v>
      </x:c>
      <x:c r="G542" s="10" t="str">
        <x:v>Pendiente</x:v>
      </x:c>
      <x:c r="H542" s="10"/>
      <x:c r="I542" s="10"/>
      <x:c r="J542" s="10"/>
      <x:c r="K542" s="10"/>
      <x:c r="L542" s="11"/>
      <x:c r="M542" s="12"/>
      <x:c r="N542" s="10"/>
    </x:row>
    <x:row r="543" ht="25" customHeight="1">
      <x:c r="A543" s="9" t="str">
        <x:v>QA-MAT-087</x:v>
      </x:c>
      <x:c r="B543" s="9" t="str">
        <x:v>MAT</x:v>
      </x:c>
      <x:c r="C543" s="9" t="str">
        <x:v>Hotel / 01 / identidad G Gubernamental</x:v>
      </x:c>
      <x:c r="D543" s="9" t="str">
        <x:v>P1</x:v>
      </x:c>
      <x:c r="E543" s="9" t="str">
        <x:v>Positiva</x:v>
      </x:c>
      <x:c r="F543" s="9" t="str">
        <x:v>Navegador + HTTP + persistencia</x:v>
      </x:c>
      <x:c r="G543" s="10" t="str">
        <x:v>Pendiente</x:v>
      </x:c>
      <x:c r="H543" s="10"/>
      <x:c r="I543" s="10"/>
      <x:c r="J543" s="10"/>
      <x:c r="K543" s="10"/>
      <x:c r="L543" s="11"/>
      <x:c r="M543" s="12"/>
      <x:c r="N543" s="10"/>
    </x:row>
    <x:row r="544" ht="25" customHeight="1">
      <x:c r="A544" s="9" t="str">
        <x:v>QA-MAT-088</x:v>
      </x:c>
      <x:c r="B544" s="9" t="str">
        <x:v>MAT</x:v>
      </x:c>
      <x:c r="C544" s="9" t="str">
        <x:v>Hotel / 01 / identidad R Firma Personal</x:v>
      </x:c>
      <x:c r="D544" s="9" t="str">
        <x:v>P1</x:v>
      </x:c>
      <x:c r="E544" s="9" t="str">
        <x:v>Positiva</x:v>
      </x:c>
      <x:c r="F544" s="9" t="str">
        <x:v>Navegador + HTTP + persistencia</x:v>
      </x:c>
      <x:c r="G544" s="10" t="str">
        <x:v>Pendiente</x:v>
      </x:c>
      <x:c r="H544" s="10"/>
      <x:c r="I544" s="10"/>
      <x:c r="J544" s="10"/>
      <x:c r="K544" s="10"/>
      <x:c r="L544" s="11"/>
      <x:c r="M544" s="12"/>
      <x:c r="N544" s="10"/>
    </x:row>
    <x:row r="545" ht="25" customHeight="1">
      <x:c r="A545" s="9" t="str">
        <x:v>QA-MAT-089</x:v>
      </x:c>
      <x:c r="B545" s="9" t="str">
        <x:v>MAT</x:v>
      </x:c>
      <x:c r="C545" s="9" t="str">
        <x:v>Hotel / 80 / identidad 0 Doc.sin.rif</x:v>
      </x:c>
      <x:c r="D545" s="9" t="str">
        <x:v>P1</x:v>
      </x:c>
      <x:c r="E545" s="9" t="str">
        <x:v>Positiva</x:v>
      </x:c>
      <x:c r="F545" s="9" t="str">
        <x:v>Navegador + HTTP + persistencia</x:v>
      </x:c>
      <x:c r="G545" s="10" t="str">
        <x:v>Pendiente</x:v>
      </x:c>
      <x:c r="H545" s="10"/>
      <x:c r="I545" s="10"/>
      <x:c r="J545" s="10"/>
      <x:c r="K545" s="10"/>
      <x:c r="L545" s="11"/>
      <x:c r="M545" s="12"/>
      <x:c r="N545" s="10"/>
    </x:row>
    <x:row r="546" ht="25" customHeight="1">
      <x:c r="A546" s="9" t="str">
        <x:v>QA-MAT-090</x:v>
      </x:c>
      <x:c r="B546" s="9" t="str">
        <x:v>MAT</x:v>
      </x:c>
      <x:c r="C546" s="9" t="str">
        <x:v>Hotel / 80 / identidad 1 Venezolano</x:v>
      </x:c>
      <x:c r="D546" s="9" t="str">
        <x:v>P1</x:v>
      </x:c>
      <x:c r="E546" s="9" t="str">
        <x:v>Positiva</x:v>
      </x:c>
      <x:c r="F546" s="9" t="str">
        <x:v>Navegador + HTTP + persistencia</x:v>
      </x:c>
      <x:c r="G546" s="10" t="str">
        <x:v>Pendiente</x:v>
      </x:c>
      <x:c r="H546" s="10"/>
      <x:c r="I546" s="10"/>
      <x:c r="J546" s="10"/>
      <x:c r="K546" s="10"/>
      <x:c r="L546" s="11"/>
      <x:c r="M546" s="12"/>
      <x:c r="N546" s="10"/>
    </x:row>
    <x:row r="547" ht="25" customHeight="1">
      <x:c r="A547" s="9" t="str">
        <x:v>QA-MAT-091</x:v>
      </x:c>
      <x:c r="B547" s="9" t="str">
        <x:v>MAT</x:v>
      </x:c>
      <x:c r="C547" s="9" t="str">
        <x:v>Hotel / 80 / identidad 6 Juridico</x:v>
      </x:c>
      <x:c r="D547" s="9" t="str">
        <x:v>P1</x:v>
      </x:c>
      <x:c r="E547" s="9" t="str">
        <x:v>Positiva</x:v>
      </x:c>
      <x:c r="F547" s="9" t="str">
        <x:v>Navegador + HTTP + persistencia</x:v>
      </x:c>
      <x:c r="G547" s="10" t="str">
        <x:v>Pendiente</x:v>
      </x:c>
      <x:c r="H547" s="10"/>
      <x:c r="I547" s="10"/>
      <x:c r="J547" s="10"/>
      <x:c r="K547" s="10"/>
      <x:c r="L547" s="11"/>
      <x:c r="M547" s="12"/>
      <x:c r="N547" s="10"/>
    </x:row>
    <x:row r="548" ht="25" customHeight="1">
      <x:c r="A548" s="9" t="str">
        <x:v>QA-MAT-092</x:v>
      </x:c>
      <x:c r="B548" s="9" t="str">
        <x:v>MAT</x:v>
      </x:c>
      <x:c r="C548" s="9" t="str">
        <x:v>Hotel / 80 / identidad 7 Pasaporte</x:v>
      </x:c>
      <x:c r="D548" s="9" t="str">
        <x:v>P1</x:v>
      </x:c>
      <x:c r="E548" s="9" t="str">
        <x:v>Positiva</x:v>
      </x:c>
      <x:c r="F548" s="9" t="str">
        <x:v>Navegador + HTTP + persistencia</x:v>
      </x:c>
      <x:c r="G548" s="10" t="str">
        <x:v>Pendiente</x:v>
      </x:c>
      <x:c r="H548" s="10"/>
      <x:c r="I548" s="10"/>
      <x:c r="J548" s="10"/>
      <x:c r="K548" s="10"/>
      <x:c r="L548" s="11"/>
      <x:c r="M548" s="12"/>
      <x:c r="N548" s="10"/>
    </x:row>
    <x:row r="549" ht="25" customHeight="1">
      <x:c r="A549" s="9" t="str">
        <x:v>QA-MAT-093</x:v>
      </x:c>
      <x:c r="B549" s="9" t="str">
        <x:v>MAT</x:v>
      </x:c>
      <x:c r="C549" s="9" t="str">
        <x:v>Hotel / 80 / identidad E Extranjero</x:v>
      </x:c>
      <x:c r="D549" s="9" t="str">
        <x:v>P1</x:v>
      </x:c>
      <x:c r="E549" s="9" t="str">
        <x:v>Positiva</x:v>
      </x:c>
      <x:c r="F549" s="9" t="str">
        <x:v>Navegador + HTTP + persistencia</x:v>
      </x:c>
      <x:c r="G549" s="10" t="str">
        <x:v>Pendiente</x:v>
      </x:c>
      <x:c r="H549" s="10"/>
      <x:c r="I549" s="10"/>
      <x:c r="J549" s="10"/>
      <x:c r="K549" s="10"/>
      <x:c r="L549" s="11"/>
      <x:c r="M549" s="12"/>
      <x:c r="N549" s="10"/>
    </x:row>
    <x:row r="550" ht="25" customHeight="1">
      <x:c r="A550" s="9" t="str">
        <x:v>QA-MAT-094</x:v>
      </x:c>
      <x:c r="B550" s="9" t="str">
        <x:v>MAT</x:v>
      </x:c>
      <x:c r="C550" s="9" t="str">
        <x:v>Hotel / 80 / identidad C Comuna</x:v>
      </x:c>
      <x:c r="D550" s="9" t="str">
        <x:v>P1</x:v>
      </x:c>
      <x:c r="E550" s="9" t="str">
        <x:v>Positiva</x:v>
      </x:c>
      <x:c r="F550" s="9" t="str">
        <x:v>Navegador + HTTP + persistencia</x:v>
      </x:c>
      <x:c r="G550" s="10" t="str">
        <x:v>Pendiente</x:v>
      </x:c>
      <x:c r="H550" s="10"/>
      <x:c r="I550" s="10"/>
      <x:c r="J550" s="10"/>
      <x:c r="K550" s="10"/>
      <x:c r="L550" s="11"/>
      <x:c r="M550" s="12"/>
      <x:c r="N550" s="10"/>
    </x:row>
    <x:row r="551" ht="25" customHeight="1">
      <x:c r="A551" s="9" t="str">
        <x:v>QA-MAT-095</x:v>
      </x:c>
      <x:c r="B551" s="9" t="str">
        <x:v>MAT</x:v>
      </x:c>
      <x:c r="C551" s="9" t="str">
        <x:v>Hotel / 80 / identidad G Gubernamental</x:v>
      </x:c>
      <x:c r="D551" s="9" t="str">
        <x:v>P1</x:v>
      </x:c>
      <x:c r="E551" s="9" t="str">
        <x:v>Positiva</x:v>
      </x:c>
      <x:c r="F551" s="9" t="str">
        <x:v>Navegador + HTTP + persistencia</x:v>
      </x:c>
      <x:c r="G551" s="10" t="str">
        <x:v>Pendiente</x:v>
      </x:c>
      <x:c r="H551" s="10"/>
      <x:c r="I551" s="10"/>
      <x:c r="J551" s="10"/>
      <x:c r="K551" s="10"/>
      <x:c r="L551" s="11"/>
      <x:c r="M551" s="12"/>
      <x:c r="N551" s="10"/>
    </x:row>
    <x:row r="552" ht="25" customHeight="1">
      <x:c r="A552" s="9" t="str">
        <x:v>QA-MAT-096</x:v>
      </x:c>
      <x:c r="B552" s="9" t="str">
        <x:v>MAT</x:v>
      </x:c>
      <x:c r="C552" s="9" t="str">
        <x:v>Hotel / 80 / identidad R Firma Personal</x:v>
      </x:c>
      <x:c r="D552" s="9" t="str">
        <x:v>P1</x:v>
      </x:c>
      <x:c r="E552" s="9" t="str">
        <x:v>Positiva</x:v>
      </x:c>
      <x:c r="F552" s="9" t="str">
        <x:v>Navegador + HTTP + persistencia</x:v>
      </x:c>
      <x:c r="G552" s="10" t="str">
        <x:v>Pendiente</x:v>
      </x:c>
      <x:c r="H552" s="10"/>
      <x:c r="I552" s="10"/>
      <x:c r="J552" s="10"/>
      <x:c r="K552" s="10"/>
      <x:c r="L552" s="11"/>
      <x:c r="M552" s="12"/>
      <x:c r="N552" s="10"/>
    </x:row>
    <x:row r="553" ht="25" customHeight="1">
      <x:c r="A553" s="9" t="str">
        <x:v>QA-MAT-097</x:v>
      </x:c>
      <x:c r="B553" s="9" t="str">
        <x:v>MAT</x:v>
      </x:c>
      <x:c r="C553" s="9" t="str">
        <x:v>Restaurante / 01 / identidad 0 Doc.sin.rif</x:v>
      </x:c>
      <x:c r="D553" s="9" t="str">
        <x:v>P1</x:v>
      </x:c>
      <x:c r="E553" s="9" t="str">
        <x:v>Positiva</x:v>
      </x:c>
      <x:c r="F553" s="9" t="str">
        <x:v>Navegador + HTTP + persistencia</x:v>
      </x:c>
      <x:c r="G553" s="10" t="str">
        <x:v>Pendiente</x:v>
      </x:c>
      <x:c r="H553" s="10"/>
      <x:c r="I553" s="10"/>
      <x:c r="J553" s="10"/>
      <x:c r="K553" s="10"/>
      <x:c r="L553" s="11"/>
      <x:c r="M553" s="12"/>
      <x:c r="N553" s="10"/>
    </x:row>
    <x:row r="554" ht="25" customHeight="1">
      <x:c r="A554" s="9" t="str">
        <x:v>QA-MAT-098</x:v>
      </x:c>
      <x:c r="B554" s="9" t="str">
        <x:v>MAT</x:v>
      </x:c>
      <x:c r="C554" s="9" t="str">
        <x:v>Restaurante / 01 / identidad 1 Venezolano</x:v>
      </x:c>
      <x:c r="D554" s="9" t="str">
        <x:v>P1</x:v>
      </x:c>
      <x:c r="E554" s="9" t="str">
        <x:v>Positiva</x:v>
      </x:c>
      <x:c r="F554" s="9" t="str">
        <x:v>Navegador + HTTP + persistencia</x:v>
      </x:c>
      <x:c r="G554" s="10" t="str">
        <x:v>Pendiente</x:v>
      </x:c>
      <x:c r="H554" s="10"/>
      <x:c r="I554" s="10"/>
      <x:c r="J554" s="10"/>
      <x:c r="K554" s="10"/>
      <x:c r="L554" s="11"/>
      <x:c r="M554" s="12"/>
      <x:c r="N554" s="10"/>
    </x:row>
    <x:row r="555" ht="25" customHeight="1">
      <x:c r="A555" s="9" t="str">
        <x:v>QA-MAT-099</x:v>
      </x:c>
      <x:c r="B555" s="9" t="str">
        <x:v>MAT</x:v>
      </x:c>
      <x:c r="C555" s="9" t="str">
        <x:v>Restaurante / 01 / identidad 6 Juridico</x:v>
      </x:c>
      <x:c r="D555" s="9" t="str">
        <x:v>P1</x:v>
      </x:c>
      <x:c r="E555" s="9" t="str">
        <x:v>Positiva</x:v>
      </x:c>
      <x:c r="F555" s="9" t="str">
        <x:v>Navegador + HTTP + persistencia</x:v>
      </x:c>
      <x:c r="G555" s="10" t="str">
        <x:v>Pendiente</x:v>
      </x:c>
      <x:c r="H555" s="10"/>
      <x:c r="I555" s="10"/>
      <x:c r="J555" s="10"/>
      <x:c r="K555" s="10"/>
      <x:c r="L555" s="11"/>
      <x:c r="M555" s="12"/>
      <x:c r="N555" s="10"/>
    </x:row>
    <x:row r="556" ht="25" customHeight="1">
      <x:c r="A556" s="9" t="str">
        <x:v>QA-MAT-100</x:v>
      </x:c>
      <x:c r="B556" s="9" t="str">
        <x:v>MAT</x:v>
      </x:c>
      <x:c r="C556" s="9" t="str">
        <x:v>Restaurante / 01 / identidad 7 Pasaporte</x:v>
      </x:c>
      <x:c r="D556" s="9" t="str">
        <x:v>P1</x:v>
      </x:c>
      <x:c r="E556" s="9" t="str">
        <x:v>Positiva</x:v>
      </x:c>
      <x:c r="F556" s="9" t="str">
        <x:v>Navegador + HTTP + persistencia</x:v>
      </x:c>
      <x:c r="G556" s="10" t="str">
        <x:v>Pendiente</x:v>
      </x:c>
      <x:c r="H556" s="10"/>
      <x:c r="I556" s="10"/>
      <x:c r="J556" s="10"/>
      <x:c r="K556" s="10"/>
      <x:c r="L556" s="11"/>
      <x:c r="M556" s="12"/>
      <x:c r="N556" s="10"/>
    </x:row>
    <x:row r="557" ht="25" customHeight="1">
      <x:c r="A557" s="9" t="str">
        <x:v>QA-MAT-101</x:v>
      </x:c>
      <x:c r="B557" s="9" t="str">
        <x:v>MAT</x:v>
      </x:c>
      <x:c r="C557" s="9" t="str">
        <x:v>Restaurante / 01 / identidad E Extranjero</x:v>
      </x:c>
      <x:c r="D557" s="9" t="str">
        <x:v>P1</x:v>
      </x:c>
      <x:c r="E557" s="9" t="str">
        <x:v>Positiva</x:v>
      </x:c>
      <x:c r="F557" s="9" t="str">
        <x:v>Navegador + HTTP + persistencia</x:v>
      </x:c>
      <x:c r="G557" s="10" t="str">
        <x:v>Pendiente</x:v>
      </x:c>
      <x:c r="H557" s="10"/>
      <x:c r="I557" s="10"/>
      <x:c r="J557" s="10"/>
      <x:c r="K557" s="10"/>
      <x:c r="L557" s="11"/>
      <x:c r="M557" s="12"/>
      <x:c r="N557" s="10"/>
    </x:row>
    <x:row r="558" ht="25" customHeight="1">
      <x:c r="A558" s="9" t="str">
        <x:v>QA-MAT-102</x:v>
      </x:c>
      <x:c r="B558" s="9" t="str">
        <x:v>MAT</x:v>
      </x:c>
      <x:c r="C558" s="9" t="str">
        <x:v>Restaurante / 01 / identidad C Comuna</x:v>
      </x:c>
      <x:c r="D558" s="9" t="str">
        <x:v>P1</x:v>
      </x:c>
      <x:c r="E558" s="9" t="str">
        <x:v>Positiva</x:v>
      </x:c>
      <x:c r="F558" s="9" t="str">
        <x:v>Navegador + HTTP + persistencia</x:v>
      </x:c>
      <x:c r="G558" s="10" t="str">
        <x:v>Pendiente</x:v>
      </x:c>
      <x:c r="H558" s="10"/>
      <x:c r="I558" s="10"/>
      <x:c r="J558" s="10"/>
      <x:c r="K558" s="10"/>
      <x:c r="L558" s="11"/>
      <x:c r="M558" s="12"/>
      <x:c r="N558" s="10"/>
    </x:row>
    <x:row r="559" ht="25" customHeight="1">
      <x:c r="A559" s="9" t="str">
        <x:v>QA-MAT-103</x:v>
      </x:c>
      <x:c r="B559" s="9" t="str">
        <x:v>MAT</x:v>
      </x:c>
      <x:c r="C559" s="9" t="str">
        <x:v>Restaurante / 01 / identidad G Gubernamental</x:v>
      </x:c>
      <x:c r="D559" s="9" t="str">
        <x:v>P1</x:v>
      </x:c>
      <x:c r="E559" s="9" t="str">
        <x:v>Positiva</x:v>
      </x:c>
      <x:c r="F559" s="9" t="str">
        <x:v>Navegador + HTTP + persistencia</x:v>
      </x:c>
      <x:c r="G559" s="10" t="str">
        <x:v>Pendiente</x:v>
      </x:c>
      <x:c r="H559" s="10"/>
      <x:c r="I559" s="10"/>
      <x:c r="J559" s="10"/>
      <x:c r="K559" s="10"/>
      <x:c r="L559" s="11"/>
      <x:c r="M559" s="12"/>
      <x:c r="N559" s="10"/>
    </x:row>
    <x:row r="560" ht="25" customHeight="1">
      <x:c r="A560" s="9" t="str">
        <x:v>QA-MAT-104</x:v>
      </x:c>
      <x:c r="B560" s="9" t="str">
        <x:v>MAT</x:v>
      </x:c>
      <x:c r="C560" s="9" t="str">
        <x:v>Restaurante / 01 / identidad R Firma Personal</x:v>
      </x:c>
      <x:c r="D560" s="9" t="str">
        <x:v>P1</x:v>
      </x:c>
      <x:c r="E560" s="9" t="str">
        <x:v>Positiva</x:v>
      </x:c>
      <x:c r="F560" s="9" t="str">
        <x:v>Navegador + HTTP + persistencia</x:v>
      </x:c>
      <x:c r="G560" s="10" t="str">
        <x:v>Pendiente</x:v>
      </x:c>
      <x:c r="H560" s="10"/>
      <x:c r="I560" s="10"/>
      <x:c r="J560" s="10"/>
      <x:c r="K560" s="10"/>
      <x:c r="L560" s="11"/>
      <x:c r="M560" s="12"/>
      <x:c r="N560" s="10"/>
    </x:row>
    <x:row r="561" ht="25" customHeight="1">
      <x:c r="A561" s="9" t="str">
        <x:v>QA-MAT-105</x:v>
      </x:c>
      <x:c r="B561" s="9" t="str">
        <x:v>MAT</x:v>
      </x:c>
      <x:c r="C561" s="9" t="str">
        <x:v>Restaurante / 80 / identidad 0 Doc.sin.rif</x:v>
      </x:c>
      <x:c r="D561" s="9" t="str">
        <x:v>P1</x:v>
      </x:c>
      <x:c r="E561" s="9" t="str">
        <x:v>Positiva</x:v>
      </x:c>
      <x:c r="F561" s="9" t="str">
        <x:v>Navegador + HTTP + persistencia</x:v>
      </x:c>
      <x:c r="G561" s="10" t="str">
        <x:v>Pendiente</x:v>
      </x:c>
      <x:c r="H561" s="10"/>
      <x:c r="I561" s="10"/>
      <x:c r="J561" s="10"/>
      <x:c r="K561" s="10"/>
      <x:c r="L561" s="11"/>
      <x:c r="M561" s="12"/>
      <x:c r="N561" s="10"/>
    </x:row>
    <x:row r="562" ht="25" customHeight="1">
      <x:c r="A562" s="9" t="str">
        <x:v>QA-MAT-106</x:v>
      </x:c>
      <x:c r="B562" s="9" t="str">
        <x:v>MAT</x:v>
      </x:c>
      <x:c r="C562" s="9" t="str">
        <x:v>Restaurante / 80 / identidad 1 Venezolano</x:v>
      </x:c>
      <x:c r="D562" s="9" t="str">
        <x:v>P1</x:v>
      </x:c>
      <x:c r="E562" s="9" t="str">
        <x:v>Positiva</x:v>
      </x:c>
      <x:c r="F562" s="9" t="str">
        <x:v>Navegador + HTTP + persistencia</x:v>
      </x:c>
      <x:c r="G562" s="10" t="str">
        <x:v>Pendiente</x:v>
      </x:c>
      <x:c r="H562" s="10"/>
      <x:c r="I562" s="10"/>
      <x:c r="J562" s="10"/>
      <x:c r="K562" s="10"/>
      <x:c r="L562" s="11"/>
      <x:c r="M562" s="12"/>
      <x:c r="N562" s="10"/>
    </x:row>
    <x:row r="563" ht="25" customHeight="1">
      <x:c r="A563" s="9" t="str">
        <x:v>QA-MAT-107</x:v>
      </x:c>
      <x:c r="B563" s="9" t="str">
        <x:v>MAT</x:v>
      </x:c>
      <x:c r="C563" s="9" t="str">
        <x:v>Restaurante / 80 / identidad 6 Juridico</x:v>
      </x:c>
      <x:c r="D563" s="9" t="str">
        <x:v>P1</x:v>
      </x:c>
      <x:c r="E563" s="9" t="str">
        <x:v>Positiva</x:v>
      </x:c>
      <x:c r="F563" s="9" t="str">
        <x:v>Navegador + HTTP + persistencia</x:v>
      </x:c>
      <x:c r="G563" s="10" t="str">
        <x:v>Pendiente</x:v>
      </x:c>
      <x:c r="H563" s="10"/>
      <x:c r="I563" s="10"/>
      <x:c r="J563" s="10"/>
      <x:c r="K563" s="10"/>
      <x:c r="L563" s="11"/>
      <x:c r="M563" s="12"/>
      <x:c r="N563" s="10"/>
    </x:row>
    <x:row r="564" ht="25" customHeight="1">
      <x:c r="A564" s="9" t="str">
        <x:v>QA-MAT-108</x:v>
      </x:c>
      <x:c r="B564" s="9" t="str">
        <x:v>MAT</x:v>
      </x:c>
      <x:c r="C564" s="9" t="str">
        <x:v>Restaurante / 80 / identidad 7 Pasaporte</x:v>
      </x:c>
      <x:c r="D564" s="9" t="str">
        <x:v>P1</x:v>
      </x:c>
      <x:c r="E564" s="9" t="str">
        <x:v>Positiva</x:v>
      </x:c>
      <x:c r="F564" s="9" t="str">
        <x:v>Navegador + HTTP + persistencia</x:v>
      </x:c>
      <x:c r="G564" s="10" t="str">
        <x:v>Pendiente</x:v>
      </x:c>
      <x:c r="H564" s="10"/>
      <x:c r="I564" s="10"/>
      <x:c r="J564" s="10"/>
      <x:c r="K564" s="10"/>
      <x:c r="L564" s="11"/>
      <x:c r="M564" s="12"/>
      <x:c r="N564" s="10"/>
    </x:row>
    <x:row r="565" ht="25" customHeight="1">
      <x:c r="A565" s="9" t="str">
        <x:v>QA-MAT-109</x:v>
      </x:c>
      <x:c r="B565" s="9" t="str">
        <x:v>MAT</x:v>
      </x:c>
      <x:c r="C565" s="9" t="str">
        <x:v>Restaurante / 80 / identidad E Extranjero</x:v>
      </x:c>
      <x:c r="D565" s="9" t="str">
        <x:v>P1</x:v>
      </x:c>
      <x:c r="E565" s="9" t="str">
        <x:v>Positiva</x:v>
      </x:c>
      <x:c r="F565" s="9" t="str">
        <x:v>Navegador + HTTP + persistencia</x:v>
      </x:c>
      <x:c r="G565" s="10" t="str">
        <x:v>Pendiente</x:v>
      </x:c>
      <x:c r="H565" s="10"/>
      <x:c r="I565" s="10"/>
      <x:c r="J565" s="10"/>
      <x:c r="K565" s="10"/>
      <x:c r="L565" s="11"/>
      <x:c r="M565" s="12"/>
      <x:c r="N565" s="10"/>
    </x:row>
    <x:row r="566" ht="25" customHeight="1">
      <x:c r="A566" s="9" t="str">
        <x:v>QA-MAT-110</x:v>
      </x:c>
      <x:c r="B566" s="9" t="str">
        <x:v>MAT</x:v>
      </x:c>
      <x:c r="C566" s="9" t="str">
        <x:v>Restaurante / 80 / identidad C Comuna</x:v>
      </x:c>
      <x:c r="D566" s="9" t="str">
        <x:v>P1</x:v>
      </x:c>
      <x:c r="E566" s="9" t="str">
        <x:v>Positiva</x:v>
      </x:c>
      <x:c r="F566" s="9" t="str">
        <x:v>Navegador + HTTP + persistencia</x:v>
      </x:c>
      <x:c r="G566" s="10" t="str">
        <x:v>Pendiente</x:v>
      </x:c>
      <x:c r="H566" s="10"/>
      <x:c r="I566" s="10"/>
      <x:c r="J566" s="10"/>
      <x:c r="K566" s="10"/>
      <x:c r="L566" s="11"/>
      <x:c r="M566" s="12"/>
      <x:c r="N566" s="10"/>
    </x:row>
    <x:row r="567" ht="25" customHeight="1">
      <x:c r="A567" s="9" t="str">
        <x:v>QA-MAT-111</x:v>
      </x:c>
      <x:c r="B567" s="9" t="str">
        <x:v>MAT</x:v>
      </x:c>
      <x:c r="C567" s="9" t="str">
        <x:v>Restaurante / 80 / identidad G Gubernamental</x:v>
      </x:c>
      <x:c r="D567" s="9" t="str">
        <x:v>P1</x:v>
      </x:c>
      <x:c r="E567" s="9" t="str">
        <x:v>Positiva</x:v>
      </x:c>
      <x:c r="F567" s="9" t="str">
        <x:v>Navegador + HTTP + persistencia</x:v>
      </x:c>
      <x:c r="G567" s="10" t="str">
        <x:v>Pendiente</x:v>
      </x:c>
      <x:c r="H567" s="10"/>
      <x:c r="I567" s="10"/>
      <x:c r="J567" s="10"/>
      <x:c r="K567" s="10"/>
      <x:c r="L567" s="11"/>
      <x:c r="M567" s="12"/>
      <x:c r="N567" s="10"/>
    </x:row>
    <x:row r="568" ht="25" customHeight="1">
      <x:c r="A568" s="9" t="str">
        <x:v>QA-MAT-112</x:v>
      </x:c>
      <x:c r="B568" s="9" t="str">
        <x:v>MAT</x:v>
      </x:c>
      <x:c r="C568" s="9" t="str">
        <x:v>Restaurante / 80 / identidad R Firma Personal</x:v>
      </x:c>
      <x:c r="D568" s="9" t="str">
        <x:v>P1</x:v>
      </x:c>
      <x:c r="E568" s="9" t="str">
        <x:v>Positiva</x:v>
      </x:c>
      <x:c r="F568" s="9" t="str">
        <x:v>Navegador + HTTP + persistencia</x:v>
      </x:c>
      <x:c r="G568" s="10" t="str">
        <x:v>Pendiente</x:v>
      </x:c>
      <x:c r="H568" s="10"/>
      <x:c r="I568" s="10"/>
      <x:c r="J568" s="10"/>
      <x:c r="K568" s="10"/>
      <x:c r="L568" s="11"/>
      <x:c r="M568" s="12"/>
      <x:c r="N568" s="10"/>
    </x:row>
    <x:row r="569" ht="25" customHeight="1">
      <x:c r="A569" s="9" t="str">
        <x:v>QA-MAT-113</x:v>
      </x:c>
      <x:c r="B569" s="9" t="str">
        <x:v>MAT</x:v>
      </x:c>
      <x:c r="C569" s="9" t="str">
        <x:v>Ecommerce / 01 / identidad 0 Doc.sin.rif</x:v>
      </x:c>
      <x:c r="D569" s="9" t="str">
        <x:v>P1</x:v>
      </x:c>
      <x:c r="E569" s="9" t="str">
        <x:v>Positiva</x:v>
      </x:c>
      <x:c r="F569" s="9" t="str">
        <x:v>Navegador + HTTP + persistencia</x:v>
      </x:c>
      <x:c r="G569" s="10" t="str">
        <x:v>Pendiente</x:v>
      </x:c>
      <x:c r="H569" s="10"/>
      <x:c r="I569" s="10"/>
      <x:c r="J569" s="10"/>
      <x:c r="K569" s="10"/>
      <x:c r="L569" s="11"/>
      <x:c r="M569" s="12"/>
      <x:c r="N569" s="10"/>
    </x:row>
    <x:row r="570" ht="25" customHeight="1">
      <x:c r="A570" s="9" t="str">
        <x:v>QA-MAT-114</x:v>
      </x:c>
      <x:c r="B570" s="9" t="str">
        <x:v>MAT</x:v>
      </x:c>
      <x:c r="C570" s="9" t="str">
        <x:v>Ecommerce / 01 / identidad 1 Venezolano</x:v>
      </x:c>
      <x:c r="D570" s="9" t="str">
        <x:v>P1</x:v>
      </x:c>
      <x:c r="E570" s="9" t="str">
        <x:v>Positiva</x:v>
      </x:c>
      <x:c r="F570" s="9" t="str">
        <x:v>Navegador + HTTP + persistencia</x:v>
      </x:c>
      <x:c r="G570" s="10" t="str">
        <x:v>Pendiente</x:v>
      </x:c>
      <x:c r="H570" s="10"/>
      <x:c r="I570" s="10"/>
      <x:c r="J570" s="10"/>
      <x:c r="K570" s="10"/>
      <x:c r="L570" s="11"/>
      <x:c r="M570" s="12"/>
      <x:c r="N570" s="10"/>
    </x:row>
    <x:row r="571" ht="25" customHeight="1">
      <x:c r="A571" s="9" t="str">
        <x:v>QA-MAT-115</x:v>
      </x:c>
      <x:c r="B571" s="9" t="str">
        <x:v>MAT</x:v>
      </x:c>
      <x:c r="C571" s="9" t="str">
        <x:v>Ecommerce / 01 / identidad 6 Juridico</x:v>
      </x:c>
      <x:c r="D571" s="9" t="str">
        <x:v>P1</x:v>
      </x:c>
      <x:c r="E571" s="9" t="str">
        <x:v>Positiva</x:v>
      </x:c>
      <x:c r="F571" s="9" t="str">
        <x:v>Navegador + HTTP + persistencia</x:v>
      </x:c>
      <x:c r="G571" s="10" t="str">
        <x:v>Pendiente</x:v>
      </x:c>
      <x:c r="H571" s="10"/>
      <x:c r="I571" s="10"/>
      <x:c r="J571" s="10"/>
      <x:c r="K571" s="10"/>
      <x:c r="L571" s="11"/>
      <x:c r="M571" s="12"/>
      <x:c r="N571" s="10"/>
    </x:row>
    <x:row r="572" ht="25" customHeight="1">
      <x:c r="A572" s="9" t="str">
        <x:v>QA-MAT-116</x:v>
      </x:c>
      <x:c r="B572" s="9" t="str">
        <x:v>MAT</x:v>
      </x:c>
      <x:c r="C572" s="9" t="str">
        <x:v>Ecommerce / 01 / identidad 7 Pasaporte</x:v>
      </x:c>
      <x:c r="D572" s="9" t="str">
        <x:v>P1</x:v>
      </x:c>
      <x:c r="E572" s="9" t="str">
        <x:v>Positiva</x:v>
      </x:c>
      <x:c r="F572" s="9" t="str">
        <x:v>Navegador + HTTP + persistencia</x:v>
      </x:c>
      <x:c r="G572" s="10" t="str">
        <x:v>Pendiente</x:v>
      </x:c>
      <x:c r="H572" s="10"/>
      <x:c r="I572" s="10"/>
      <x:c r="J572" s="10"/>
      <x:c r="K572" s="10"/>
      <x:c r="L572" s="11"/>
      <x:c r="M572" s="12"/>
      <x:c r="N572" s="10"/>
    </x:row>
    <x:row r="573" ht="25" customHeight="1">
      <x:c r="A573" s="9" t="str">
        <x:v>QA-MAT-117</x:v>
      </x:c>
      <x:c r="B573" s="9" t="str">
        <x:v>MAT</x:v>
      </x:c>
      <x:c r="C573" s="9" t="str">
        <x:v>Ecommerce / 01 / identidad E Extranjero</x:v>
      </x:c>
      <x:c r="D573" s="9" t="str">
        <x:v>P1</x:v>
      </x:c>
      <x:c r="E573" s="9" t="str">
        <x:v>Positiva</x:v>
      </x:c>
      <x:c r="F573" s="9" t="str">
        <x:v>Navegador + HTTP + persistencia</x:v>
      </x:c>
      <x:c r="G573" s="10" t="str">
        <x:v>Pendiente</x:v>
      </x:c>
      <x:c r="H573" s="10"/>
      <x:c r="I573" s="10"/>
      <x:c r="J573" s="10"/>
      <x:c r="K573" s="10"/>
      <x:c r="L573" s="11"/>
      <x:c r="M573" s="12"/>
      <x:c r="N573" s="10"/>
    </x:row>
    <x:row r="574" ht="25" customHeight="1">
      <x:c r="A574" s="9" t="str">
        <x:v>QA-MAT-118</x:v>
      </x:c>
      <x:c r="B574" s="9" t="str">
        <x:v>MAT</x:v>
      </x:c>
      <x:c r="C574" s="9" t="str">
        <x:v>Ecommerce / 01 / identidad C Comuna</x:v>
      </x:c>
      <x:c r="D574" s="9" t="str">
        <x:v>P1</x:v>
      </x:c>
      <x:c r="E574" s="9" t="str">
        <x:v>Positiva</x:v>
      </x:c>
      <x:c r="F574" s="9" t="str">
        <x:v>Navegador + HTTP + persistencia</x:v>
      </x:c>
      <x:c r="G574" s="10" t="str">
        <x:v>Pendiente</x:v>
      </x:c>
      <x:c r="H574" s="10"/>
      <x:c r="I574" s="10"/>
      <x:c r="J574" s="10"/>
      <x:c r="K574" s="10"/>
      <x:c r="L574" s="11"/>
      <x:c r="M574" s="12"/>
      <x:c r="N574" s="10"/>
    </x:row>
    <x:row r="575" ht="25" customHeight="1">
      <x:c r="A575" s="9" t="str">
        <x:v>QA-MAT-119</x:v>
      </x:c>
      <x:c r="B575" s="9" t="str">
        <x:v>MAT</x:v>
      </x:c>
      <x:c r="C575" s="9" t="str">
        <x:v>Ecommerce / 01 / identidad G Gubernamental</x:v>
      </x:c>
      <x:c r="D575" s="9" t="str">
        <x:v>P1</x:v>
      </x:c>
      <x:c r="E575" s="9" t="str">
        <x:v>Positiva</x:v>
      </x:c>
      <x:c r="F575" s="9" t="str">
        <x:v>Navegador + HTTP + persistencia</x:v>
      </x:c>
      <x:c r="G575" s="10" t="str">
        <x:v>Pendiente</x:v>
      </x:c>
      <x:c r="H575" s="10"/>
      <x:c r="I575" s="10"/>
      <x:c r="J575" s="10"/>
      <x:c r="K575" s="10"/>
      <x:c r="L575" s="11"/>
      <x:c r="M575" s="12"/>
      <x:c r="N575" s="10"/>
    </x:row>
    <x:row r="576" ht="25" customHeight="1">
      <x:c r="A576" s="9" t="str">
        <x:v>QA-MAT-120</x:v>
      </x:c>
      <x:c r="B576" s="9" t="str">
        <x:v>MAT</x:v>
      </x:c>
      <x:c r="C576" s="9" t="str">
        <x:v>Ecommerce / 01 / identidad R Firma Personal</x:v>
      </x:c>
      <x:c r="D576" s="9" t="str">
        <x:v>P1</x:v>
      </x:c>
      <x:c r="E576" s="9" t="str">
        <x:v>Positiva</x:v>
      </x:c>
      <x:c r="F576" s="9" t="str">
        <x:v>Navegador + HTTP + persistencia</x:v>
      </x:c>
      <x:c r="G576" s="10" t="str">
        <x:v>Pendiente</x:v>
      </x:c>
      <x:c r="H576" s="10"/>
      <x:c r="I576" s="10"/>
      <x:c r="J576" s="10"/>
      <x:c r="K576" s="10"/>
      <x:c r="L576" s="11"/>
      <x:c r="M576" s="12"/>
      <x:c r="N576" s="10"/>
    </x:row>
    <x:row r="577" ht="25" customHeight="1">
      <x:c r="A577" s="9" t="str">
        <x:v>QA-MAT-121</x:v>
      </x:c>
      <x:c r="B577" s="9" t="str">
        <x:v>MAT</x:v>
      </x:c>
      <x:c r="C577" s="9" t="str">
        <x:v>Ecommerce / 80 / identidad 0 Doc.sin.rif</x:v>
      </x:c>
      <x:c r="D577" s="9" t="str">
        <x:v>P1</x:v>
      </x:c>
      <x:c r="E577" s="9" t="str">
        <x:v>Positiva</x:v>
      </x:c>
      <x:c r="F577" s="9" t="str">
        <x:v>Navegador + HTTP + persistencia</x:v>
      </x:c>
      <x:c r="G577" s="10" t="str">
        <x:v>Pendiente</x:v>
      </x:c>
      <x:c r="H577" s="10"/>
      <x:c r="I577" s="10"/>
      <x:c r="J577" s="10"/>
      <x:c r="K577" s="10"/>
      <x:c r="L577" s="11"/>
      <x:c r="M577" s="12"/>
      <x:c r="N577" s="10"/>
    </x:row>
    <x:row r="578" ht="25" customHeight="1">
      <x:c r="A578" s="9" t="str">
        <x:v>QA-MAT-122</x:v>
      </x:c>
      <x:c r="B578" s="9" t="str">
        <x:v>MAT</x:v>
      </x:c>
      <x:c r="C578" s="9" t="str">
        <x:v>Ecommerce / 80 / identidad 1 Venezolano</x:v>
      </x:c>
      <x:c r="D578" s="9" t="str">
        <x:v>P1</x:v>
      </x:c>
      <x:c r="E578" s="9" t="str">
        <x:v>Positiva</x:v>
      </x:c>
      <x:c r="F578" s="9" t="str">
        <x:v>Navegador + HTTP + persistencia</x:v>
      </x:c>
      <x:c r="G578" s="10" t="str">
        <x:v>Pendiente</x:v>
      </x:c>
      <x:c r="H578" s="10"/>
      <x:c r="I578" s="10"/>
      <x:c r="J578" s="10"/>
      <x:c r="K578" s="10"/>
      <x:c r="L578" s="11"/>
      <x:c r="M578" s="12"/>
      <x:c r="N578" s="10"/>
    </x:row>
    <x:row r="579" ht="25" customHeight="1">
      <x:c r="A579" s="9" t="str">
        <x:v>QA-MAT-123</x:v>
      </x:c>
      <x:c r="B579" s="9" t="str">
        <x:v>MAT</x:v>
      </x:c>
      <x:c r="C579" s="9" t="str">
        <x:v>Ecommerce / 80 / identidad 6 Juridico</x:v>
      </x:c>
      <x:c r="D579" s="9" t="str">
        <x:v>P1</x:v>
      </x:c>
      <x:c r="E579" s="9" t="str">
        <x:v>Positiva</x:v>
      </x:c>
      <x:c r="F579" s="9" t="str">
        <x:v>Navegador + HTTP + persistencia</x:v>
      </x:c>
      <x:c r="G579" s="10" t="str">
        <x:v>Pendiente</x:v>
      </x:c>
      <x:c r="H579" s="10"/>
      <x:c r="I579" s="10"/>
      <x:c r="J579" s="10"/>
      <x:c r="K579" s="10"/>
      <x:c r="L579" s="11"/>
      <x:c r="M579" s="12"/>
      <x:c r="N579" s="10"/>
    </x:row>
    <x:row r="580" ht="25" customHeight="1">
      <x:c r="A580" s="9" t="str">
        <x:v>QA-MAT-124</x:v>
      </x:c>
      <x:c r="B580" s="9" t="str">
        <x:v>MAT</x:v>
      </x:c>
      <x:c r="C580" s="9" t="str">
        <x:v>Ecommerce / 80 / identidad 7 Pasaporte</x:v>
      </x:c>
      <x:c r="D580" s="9" t="str">
        <x:v>P1</x:v>
      </x:c>
      <x:c r="E580" s="9" t="str">
        <x:v>Positiva</x:v>
      </x:c>
      <x:c r="F580" s="9" t="str">
        <x:v>Navegador + HTTP + persistencia</x:v>
      </x:c>
      <x:c r="G580" s="10" t="str">
        <x:v>Pendiente</x:v>
      </x:c>
      <x:c r="H580" s="10"/>
      <x:c r="I580" s="10"/>
      <x:c r="J580" s="10"/>
      <x:c r="K580" s="10"/>
      <x:c r="L580" s="11"/>
      <x:c r="M580" s="12"/>
      <x:c r="N580" s="10"/>
    </x:row>
    <x:row r="581" ht="25" customHeight="1">
      <x:c r="A581" s="9" t="str">
        <x:v>QA-MAT-125</x:v>
      </x:c>
      <x:c r="B581" s="9" t="str">
        <x:v>MAT</x:v>
      </x:c>
      <x:c r="C581" s="9" t="str">
        <x:v>Ecommerce / 80 / identidad E Extranjero</x:v>
      </x:c>
      <x:c r="D581" s="9" t="str">
        <x:v>P1</x:v>
      </x:c>
      <x:c r="E581" s="9" t="str">
        <x:v>Positiva</x:v>
      </x:c>
      <x:c r="F581" s="9" t="str">
        <x:v>Navegador + HTTP + persistencia</x:v>
      </x:c>
      <x:c r="G581" s="10" t="str">
        <x:v>Pendiente</x:v>
      </x:c>
      <x:c r="H581" s="10"/>
      <x:c r="I581" s="10"/>
      <x:c r="J581" s="10"/>
      <x:c r="K581" s="10"/>
      <x:c r="L581" s="11"/>
      <x:c r="M581" s="12"/>
      <x:c r="N581" s="10"/>
    </x:row>
    <x:row r="582" ht="25" customHeight="1">
      <x:c r="A582" s="9" t="str">
        <x:v>QA-MAT-126</x:v>
      </x:c>
      <x:c r="B582" s="9" t="str">
        <x:v>MAT</x:v>
      </x:c>
      <x:c r="C582" s="9" t="str">
        <x:v>Ecommerce / 80 / identidad C Comuna</x:v>
      </x:c>
      <x:c r="D582" s="9" t="str">
        <x:v>P1</x:v>
      </x:c>
      <x:c r="E582" s="9" t="str">
        <x:v>Positiva</x:v>
      </x:c>
      <x:c r="F582" s="9" t="str">
        <x:v>Navegador + HTTP + persistencia</x:v>
      </x:c>
      <x:c r="G582" s="10" t="str">
        <x:v>Pendiente</x:v>
      </x:c>
      <x:c r="H582" s="10"/>
      <x:c r="I582" s="10"/>
      <x:c r="J582" s="10"/>
      <x:c r="K582" s="10"/>
      <x:c r="L582" s="11"/>
      <x:c r="M582" s="12"/>
      <x:c r="N582" s="10"/>
    </x:row>
    <x:row r="583" ht="25" customHeight="1">
      <x:c r="A583" s="9" t="str">
        <x:v>QA-MAT-127</x:v>
      </x:c>
      <x:c r="B583" s="9" t="str">
        <x:v>MAT</x:v>
      </x:c>
      <x:c r="C583" s="9" t="str">
        <x:v>Ecommerce / 80 / identidad G Gubernamental</x:v>
      </x:c>
      <x:c r="D583" s="9" t="str">
        <x:v>P1</x:v>
      </x:c>
      <x:c r="E583" s="9" t="str">
        <x:v>Positiva</x:v>
      </x:c>
      <x:c r="F583" s="9" t="str">
        <x:v>Navegador + HTTP + persistencia</x:v>
      </x:c>
      <x:c r="G583" s="10" t="str">
        <x:v>Pendiente</x:v>
      </x:c>
      <x:c r="H583" s="10"/>
      <x:c r="I583" s="10"/>
      <x:c r="J583" s="10"/>
      <x:c r="K583" s="10"/>
      <x:c r="L583" s="11"/>
      <x:c r="M583" s="12"/>
      <x:c r="N583" s="10"/>
    </x:row>
    <x:row r="584" ht="25" customHeight="1">
      <x:c r="A584" s="9" t="str">
        <x:v>QA-MAT-128</x:v>
      </x:c>
      <x:c r="B584" s="9" t="str">
        <x:v>MAT</x:v>
      </x:c>
      <x:c r="C584" s="9" t="str">
        <x:v>Ecommerce / 80 / identidad R Firma Personal</x:v>
      </x:c>
      <x:c r="D584" s="9" t="str">
        <x:v>P1</x:v>
      </x:c>
      <x:c r="E584" s="9" t="str">
        <x:v>Positiva</x:v>
      </x:c>
      <x:c r="F584" s="9" t="str">
        <x:v>Navegador + HTTP + persistencia</x:v>
      </x:c>
      <x:c r="G584" s="10" t="str">
        <x:v>Pendiente</x:v>
      </x:c>
      <x:c r="H584" s="10"/>
      <x:c r="I584" s="10"/>
      <x:c r="J584" s="10"/>
      <x:c r="K584" s="10"/>
      <x:c r="L584" s="11"/>
      <x:c r="M584" s="12"/>
      <x:c r="N584" s="10"/>
    </x:row>
    <x:row r="585" ht="25" customHeight="1">
      <x:c r="A585" s="9" t="str">
        <x:v>QA-MAT-129</x:v>
      </x:c>
      <x:c r="B585" s="9" t="str">
        <x:v>MAT</x:v>
      </x:c>
      <x:c r="C585" s="9" t="str">
        <x:v>Mi Tienda / Store / 01 / identidad 0 Doc.sin.rif</x:v>
      </x:c>
      <x:c r="D585" s="9" t="str">
        <x:v>P1</x:v>
      </x:c>
      <x:c r="E585" s="9" t="str">
        <x:v>Positiva</x:v>
      </x:c>
      <x:c r="F585" s="9" t="str">
        <x:v>Navegador + HTTP + persistencia</x:v>
      </x:c>
      <x:c r="G585" s="10" t="str">
        <x:v>Pendiente</x:v>
      </x:c>
      <x:c r="H585" s="10"/>
      <x:c r="I585" s="10"/>
      <x:c r="J585" s="10"/>
      <x:c r="K585" s="10"/>
      <x:c r="L585" s="11"/>
      <x:c r="M585" s="12"/>
      <x:c r="N585" s="10"/>
    </x:row>
    <x:row r="586" ht="25" customHeight="1">
      <x:c r="A586" s="9" t="str">
        <x:v>QA-MAT-130</x:v>
      </x:c>
      <x:c r="B586" s="9" t="str">
        <x:v>MAT</x:v>
      </x:c>
      <x:c r="C586" s="9" t="str">
        <x:v>Mi Tienda / Store / 01 / identidad 1 Venezolano</x:v>
      </x:c>
      <x:c r="D586" s="9" t="str">
        <x:v>P1</x:v>
      </x:c>
      <x:c r="E586" s="9" t="str">
        <x:v>Positiva</x:v>
      </x:c>
      <x:c r="F586" s="9" t="str">
        <x:v>Navegador + HTTP + persistencia</x:v>
      </x:c>
      <x:c r="G586" s="10" t="str">
        <x:v>Pendiente</x:v>
      </x:c>
      <x:c r="H586" s="10"/>
      <x:c r="I586" s="10"/>
      <x:c r="J586" s="10"/>
      <x:c r="K586" s="10"/>
      <x:c r="L586" s="11"/>
      <x:c r="M586" s="12"/>
      <x:c r="N586" s="10"/>
    </x:row>
    <x:row r="587" ht="25" customHeight="1">
      <x:c r="A587" s="9" t="str">
        <x:v>QA-MAT-131</x:v>
      </x:c>
      <x:c r="B587" s="9" t="str">
        <x:v>MAT</x:v>
      </x:c>
      <x:c r="C587" s="9" t="str">
        <x:v>Mi Tienda / Store / 01 / identidad 6 Juridico</x:v>
      </x:c>
      <x:c r="D587" s="9" t="str">
        <x:v>P1</x:v>
      </x:c>
      <x:c r="E587" s="9" t="str">
        <x:v>Positiva</x:v>
      </x:c>
      <x:c r="F587" s="9" t="str">
        <x:v>Navegador + HTTP + persistencia</x:v>
      </x:c>
      <x:c r="G587" s="10" t="str">
        <x:v>Pendiente</x:v>
      </x:c>
      <x:c r="H587" s="10"/>
      <x:c r="I587" s="10"/>
      <x:c r="J587" s="10"/>
      <x:c r="K587" s="10"/>
      <x:c r="L587" s="11"/>
      <x:c r="M587" s="12"/>
      <x:c r="N587" s="10"/>
    </x:row>
    <x:row r="588" ht="25" customHeight="1">
      <x:c r="A588" s="9" t="str">
        <x:v>QA-MAT-132</x:v>
      </x:c>
      <x:c r="B588" s="9" t="str">
        <x:v>MAT</x:v>
      </x:c>
      <x:c r="C588" s="9" t="str">
        <x:v>Mi Tienda / Store / 01 / identidad 7 Pasaporte</x:v>
      </x:c>
      <x:c r="D588" s="9" t="str">
        <x:v>P1</x:v>
      </x:c>
      <x:c r="E588" s="9" t="str">
        <x:v>Positiva</x:v>
      </x:c>
      <x:c r="F588" s="9" t="str">
        <x:v>Navegador + HTTP + persistencia</x:v>
      </x:c>
      <x:c r="G588" s="10" t="str">
        <x:v>Pendiente</x:v>
      </x:c>
      <x:c r="H588" s="10"/>
      <x:c r="I588" s="10"/>
      <x:c r="J588" s="10"/>
      <x:c r="K588" s="10"/>
      <x:c r="L588" s="11"/>
      <x:c r="M588" s="12"/>
      <x:c r="N588" s="10"/>
    </x:row>
    <x:row r="589" ht="25" customHeight="1">
      <x:c r="A589" s="9" t="str">
        <x:v>QA-MAT-133</x:v>
      </x:c>
      <x:c r="B589" s="9" t="str">
        <x:v>MAT</x:v>
      </x:c>
      <x:c r="C589" s="9" t="str">
        <x:v>Mi Tienda / Store / 01 / identidad E Extranjero</x:v>
      </x:c>
      <x:c r="D589" s="9" t="str">
        <x:v>P1</x:v>
      </x:c>
      <x:c r="E589" s="9" t="str">
        <x:v>Positiva</x:v>
      </x:c>
      <x:c r="F589" s="9" t="str">
        <x:v>Navegador + HTTP + persistencia</x:v>
      </x:c>
      <x:c r="G589" s="10" t="str">
        <x:v>Pendiente</x:v>
      </x:c>
      <x:c r="H589" s="10"/>
      <x:c r="I589" s="10"/>
      <x:c r="J589" s="10"/>
      <x:c r="K589" s="10"/>
      <x:c r="L589" s="11"/>
      <x:c r="M589" s="12"/>
      <x:c r="N589" s="10"/>
    </x:row>
    <x:row r="590" ht="25" customHeight="1">
      <x:c r="A590" s="9" t="str">
        <x:v>QA-MAT-134</x:v>
      </x:c>
      <x:c r="B590" s="9" t="str">
        <x:v>MAT</x:v>
      </x:c>
      <x:c r="C590" s="9" t="str">
        <x:v>Mi Tienda / Store / 01 / identidad C Comuna</x:v>
      </x:c>
      <x:c r="D590" s="9" t="str">
        <x:v>P1</x:v>
      </x:c>
      <x:c r="E590" s="9" t="str">
        <x:v>Positiva</x:v>
      </x:c>
      <x:c r="F590" s="9" t="str">
        <x:v>Navegador + HTTP + persistencia</x:v>
      </x:c>
      <x:c r="G590" s="10" t="str">
        <x:v>Pendiente</x:v>
      </x:c>
      <x:c r="H590" s="10"/>
      <x:c r="I590" s="10"/>
      <x:c r="J590" s="10"/>
      <x:c r="K590" s="10"/>
      <x:c r="L590" s="11"/>
      <x:c r="M590" s="12"/>
      <x:c r="N590" s="10"/>
    </x:row>
    <x:row r="591" ht="25" customHeight="1">
      <x:c r="A591" s="9" t="str">
        <x:v>QA-MAT-135</x:v>
      </x:c>
      <x:c r="B591" s="9" t="str">
        <x:v>MAT</x:v>
      </x:c>
      <x:c r="C591" s="9" t="str">
        <x:v>Mi Tienda / Store / 01 / identidad G Gubernamental</x:v>
      </x:c>
      <x:c r="D591" s="9" t="str">
        <x:v>P1</x:v>
      </x:c>
      <x:c r="E591" s="9" t="str">
        <x:v>Positiva</x:v>
      </x:c>
      <x:c r="F591" s="9" t="str">
        <x:v>Navegador + HTTP + persistencia</x:v>
      </x:c>
      <x:c r="G591" s="10" t="str">
        <x:v>Pendiente</x:v>
      </x:c>
      <x:c r="H591" s="10"/>
      <x:c r="I591" s="10"/>
      <x:c r="J591" s="10"/>
      <x:c r="K591" s="10"/>
      <x:c r="L591" s="11"/>
      <x:c r="M591" s="12"/>
      <x:c r="N591" s="10"/>
    </x:row>
    <x:row r="592" ht="25" customHeight="1">
      <x:c r="A592" s="9" t="str">
        <x:v>QA-MAT-136</x:v>
      </x:c>
      <x:c r="B592" s="9" t="str">
        <x:v>MAT</x:v>
      </x:c>
      <x:c r="C592" s="9" t="str">
        <x:v>Mi Tienda / Store / 01 / identidad R Firma Personal</x:v>
      </x:c>
      <x:c r="D592" s="9" t="str">
        <x:v>P1</x:v>
      </x:c>
      <x:c r="E592" s="9" t="str">
        <x:v>Positiva</x:v>
      </x:c>
      <x:c r="F592" s="9" t="str">
        <x:v>Navegador + HTTP + persistencia</x:v>
      </x:c>
      <x:c r="G592" s="10" t="str">
        <x:v>Pendiente</x:v>
      </x:c>
      <x:c r="H592" s="10"/>
      <x:c r="I592" s="10"/>
      <x:c r="J592" s="10"/>
      <x:c r="K592" s="10"/>
      <x:c r="L592" s="11"/>
      <x:c r="M592" s="12"/>
      <x:c r="N592" s="10"/>
    </x:row>
    <x:row r="593" ht="25" customHeight="1">
      <x:c r="A593" s="9" t="str">
        <x:v>QA-MAT-137</x:v>
      </x:c>
      <x:c r="B593" s="9" t="str">
        <x:v>MAT</x:v>
      </x:c>
      <x:c r="C593" s="9" t="str">
        <x:v>Mi Tienda / Store / 80 / identidad 0 Doc.sin.rif</x:v>
      </x:c>
      <x:c r="D593" s="9" t="str">
        <x:v>P1</x:v>
      </x:c>
      <x:c r="E593" s="9" t="str">
        <x:v>Positiva</x:v>
      </x:c>
      <x:c r="F593" s="9" t="str">
        <x:v>Navegador + HTTP + persistencia</x:v>
      </x:c>
      <x:c r="G593" s="10" t="str">
        <x:v>Pendiente</x:v>
      </x:c>
      <x:c r="H593" s="10"/>
      <x:c r="I593" s="10"/>
      <x:c r="J593" s="10"/>
      <x:c r="K593" s="10"/>
      <x:c r="L593" s="11"/>
      <x:c r="M593" s="12"/>
      <x:c r="N593" s="10"/>
    </x:row>
    <x:row r="594" ht="25" customHeight="1">
      <x:c r="A594" s="9" t="str">
        <x:v>QA-MAT-138</x:v>
      </x:c>
      <x:c r="B594" s="9" t="str">
        <x:v>MAT</x:v>
      </x:c>
      <x:c r="C594" s="9" t="str">
        <x:v>Mi Tienda / Store / 80 / identidad 1 Venezolano</x:v>
      </x:c>
      <x:c r="D594" s="9" t="str">
        <x:v>P1</x:v>
      </x:c>
      <x:c r="E594" s="9" t="str">
        <x:v>Positiva</x:v>
      </x:c>
      <x:c r="F594" s="9" t="str">
        <x:v>Navegador + HTTP + persistencia</x:v>
      </x:c>
      <x:c r="G594" s="10" t="str">
        <x:v>Pendiente</x:v>
      </x:c>
      <x:c r="H594" s="10"/>
      <x:c r="I594" s="10"/>
      <x:c r="J594" s="10"/>
      <x:c r="K594" s="10"/>
      <x:c r="L594" s="11"/>
      <x:c r="M594" s="12"/>
      <x:c r="N594" s="10"/>
    </x:row>
    <x:row r="595" ht="25" customHeight="1">
      <x:c r="A595" s="9" t="str">
        <x:v>QA-MAT-139</x:v>
      </x:c>
      <x:c r="B595" s="9" t="str">
        <x:v>MAT</x:v>
      </x:c>
      <x:c r="C595" s="9" t="str">
        <x:v>Mi Tienda / Store / 80 / identidad 6 Juridico</x:v>
      </x:c>
      <x:c r="D595" s="9" t="str">
        <x:v>P1</x:v>
      </x:c>
      <x:c r="E595" s="9" t="str">
        <x:v>Positiva</x:v>
      </x:c>
      <x:c r="F595" s="9" t="str">
        <x:v>Navegador + HTTP + persistencia</x:v>
      </x:c>
      <x:c r="G595" s="10" t="str">
        <x:v>Pendiente</x:v>
      </x:c>
      <x:c r="H595" s="10"/>
      <x:c r="I595" s="10"/>
      <x:c r="J595" s="10"/>
      <x:c r="K595" s="10"/>
      <x:c r="L595" s="11"/>
      <x:c r="M595" s="12"/>
      <x:c r="N595" s="10"/>
    </x:row>
    <x:row r="596" ht="25" customHeight="1">
      <x:c r="A596" s="9" t="str">
        <x:v>QA-MAT-140</x:v>
      </x:c>
      <x:c r="B596" s="9" t="str">
        <x:v>MAT</x:v>
      </x:c>
      <x:c r="C596" s="9" t="str">
        <x:v>Mi Tienda / Store / 80 / identidad 7 Pasaporte</x:v>
      </x:c>
      <x:c r="D596" s="9" t="str">
        <x:v>P1</x:v>
      </x:c>
      <x:c r="E596" s="9" t="str">
        <x:v>Positiva</x:v>
      </x:c>
      <x:c r="F596" s="9" t="str">
        <x:v>Navegador + HTTP + persistencia</x:v>
      </x:c>
      <x:c r="G596" s="10" t="str">
        <x:v>Pendiente</x:v>
      </x:c>
      <x:c r="H596" s="10"/>
      <x:c r="I596" s="10"/>
      <x:c r="J596" s="10"/>
      <x:c r="K596" s="10"/>
      <x:c r="L596" s="11"/>
      <x:c r="M596" s="12"/>
      <x:c r="N596" s="10"/>
    </x:row>
    <x:row r="597" ht="25" customHeight="1">
      <x:c r="A597" s="9" t="str">
        <x:v>QA-MAT-141</x:v>
      </x:c>
      <x:c r="B597" s="9" t="str">
        <x:v>MAT</x:v>
      </x:c>
      <x:c r="C597" s="9" t="str">
        <x:v>Mi Tienda / Store / 80 / identidad E Extranjero</x:v>
      </x:c>
      <x:c r="D597" s="9" t="str">
        <x:v>P1</x:v>
      </x:c>
      <x:c r="E597" s="9" t="str">
        <x:v>Positiva</x:v>
      </x:c>
      <x:c r="F597" s="9" t="str">
        <x:v>Navegador + HTTP + persistencia</x:v>
      </x:c>
      <x:c r="G597" s="10" t="str">
        <x:v>Pendiente</x:v>
      </x:c>
      <x:c r="H597" s="10"/>
      <x:c r="I597" s="10"/>
      <x:c r="J597" s="10"/>
      <x:c r="K597" s="10"/>
      <x:c r="L597" s="11"/>
      <x:c r="M597" s="12"/>
      <x:c r="N597" s="10"/>
    </x:row>
    <x:row r="598" ht="25" customHeight="1">
      <x:c r="A598" s="9" t="str">
        <x:v>QA-MAT-142</x:v>
      </x:c>
      <x:c r="B598" s="9" t="str">
        <x:v>MAT</x:v>
      </x:c>
      <x:c r="C598" s="9" t="str">
        <x:v>Mi Tienda / Store / 80 / identidad C Comuna</x:v>
      </x:c>
      <x:c r="D598" s="9" t="str">
        <x:v>P1</x:v>
      </x:c>
      <x:c r="E598" s="9" t="str">
        <x:v>Positiva</x:v>
      </x:c>
      <x:c r="F598" s="9" t="str">
        <x:v>Navegador + HTTP + persistencia</x:v>
      </x:c>
      <x:c r="G598" s="10" t="str">
        <x:v>Pendiente</x:v>
      </x:c>
      <x:c r="H598" s="10"/>
      <x:c r="I598" s="10"/>
      <x:c r="J598" s="10"/>
      <x:c r="K598" s="10"/>
      <x:c r="L598" s="11"/>
      <x:c r="M598" s="12"/>
      <x:c r="N598" s="10"/>
    </x:row>
    <x:row r="599" ht="25" customHeight="1">
      <x:c r="A599" s="9" t="str">
        <x:v>QA-MAT-143</x:v>
      </x:c>
      <x:c r="B599" s="9" t="str">
        <x:v>MAT</x:v>
      </x:c>
      <x:c r="C599" s="9" t="str">
        <x:v>Mi Tienda / Store / 80 / identidad G Gubernamental</x:v>
      </x:c>
      <x:c r="D599" s="9" t="str">
        <x:v>P1</x:v>
      </x:c>
      <x:c r="E599" s="9" t="str">
        <x:v>Positiva</x:v>
      </x:c>
      <x:c r="F599" s="9" t="str">
        <x:v>Navegador + HTTP + persistencia</x:v>
      </x:c>
      <x:c r="G599" s="10" t="str">
        <x:v>Pendiente</x:v>
      </x:c>
      <x:c r="H599" s="10"/>
      <x:c r="I599" s="10"/>
      <x:c r="J599" s="10"/>
      <x:c r="K599" s="10"/>
      <x:c r="L599" s="11"/>
      <x:c r="M599" s="12"/>
      <x:c r="N599" s="10"/>
    </x:row>
    <x:row r="600" ht="25" customHeight="1">
      <x:c r="A600" s="9" t="str">
        <x:v>QA-MAT-144</x:v>
      </x:c>
      <x:c r="B600" s="9" t="str">
        <x:v>MAT</x:v>
      </x:c>
      <x:c r="C600" s="9" t="str">
        <x:v>Mi Tienda / Store / 80 / identidad R Firma Personal</x:v>
      </x:c>
      <x:c r="D600" s="9" t="str">
        <x:v>P1</x:v>
      </x:c>
      <x:c r="E600" s="9" t="str">
        <x:v>Positiva</x:v>
      </x:c>
      <x:c r="F600" s="9" t="str">
        <x:v>Navegador + HTTP + persistencia</x:v>
      </x:c>
      <x:c r="G600" s="10" t="str">
        <x:v>Pendiente</x:v>
      </x:c>
      <x:c r="H600" s="10"/>
      <x:c r="I600" s="10"/>
      <x:c r="J600" s="10"/>
      <x:c r="K600" s="10"/>
      <x:c r="L600" s="11"/>
      <x:c r="M600" s="12"/>
      <x:c r="N600" s="10"/>
    </x:row>
    <x:row r="601" ht="25" customHeight="1">
      <x:c r="A601" s="9" t="str">
        <x:v>QA-MAT-145</x:v>
      </x:c>
      <x:c r="B601" s="9" t="str">
        <x:v>MAT</x:v>
      </x:c>
      <x:c r="C601" s="9" t="str">
        <x:v>Pedidos / 01 / identidad 0 Doc.sin.rif</x:v>
      </x:c>
      <x:c r="D601" s="9" t="str">
        <x:v>P1</x:v>
      </x:c>
      <x:c r="E601" s="9" t="str">
        <x:v>Positiva</x:v>
      </x:c>
      <x:c r="F601" s="9" t="str">
        <x:v>Navegador + HTTP + persistencia</x:v>
      </x:c>
      <x:c r="G601" s="10" t="str">
        <x:v>Pendiente</x:v>
      </x:c>
      <x:c r="H601" s="10"/>
      <x:c r="I601" s="10"/>
      <x:c r="J601" s="10"/>
      <x:c r="K601" s="10"/>
      <x:c r="L601" s="11"/>
      <x:c r="M601" s="12"/>
      <x:c r="N601" s="10"/>
    </x:row>
    <x:row r="602" ht="25" customHeight="1">
      <x:c r="A602" s="9" t="str">
        <x:v>QA-MAT-146</x:v>
      </x:c>
      <x:c r="B602" s="9" t="str">
        <x:v>MAT</x:v>
      </x:c>
      <x:c r="C602" s="9" t="str">
        <x:v>Pedidos / 01 / identidad 1 Venezolano</x:v>
      </x:c>
      <x:c r="D602" s="9" t="str">
        <x:v>P1</x:v>
      </x:c>
      <x:c r="E602" s="9" t="str">
        <x:v>Positiva</x:v>
      </x:c>
      <x:c r="F602" s="9" t="str">
        <x:v>Navegador + HTTP + persistencia</x:v>
      </x:c>
      <x:c r="G602" s="10" t="str">
        <x:v>Pendiente</x:v>
      </x:c>
      <x:c r="H602" s="10"/>
      <x:c r="I602" s="10"/>
      <x:c r="J602" s="10"/>
      <x:c r="K602" s="10"/>
      <x:c r="L602" s="11"/>
      <x:c r="M602" s="12"/>
      <x:c r="N602" s="10"/>
    </x:row>
    <x:row r="603" ht="25" customHeight="1">
      <x:c r="A603" s="9" t="str">
        <x:v>QA-MAT-147</x:v>
      </x:c>
      <x:c r="B603" s="9" t="str">
        <x:v>MAT</x:v>
      </x:c>
      <x:c r="C603" s="9" t="str">
        <x:v>Pedidos / 01 / identidad 6 Juridico</x:v>
      </x:c>
      <x:c r="D603" s="9" t="str">
        <x:v>P1</x:v>
      </x:c>
      <x:c r="E603" s="9" t="str">
        <x:v>Positiva</x:v>
      </x:c>
      <x:c r="F603" s="9" t="str">
        <x:v>Navegador + HTTP + persistencia</x:v>
      </x:c>
      <x:c r="G603" s="10" t="str">
        <x:v>Pendiente</x:v>
      </x:c>
      <x:c r="H603" s="10"/>
      <x:c r="I603" s="10"/>
      <x:c r="J603" s="10"/>
      <x:c r="K603" s="10"/>
      <x:c r="L603" s="11"/>
      <x:c r="M603" s="12"/>
      <x:c r="N603" s="10"/>
    </x:row>
    <x:row r="604" ht="25" customHeight="1">
      <x:c r="A604" s="9" t="str">
        <x:v>QA-MAT-148</x:v>
      </x:c>
      <x:c r="B604" s="9" t="str">
        <x:v>MAT</x:v>
      </x:c>
      <x:c r="C604" s="9" t="str">
        <x:v>Pedidos / 01 / identidad 7 Pasaporte</x:v>
      </x:c>
      <x:c r="D604" s="9" t="str">
        <x:v>P1</x:v>
      </x:c>
      <x:c r="E604" s="9" t="str">
        <x:v>Positiva</x:v>
      </x:c>
      <x:c r="F604" s="9" t="str">
        <x:v>Navegador + HTTP + persistencia</x:v>
      </x:c>
      <x:c r="G604" s="10" t="str">
        <x:v>Pendiente</x:v>
      </x:c>
      <x:c r="H604" s="10"/>
      <x:c r="I604" s="10"/>
      <x:c r="J604" s="10"/>
      <x:c r="K604" s="10"/>
      <x:c r="L604" s="11"/>
      <x:c r="M604" s="12"/>
      <x:c r="N604" s="10"/>
    </x:row>
    <x:row r="605" ht="25" customHeight="1">
      <x:c r="A605" s="9" t="str">
        <x:v>QA-MAT-149</x:v>
      </x:c>
      <x:c r="B605" s="9" t="str">
        <x:v>MAT</x:v>
      </x:c>
      <x:c r="C605" s="9" t="str">
        <x:v>Pedidos / 01 / identidad E Extranjero</x:v>
      </x:c>
      <x:c r="D605" s="9" t="str">
        <x:v>P1</x:v>
      </x:c>
      <x:c r="E605" s="9" t="str">
        <x:v>Positiva</x:v>
      </x:c>
      <x:c r="F605" s="9" t="str">
        <x:v>Navegador + HTTP + persistencia</x:v>
      </x:c>
      <x:c r="G605" s="10" t="str">
        <x:v>Pendiente</x:v>
      </x:c>
      <x:c r="H605" s="10"/>
      <x:c r="I605" s="10"/>
      <x:c r="J605" s="10"/>
      <x:c r="K605" s="10"/>
      <x:c r="L605" s="11"/>
      <x:c r="M605" s="12"/>
      <x:c r="N605" s="10"/>
    </x:row>
    <x:row r="606" ht="25" customHeight="1">
      <x:c r="A606" s="9" t="str">
        <x:v>QA-MAT-150</x:v>
      </x:c>
      <x:c r="B606" s="9" t="str">
        <x:v>MAT</x:v>
      </x:c>
      <x:c r="C606" s="9" t="str">
        <x:v>Pedidos / 01 / identidad C Comuna</x:v>
      </x:c>
      <x:c r="D606" s="9" t="str">
        <x:v>P1</x:v>
      </x:c>
      <x:c r="E606" s="9" t="str">
        <x:v>Positiva</x:v>
      </x:c>
      <x:c r="F606" s="9" t="str">
        <x:v>Navegador + HTTP + persistencia</x:v>
      </x:c>
      <x:c r="G606" s="10" t="str">
        <x:v>Pendiente</x:v>
      </x:c>
      <x:c r="H606" s="10"/>
      <x:c r="I606" s="10"/>
      <x:c r="J606" s="10"/>
      <x:c r="K606" s="10"/>
      <x:c r="L606" s="11"/>
      <x:c r="M606" s="12"/>
      <x:c r="N606" s="10"/>
    </x:row>
    <x:row r="607" ht="25" customHeight="1">
      <x:c r="A607" s="9" t="str">
        <x:v>QA-MAT-151</x:v>
      </x:c>
      <x:c r="B607" s="9" t="str">
        <x:v>MAT</x:v>
      </x:c>
      <x:c r="C607" s="9" t="str">
        <x:v>Pedidos / 01 / identidad G Gubernamental</x:v>
      </x:c>
      <x:c r="D607" s="9" t="str">
        <x:v>P1</x:v>
      </x:c>
      <x:c r="E607" s="9" t="str">
        <x:v>Positiva</x:v>
      </x:c>
      <x:c r="F607" s="9" t="str">
        <x:v>Navegador + HTTP + persistencia</x:v>
      </x:c>
      <x:c r="G607" s="10" t="str">
        <x:v>Pendiente</x:v>
      </x:c>
      <x:c r="H607" s="10"/>
      <x:c r="I607" s="10"/>
      <x:c r="J607" s="10"/>
      <x:c r="K607" s="10"/>
      <x:c r="L607" s="11"/>
      <x:c r="M607" s="12"/>
      <x:c r="N607" s="10"/>
    </x:row>
    <x:row r="608" ht="25" customHeight="1">
      <x:c r="A608" s="9" t="str">
        <x:v>QA-MAT-152</x:v>
      </x:c>
      <x:c r="B608" s="9" t="str">
        <x:v>MAT</x:v>
      </x:c>
      <x:c r="C608" s="9" t="str">
        <x:v>Pedidos / 01 / identidad R Firma Personal</x:v>
      </x:c>
      <x:c r="D608" s="9" t="str">
        <x:v>P1</x:v>
      </x:c>
      <x:c r="E608" s="9" t="str">
        <x:v>Positiva</x:v>
      </x:c>
      <x:c r="F608" s="9" t="str">
        <x:v>Navegador + HTTP + persistencia</x:v>
      </x:c>
      <x:c r="G608" s="10" t="str">
        <x:v>Pendiente</x:v>
      </x:c>
      <x:c r="H608" s="10"/>
      <x:c r="I608" s="10"/>
      <x:c r="J608" s="10"/>
      <x:c r="K608" s="10"/>
      <x:c r="L608" s="11"/>
      <x:c r="M608" s="12"/>
      <x:c r="N608" s="10"/>
    </x:row>
    <x:row r="609" ht="25" customHeight="1">
      <x:c r="A609" s="9" t="str">
        <x:v>QA-MAT-153</x:v>
      </x:c>
      <x:c r="B609" s="9" t="str">
        <x:v>MAT</x:v>
      </x:c>
      <x:c r="C609" s="9" t="str">
        <x:v>Pedidos / 80 / identidad 0 Doc.sin.rif</x:v>
      </x:c>
      <x:c r="D609" s="9" t="str">
        <x:v>P1</x:v>
      </x:c>
      <x:c r="E609" s="9" t="str">
        <x:v>Positiva</x:v>
      </x:c>
      <x:c r="F609" s="9" t="str">
        <x:v>Navegador + HTTP + persistencia</x:v>
      </x:c>
      <x:c r="G609" s="10" t="str">
        <x:v>Pendiente</x:v>
      </x:c>
      <x:c r="H609" s="10"/>
      <x:c r="I609" s="10"/>
      <x:c r="J609" s="10"/>
      <x:c r="K609" s="10"/>
      <x:c r="L609" s="11"/>
      <x:c r="M609" s="12"/>
      <x:c r="N609" s="10"/>
    </x:row>
    <x:row r="610" ht="25" customHeight="1">
      <x:c r="A610" s="9" t="str">
        <x:v>QA-MAT-154</x:v>
      </x:c>
      <x:c r="B610" s="9" t="str">
        <x:v>MAT</x:v>
      </x:c>
      <x:c r="C610" s="9" t="str">
        <x:v>Pedidos / 80 / identidad 1 Venezolano</x:v>
      </x:c>
      <x:c r="D610" s="9" t="str">
        <x:v>P1</x:v>
      </x:c>
      <x:c r="E610" s="9" t="str">
        <x:v>Positiva</x:v>
      </x:c>
      <x:c r="F610" s="9" t="str">
        <x:v>Navegador + HTTP + persistencia</x:v>
      </x:c>
      <x:c r="G610" s="10" t="str">
        <x:v>Pendiente</x:v>
      </x:c>
      <x:c r="H610" s="10"/>
      <x:c r="I610" s="10"/>
      <x:c r="J610" s="10"/>
      <x:c r="K610" s="10"/>
      <x:c r="L610" s="11"/>
      <x:c r="M610" s="12"/>
      <x:c r="N610" s="10"/>
    </x:row>
    <x:row r="611" ht="25" customHeight="1">
      <x:c r="A611" s="9" t="str">
        <x:v>QA-MAT-155</x:v>
      </x:c>
      <x:c r="B611" s="9" t="str">
        <x:v>MAT</x:v>
      </x:c>
      <x:c r="C611" s="9" t="str">
        <x:v>Pedidos / 80 / identidad 6 Juridico</x:v>
      </x:c>
      <x:c r="D611" s="9" t="str">
        <x:v>P1</x:v>
      </x:c>
      <x:c r="E611" s="9" t="str">
        <x:v>Positiva</x:v>
      </x:c>
      <x:c r="F611" s="9" t="str">
        <x:v>Navegador + HTTP + persistencia</x:v>
      </x:c>
      <x:c r="G611" s="10" t="str">
        <x:v>Pendiente</x:v>
      </x:c>
      <x:c r="H611" s="10"/>
      <x:c r="I611" s="10"/>
      <x:c r="J611" s="10"/>
      <x:c r="K611" s="10"/>
      <x:c r="L611" s="11"/>
      <x:c r="M611" s="12"/>
      <x:c r="N611" s="10"/>
    </x:row>
    <x:row r="612" ht="25" customHeight="1">
      <x:c r="A612" s="9" t="str">
        <x:v>QA-MAT-156</x:v>
      </x:c>
      <x:c r="B612" s="9" t="str">
        <x:v>MAT</x:v>
      </x:c>
      <x:c r="C612" s="9" t="str">
        <x:v>Pedidos / 80 / identidad 7 Pasaporte</x:v>
      </x:c>
      <x:c r="D612" s="9" t="str">
        <x:v>P1</x:v>
      </x:c>
      <x:c r="E612" s="9" t="str">
        <x:v>Positiva</x:v>
      </x:c>
      <x:c r="F612" s="9" t="str">
        <x:v>Navegador + HTTP + persistencia</x:v>
      </x:c>
      <x:c r="G612" s="10" t="str">
        <x:v>Pendiente</x:v>
      </x:c>
      <x:c r="H612" s="10"/>
      <x:c r="I612" s="10"/>
      <x:c r="J612" s="10"/>
      <x:c r="K612" s="10"/>
      <x:c r="L612" s="11"/>
      <x:c r="M612" s="12"/>
      <x:c r="N612" s="10"/>
    </x:row>
    <x:row r="613" ht="25" customHeight="1">
      <x:c r="A613" s="9" t="str">
        <x:v>QA-MAT-157</x:v>
      </x:c>
      <x:c r="B613" s="9" t="str">
        <x:v>MAT</x:v>
      </x:c>
      <x:c r="C613" s="9" t="str">
        <x:v>Pedidos / 80 / identidad E Extranjero</x:v>
      </x:c>
      <x:c r="D613" s="9" t="str">
        <x:v>P1</x:v>
      </x:c>
      <x:c r="E613" s="9" t="str">
        <x:v>Positiva</x:v>
      </x:c>
      <x:c r="F613" s="9" t="str">
        <x:v>Navegador + HTTP + persistencia</x:v>
      </x:c>
      <x:c r="G613" s="10" t="str">
        <x:v>Pendiente</x:v>
      </x:c>
      <x:c r="H613" s="10"/>
      <x:c r="I613" s="10"/>
      <x:c r="J613" s="10"/>
      <x:c r="K613" s="10"/>
      <x:c r="L613" s="11"/>
      <x:c r="M613" s="12"/>
      <x:c r="N613" s="10"/>
    </x:row>
    <x:row r="614" ht="25" customHeight="1">
      <x:c r="A614" s="9" t="str">
        <x:v>QA-MAT-158</x:v>
      </x:c>
      <x:c r="B614" s="9" t="str">
        <x:v>MAT</x:v>
      </x:c>
      <x:c r="C614" s="9" t="str">
        <x:v>Pedidos / 80 / identidad C Comuna</x:v>
      </x:c>
      <x:c r="D614" s="9" t="str">
        <x:v>P1</x:v>
      </x:c>
      <x:c r="E614" s="9" t="str">
        <x:v>Positiva</x:v>
      </x:c>
      <x:c r="F614" s="9" t="str">
        <x:v>Navegador + HTTP + persistencia</x:v>
      </x:c>
      <x:c r="G614" s="10" t="str">
        <x:v>Pendiente</x:v>
      </x:c>
      <x:c r="H614" s="10"/>
      <x:c r="I614" s="10"/>
      <x:c r="J614" s="10"/>
      <x:c r="K614" s="10"/>
      <x:c r="L614" s="11"/>
      <x:c r="M614" s="12"/>
      <x:c r="N614" s="10"/>
    </x:row>
    <x:row r="615" ht="25" customHeight="1">
      <x:c r="A615" s="9" t="str">
        <x:v>QA-MAT-159</x:v>
      </x:c>
      <x:c r="B615" s="9" t="str">
        <x:v>MAT</x:v>
      </x:c>
      <x:c r="C615" s="9" t="str">
        <x:v>Pedidos / 80 / identidad G Gubernamental</x:v>
      </x:c>
      <x:c r="D615" s="9" t="str">
        <x:v>P1</x:v>
      </x:c>
      <x:c r="E615" s="9" t="str">
        <x:v>Positiva</x:v>
      </x:c>
      <x:c r="F615" s="9" t="str">
        <x:v>Navegador + HTTP + persistencia</x:v>
      </x:c>
      <x:c r="G615" s="10" t="str">
        <x:v>Pendiente</x:v>
      </x:c>
      <x:c r="H615" s="10"/>
      <x:c r="I615" s="10"/>
      <x:c r="J615" s="10"/>
      <x:c r="K615" s="10"/>
      <x:c r="L615" s="11"/>
      <x:c r="M615" s="12"/>
      <x:c r="N615" s="10"/>
    </x:row>
    <x:row r="616" ht="25" customHeight="1">
      <x:c r="A616" s="9" t="str">
        <x:v>QA-MAT-160</x:v>
      </x:c>
      <x:c r="B616" s="9" t="str">
        <x:v>MAT</x:v>
      </x:c>
      <x:c r="C616" s="9" t="str">
        <x:v>Pedidos / 80 / identidad R Firma Personal</x:v>
      </x:c>
      <x:c r="D616" s="9" t="str">
        <x:v>P1</x:v>
      </x:c>
      <x:c r="E616" s="9" t="str">
        <x:v>Positiva</x:v>
      </x:c>
      <x:c r="F616" s="9" t="str">
        <x:v>Navegador + HTTP + persistencia</x:v>
      </x:c>
      <x:c r="G616" s="10" t="str">
        <x:v>Pendiente</x:v>
      </x:c>
      <x:c r="H616" s="10"/>
      <x:c r="I616" s="10"/>
      <x:c r="J616" s="10"/>
      <x:c r="K616" s="10"/>
      <x:c r="L616" s="11"/>
      <x:c r="M616" s="12"/>
      <x:c r="N616" s="10"/>
    </x:row>
    <x:row r="617" ht="25" customHeight="1">
      <x:c r="A617" s="9" t="str">
        <x:v>QA-MAT-161</x:v>
      </x:c>
      <x:c r="B617" s="9" t="str">
        <x:v>MAT</x:v>
      </x:c>
      <x:c r="C617" s="9" t="str">
        <x:v>Servicio técnico / 01 / identidad 0 Doc.sin.rif</x:v>
      </x:c>
      <x:c r="D617" s="9" t="str">
        <x:v>P1</x:v>
      </x:c>
      <x:c r="E617" s="9" t="str">
        <x:v>Positiva</x:v>
      </x:c>
      <x:c r="F617" s="9" t="str">
        <x:v>Navegador + HTTP + persistencia</x:v>
      </x:c>
      <x:c r="G617" s="10" t="str">
        <x:v>Pendiente</x:v>
      </x:c>
      <x:c r="H617" s="10"/>
      <x:c r="I617" s="10"/>
      <x:c r="J617" s="10"/>
      <x:c r="K617" s="10"/>
      <x:c r="L617" s="11"/>
      <x:c r="M617" s="12"/>
      <x:c r="N617" s="10"/>
    </x:row>
    <x:row r="618" ht="25" customHeight="1">
      <x:c r="A618" s="9" t="str">
        <x:v>QA-MAT-162</x:v>
      </x:c>
      <x:c r="B618" s="9" t="str">
        <x:v>MAT</x:v>
      </x:c>
      <x:c r="C618" s="9" t="str">
        <x:v>Servicio técnico / 01 / identidad 1 Venezolano</x:v>
      </x:c>
      <x:c r="D618" s="9" t="str">
        <x:v>P1</x:v>
      </x:c>
      <x:c r="E618" s="9" t="str">
        <x:v>Positiva</x:v>
      </x:c>
      <x:c r="F618" s="9" t="str">
        <x:v>Navegador + HTTP + persistencia</x:v>
      </x:c>
      <x:c r="G618" s="10" t="str">
        <x:v>Pendiente</x:v>
      </x:c>
      <x:c r="H618" s="10"/>
      <x:c r="I618" s="10"/>
      <x:c r="J618" s="10"/>
      <x:c r="K618" s="10"/>
      <x:c r="L618" s="11"/>
      <x:c r="M618" s="12"/>
      <x:c r="N618" s="10"/>
    </x:row>
    <x:row r="619" ht="25" customHeight="1">
      <x:c r="A619" s="9" t="str">
        <x:v>QA-MAT-163</x:v>
      </x:c>
      <x:c r="B619" s="9" t="str">
        <x:v>MAT</x:v>
      </x:c>
      <x:c r="C619" s="9" t="str">
        <x:v>Servicio técnico / 01 / identidad 6 Juridico</x:v>
      </x:c>
      <x:c r="D619" s="9" t="str">
        <x:v>P1</x:v>
      </x:c>
      <x:c r="E619" s="9" t="str">
        <x:v>Positiva</x:v>
      </x:c>
      <x:c r="F619" s="9" t="str">
        <x:v>Navegador + HTTP + persistencia</x:v>
      </x:c>
      <x:c r="G619" s="10" t="str">
        <x:v>Pendiente</x:v>
      </x:c>
      <x:c r="H619" s="10"/>
      <x:c r="I619" s="10"/>
      <x:c r="J619" s="10"/>
      <x:c r="K619" s="10"/>
      <x:c r="L619" s="11"/>
      <x:c r="M619" s="12"/>
      <x:c r="N619" s="10"/>
    </x:row>
    <x:row r="620" ht="25" customHeight="1">
      <x:c r="A620" s="9" t="str">
        <x:v>QA-MAT-164</x:v>
      </x:c>
      <x:c r="B620" s="9" t="str">
        <x:v>MAT</x:v>
      </x:c>
      <x:c r="C620" s="9" t="str">
        <x:v>Servicio técnico / 01 / identidad 7 Pasaporte</x:v>
      </x:c>
      <x:c r="D620" s="9" t="str">
        <x:v>P1</x:v>
      </x:c>
      <x:c r="E620" s="9" t="str">
        <x:v>Positiva</x:v>
      </x:c>
      <x:c r="F620" s="9" t="str">
        <x:v>Navegador + HTTP + persistencia</x:v>
      </x:c>
      <x:c r="G620" s="10" t="str">
        <x:v>Pendiente</x:v>
      </x:c>
      <x:c r="H620" s="10"/>
      <x:c r="I620" s="10"/>
      <x:c r="J620" s="10"/>
      <x:c r="K620" s="10"/>
      <x:c r="L620" s="11"/>
      <x:c r="M620" s="12"/>
      <x:c r="N620" s="10"/>
    </x:row>
    <x:row r="621" ht="25" customHeight="1">
      <x:c r="A621" s="9" t="str">
        <x:v>QA-MAT-165</x:v>
      </x:c>
      <x:c r="B621" s="9" t="str">
        <x:v>MAT</x:v>
      </x:c>
      <x:c r="C621" s="9" t="str">
        <x:v>Servicio técnico / 01 / identidad E Extranjero</x:v>
      </x:c>
      <x:c r="D621" s="9" t="str">
        <x:v>P1</x:v>
      </x:c>
      <x:c r="E621" s="9" t="str">
        <x:v>Positiva</x:v>
      </x:c>
      <x:c r="F621" s="9" t="str">
        <x:v>Navegador + HTTP + persistencia</x:v>
      </x:c>
      <x:c r="G621" s="10" t="str">
        <x:v>Pendiente</x:v>
      </x:c>
      <x:c r="H621" s="10"/>
      <x:c r="I621" s="10"/>
      <x:c r="J621" s="10"/>
      <x:c r="K621" s="10"/>
      <x:c r="L621" s="11"/>
      <x:c r="M621" s="12"/>
      <x:c r="N621" s="10"/>
    </x:row>
    <x:row r="622" ht="25" customHeight="1">
      <x:c r="A622" s="9" t="str">
        <x:v>QA-MAT-166</x:v>
      </x:c>
      <x:c r="B622" s="9" t="str">
        <x:v>MAT</x:v>
      </x:c>
      <x:c r="C622" s="9" t="str">
        <x:v>Servicio técnico / 01 / identidad C Comuna</x:v>
      </x:c>
      <x:c r="D622" s="9" t="str">
        <x:v>P1</x:v>
      </x:c>
      <x:c r="E622" s="9" t="str">
        <x:v>Positiva</x:v>
      </x:c>
      <x:c r="F622" s="9" t="str">
        <x:v>Navegador + HTTP + persistencia</x:v>
      </x:c>
      <x:c r="G622" s="10" t="str">
        <x:v>Pendiente</x:v>
      </x:c>
      <x:c r="H622" s="10"/>
      <x:c r="I622" s="10"/>
      <x:c r="J622" s="10"/>
      <x:c r="K622" s="10"/>
      <x:c r="L622" s="11"/>
      <x:c r="M622" s="12"/>
      <x:c r="N622" s="10"/>
    </x:row>
    <x:row r="623" ht="25" customHeight="1">
      <x:c r="A623" s="9" t="str">
        <x:v>QA-MAT-167</x:v>
      </x:c>
      <x:c r="B623" s="9" t="str">
        <x:v>MAT</x:v>
      </x:c>
      <x:c r="C623" s="9" t="str">
        <x:v>Servicio técnico / 01 / identidad G Gubernamental</x:v>
      </x:c>
      <x:c r="D623" s="9" t="str">
        <x:v>P1</x:v>
      </x:c>
      <x:c r="E623" s="9" t="str">
        <x:v>Positiva</x:v>
      </x:c>
      <x:c r="F623" s="9" t="str">
        <x:v>Navegador + HTTP + persistencia</x:v>
      </x:c>
      <x:c r="G623" s="10" t="str">
        <x:v>Pendiente</x:v>
      </x:c>
      <x:c r="H623" s="10"/>
      <x:c r="I623" s="10"/>
      <x:c r="J623" s="10"/>
      <x:c r="K623" s="10"/>
      <x:c r="L623" s="11"/>
      <x:c r="M623" s="12"/>
      <x:c r="N623" s="10"/>
    </x:row>
    <x:row r="624" ht="25" customHeight="1">
      <x:c r="A624" s="9" t="str">
        <x:v>QA-MAT-168</x:v>
      </x:c>
      <x:c r="B624" s="9" t="str">
        <x:v>MAT</x:v>
      </x:c>
      <x:c r="C624" s="9" t="str">
        <x:v>Servicio técnico / 01 / identidad R Firma Personal</x:v>
      </x:c>
      <x:c r="D624" s="9" t="str">
        <x:v>P1</x:v>
      </x:c>
      <x:c r="E624" s="9" t="str">
        <x:v>Positiva</x:v>
      </x:c>
      <x:c r="F624" s="9" t="str">
        <x:v>Navegador + HTTP + persistencia</x:v>
      </x:c>
      <x:c r="G624" s="10" t="str">
        <x:v>Pendiente</x:v>
      </x:c>
      <x:c r="H624" s="10"/>
      <x:c r="I624" s="10"/>
      <x:c r="J624" s="10"/>
      <x:c r="K624" s="10"/>
      <x:c r="L624" s="11"/>
      <x:c r="M624" s="12"/>
      <x:c r="N624" s="10"/>
    </x:row>
    <x:row r="625" ht="25" customHeight="1">
      <x:c r="A625" s="9" t="str">
        <x:v>QA-MAT-169</x:v>
      </x:c>
      <x:c r="B625" s="9" t="str">
        <x:v>MAT</x:v>
      </x:c>
      <x:c r="C625" s="9" t="str">
        <x:v>Servicio técnico / nv / identidad 0 Doc.sin.rif</x:v>
      </x:c>
      <x:c r="D625" s="9" t="str">
        <x:v>P1</x:v>
      </x:c>
      <x:c r="E625" s="9" t="str">
        <x:v>Positiva</x:v>
      </x:c>
      <x:c r="F625" s="9" t="str">
        <x:v>Navegador + HTTP + persistencia</x:v>
      </x:c>
      <x:c r="G625" s="10" t="str">
        <x:v>Pendiente</x:v>
      </x:c>
      <x:c r="H625" s="10"/>
      <x:c r="I625" s="10"/>
      <x:c r="J625" s="10"/>
      <x:c r="K625" s="10"/>
      <x:c r="L625" s="11"/>
      <x:c r="M625" s="12"/>
      <x:c r="N625" s="10"/>
    </x:row>
    <x:row r="626" ht="25" customHeight="1">
      <x:c r="A626" s="9" t="str">
        <x:v>QA-MAT-170</x:v>
      </x:c>
      <x:c r="B626" s="9" t="str">
        <x:v>MAT</x:v>
      </x:c>
      <x:c r="C626" s="9" t="str">
        <x:v>Servicio técnico / nv / identidad 1 Venezolano</x:v>
      </x:c>
      <x:c r="D626" s="9" t="str">
        <x:v>P1</x:v>
      </x:c>
      <x:c r="E626" s="9" t="str">
        <x:v>Positiva</x:v>
      </x:c>
      <x:c r="F626" s="9" t="str">
        <x:v>Navegador + HTTP + persistencia</x:v>
      </x:c>
      <x:c r="G626" s="10" t="str">
        <x:v>Pendiente</x:v>
      </x:c>
      <x:c r="H626" s="10"/>
      <x:c r="I626" s="10"/>
      <x:c r="J626" s="10"/>
      <x:c r="K626" s="10"/>
      <x:c r="L626" s="11"/>
      <x:c r="M626" s="12"/>
      <x:c r="N626" s="10"/>
    </x:row>
    <x:row r="627" ht="25" customHeight="1">
      <x:c r="A627" s="9" t="str">
        <x:v>QA-MAT-171</x:v>
      </x:c>
      <x:c r="B627" s="9" t="str">
        <x:v>MAT</x:v>
      </x:c>
      <x:c r="C627" s="9" t="str">
        <x:v>Servicio técnico / nv / identidad 6 Juridico</x:v>
      </x:c>
      <x:c r="D627" s="9" t="str">
        <x:v>P1</x:v>
      </x:c>
      <x:c r="E627" s="9" t="str">
        <x:v>Positiva</x:v>
      </x:c>
      <x:c r="F627" s="9" t="str">
        <x:v>Navegador + HTTP + persistencia</x:v>
      </x:c>
      <x:c r="G627" s="10" t="str">
        <x:v>Pendiente</x:v>
      </x:c>
      <x:c r="H627" s="10"/>
      <x:c r="I627" s="10"/>
      <x:c r="J627" s="10"/>
      <x:c r="K627" s="10"/>
      <x:c r="L627" s="11"/>
      <x:c r="M627" s="12"/>
      <x:c r="N627" s="10"/>
    </x:row>
    <x:row r="628" ht="25" customHeight="1">
      <x:c r="A628" s="9" t="str">
        <x:v>QA-MAT-172</x:v>
      </x:c>
      <x:c r="B628" s="9" t="str">
        <x:v>MAT</x:v>
      </x:c>
      <x:c r="C628" s="9" t="str">
        <x:v>Servicio técnico / nv / identidad 7 Pasaporte</x:v>
      </x:c>
      <x:c r="D628" s="9" t="str">
        <x:v>P1</x:v>
      </x:c>
      <x:c r="E628" s="9" t="str">
        <x:v>Positiva</x:v>
      </x:c>
      <x:c r="F628" s="9" t="str">
        <x:v>Navegador + HTTP + persistencia</x:v>
      </x:c>
      <x:c r="G628" s="10" t="str">
        <x:v>Pendiente</x:v>
      </x:c>
      <x:c r="H628" s="10"/>
      <x:c r="I628" s="10"/>
      <x:c r="J628" s="10"/>
      <x:c r="K628" s="10"/>
      <x:c r="L628" s="11"/>
      <x:c r="M628" s="12"/>
      <x:c r="N628" s="10"/>
    </x:row>
    <x:row r="629" ht="25" customHeight="1">
      <x:c r="A629" s="9" t="str">
        <x:v>QA-MAT-173</x:v>
      </x:c>
      <x:c r="B629" s="9" t="str">
        <x:v>MAT</x:v>
      </x:c>
      <x:c r="C629" s="9" t="str">
        <x:v>Servicio técnico / nv / identidad E Extranjero</x:v>
      </x:c>
      <x:c r="D629" s="9" t="str">
        <x:v>P1</x:v>
      </x:c>
      <x:c r="E629" s="9" t="str">
        <x:v>Positiva</x:v>
      </x:c>
      <x:c r="F629" s="9" t="str">
        <x:v>Navegador + HTTP + persistencia</x:v>
      </x:c>
      <x:c r="G629" s="10" t="str">
        <x:v>Pendiente</x:v>
      </x:c>
      <x:c r="H629" s="10"/>
      <x:c r="I629" s="10"/>
      <x:c r="J629" s="10"/>
      <x:c r="K629" s="10"/>
      <x:c r="L629" s="11"/>
      <x:c r="M629" s="12"/>
      <x:c r="N629" s="10"/>
    </x:row>
    <x:row r="630" ht="25" customHeight="1">
      <x:c r="A630" s="9" t="str">
        <x:v>QA-MAT-174</x:v>
      </x:c>
      <x:c r="B630" s="9" t="str">
        <x:v>MAT</x:v>
      </x:c>
      <x:c r="C630" s="9" t="str">
        <x:v>Servicio técnico / nv / identidad C Comuna</x:v>
      </x:c>
      <x:c r="D630" s="9" t="str">
        <x:v>P1</x:v>
      </x:c>
      <x:c r="E630" s="9" t="str">
        <x:v>Positiva</x:v>
      </x:c>
      <x:c r="F630" s="9" t="str">
        <x:v>Navegador + HTTP + persistencia</x:v>
      </x:c>
      <x:c r="G630" s="10" t="str">
        <x:v>Pendiente</x:v>
      </x:c>
      <x:c r="H630" s="10"/>
      <x:c r="I630" s="10"/>
      <x:c r="J630" s="10"/>
      <x:c r="K630" s="10"/>
      <x:c r="L630" s="11"/>
      <x:c r="M630" s="12"/>
      <x:c r="N630" s="10"/>
    </x:row>
    <x:row r="631" ht="25" customHeight="1">
      <x:c r="A631" s="9" t="str">
        <x:v>QA-MAT-175</x:v>
      </x:c>
      <x:c r="B631" s="9" t="str">
        <x:v>MAT</x:v>
      </x:c>
      <x:c r="C631" s="9" t="str">
        <x:v>Servicio técnico / nv / identidad G Gubernamental</x:v>
      </x:c>
      <x:c r="D631" s="9" t="str">
        <x:v>P1</x:v>
      </x:c>
      <x:c r="E631" s="9" t="str">
        <x:v>Positiva</x:v>
      </x:c>
      <x:c r="F631" s="9" t="str">
        <x:v>Navegador + HTTP + persistencia</x:v>
      </x:c>
      <x:c r="G631" s="10" t="str">
        <x:v>Pendiente</x:v>
      </x:c>
      <x:c r="H631" s="10"/>
      <x:c r="I631" s="10"/>
      <x:c r="J631" s="10"/>
      <x:c r="K631" s="10"/>
      <x:c r="L631" s="11"/>
      <x:c r="M631" s="12"/>
      <x:c r="N631" s="10"/>
    </x:row>
    <x:row r="632" ht="25" customHeight="1">
      <x:c r="A632" s="9" t="str">
        <x:v>QA-MAT-176</x:v>
      </x:c>
      <x:c r="B632" s="9" t="str">
        <x:v>MAT</x:v>
      </x:c>
      <x:c r="C632" s="9" t="str">
        <x:v>Servicio técnico / nv / identidad R Firma Personal</x:v>
      </x:c>
      <x:c r="D632" s="9" t="str">
        <x:v>P1</x:v>
      </x:c>
      <x:c r="E632" s="9" t="str">
        <x:v>Positiva</x:v>
      </x:c>
      <x:c r="F632" s="9" t="str">
        <x:v>Navegador + HTTP + persistencia</x:v>
      </x:c>
      <x:c r="G632" s="10" t="str">
        <x:v>Pendiente</x:v>
      </x:c>
      <x:c r="H632" s="10"/>
      <x:c r="I632" s="10"/>
      <x:c r="J632" s="10"/>
      <x:c r="K632" s="10"/>
      <x:c r="L632" s="11"/>
      <x:c r="M632" s="12"/>
      <x:c r="N632" s="10"/>
    </x:row>
    <x:row r="633" ht="25" customHeight="1">
      <x:c r="A633" s="9" t="str">
        <x:v>QA-MAT-177</x:v>
      </x:c>
      <x:c r="B633" s="9" t="str">
        <x:v>MAT</x:v>
      </x:c>
      <x:c r="C633" s="9" t="str">
        <x:v>WhatsApp Bot / 01 / identidad 0 Doc.sin.rif</x:v>
      </x:c>
      <x:c r="D633" s="9" t="str">
        <x:v>P1</x:v>
      </x:c>
      <x:c r="E633" s="9" t="str">
        <x:v>Positiva</x:v>
      </x:c>
      <x:c r="F633" s="9" t="str">
        <x:v>Navegador + HTTP + persistencia</x:v>
      </x:c>
      <x:c r="G633" s="10" t="str">
        <x:v>Pendiente</x:v>
      </x:c>
      <x:c r="H633" s="10"/>
      <x:c r="I633" s="10"/>
      <x:c r="J633" s="10"/>
      <x:c r="K633" s="10"/>
      <x:c r="L633" s="11"/>
      <x:c r="M633" s="12"/>
      <x:c r="N633" s="10"/>
    </x:row>
    <x:row r="634" ht="25" customHeight="1">
      <x:c r="A634" s="9" t="str">
        <x:v>QA-MAT-178</x:v>
      </x:c>
      <x:c r="B634" s="9" t="str">
        <x:v>MAT</x:v>
      </x:c>
      <x:c r="C634" s="9" t="str">
        <x:v>WhatsApp Bot / 01 / identidad 1 Venezolano</x:v>
      </x:c>
      <x:c r="D634" s="9" t="str">
        <x:v>P1</x:v>
      </x:c>
      <x:c r="E634" s="9" t="str">
        <x:v>Positiva</x:v>
      </x:c>
      <x:c r="F634" s="9" t="str">
        <x:v>Navegador + HTTP + persistencia</x:v>
      </x:c>
      <x:c r="G634" s="10" t="str">
        <x:v>Pendiente</x:v>
      </x:c>
      <x:c r="H634" s="10"/>
      <x:c r="I634" s="10"/>
      <x:c r="J634" s="10"/>
      <x:c r="K634" s="10"/>
      <x:c r="L634" s="11"/>
      <x:c r="M634" s="12"/>
      <x:c r="N634" s="10"/>
    </x:row>
    <x:row r="635" ht="25" customHeight="1">
      <x:c r="A635" s="9" t="str">
        <x:v>QA-MAT-179</x:v>
      </x:c>
      <x:c r="B635" s="9" t="str">
        <x:v>MAT</x:v>
      </x:c>
      <x:c r="C635" s="9" t="str">
        <x:v>WhatsApp Bot / 01 / identidad 6 Juridico</x:v>
      </x:c>
      <x:c r="D635" s="9" t="str">
        <x:v>P1</x:v>
      </x:c>
      <x:c r="E635" s="9" t="str">
        <x:v>Positiva</x:v>
      </x:c>
      <x:c r="F635" s="9" t="str">
        <x:v>Navegador + HTTP + persistencia</x:v>
      </x:c>
      <x:c r="G635" s="10" t="str">
        <x:v>Pendiente</x:v>
      </x:c>
      <x:c r="H635" s="10"/>
      <x:c r="I635" s="10"/>
      <x:c r="J635" s="10"/>
      <x:c r="K635" s="10"/>
      <x:c r="L635" s="11"/>
      <x:c r="M635" s="12"/>
      <x:c r="N635" s="10"/>
    </x:row>
    <x:row r="636" ht="25" customHeight="1">
      <x:c r="A636" s="9" t="str">
        <x:v>QA-MAT-180</x:v>
      </x:c>
      <x:c r="B636" s="9" t="str">
        <x:v>MAT</x:v>
      </x:c>
      <x:c r="C636" s="9" t="str">
        <x:v>WhatsApp Bot / 01 / identidad 7 Pasaporte</x:v>
      </x:c>
      <x:c r="D636" s="9" t="str">
        <x:v>P1</x:v>
      </x:c>
      <x:c r="E636" s="9" t="str">
        <x:v>Positiva</x:v>
      </x:c>
      <x:c r="F636" s="9" t="str">
        <x:v>Navegador + HTTP + persistencia</x:v>
      </x:c>
      <x:c r="G636" s="10" t="str">
        <x:v>Pendiente</x:v>
      </x:c>
      <x:c r="H636" s="10"/>
      <x:c r="I636" s="10"/>
      <x:c r="J636" s="10"/>
      <x:c r="K636" s="10"/>
      <x:c r="L636" s="11"/>
      <x:c r="M636" s="12"/>
      <x:c r="N636" s="10"/>
    </x:row>
    <x:row r="637" ht="25" customHeight="1">
      <x:c r="A637" s="9" t="str">
        <x:v>QA-MAT-181</x:v>
      </x:c>
      <x:c r="B637" s="9" t="str">
        <x:v>MAT</x:v>
      </x:c>
      <x:c r="C637" s="9" t="str">
        <x:v>WhatsApp Bot / 01 / identidad E Extranjero</x:v>
      </x:c>
      <x:c r="D637" s="9" t="str">
        <x:v>P1</x:v>
      </x:c>
      <x:c r="E637" s="9" t="str">
        <x:v>Positiva</x:v>
      </x:c>
      <x:c r="F637" s="9" t="str">
        <x:v>Navegador + HTTP + persistencia</x:v>
      </x:c>
      <x:c r="G637" s="10" t="str">
        <x:v>Pendiente</x:v>
      </x:c>
      <x:c r="H637" s="10"/>
      <x:c r="I637" s="10"/>
      <x:c r="J637" s="10"/>
      <x:c r="K637" s="10"/>
      <x:c r="L637" s="11"/>
      <x:c r="M637" s="12"/>
      <x:c r="N637" s="10"/>
    </x:row>
    <x:row r="638" ht="25" customHeight="1">
      <x:c r="A638" s="9" t="str">
        <x:v>QA-MAT-182</x:v>
      </x:c>
      <x:c r="B638" s="9" t="str">
        <x:v>MAT</x:v>
      </x:c>
      <x:c r="C638" s="9" t="str">
        <x:v>WhatsApp Bot / 01 / identidad C Comuna</x:v>
      </x:c>
      <x:c r="D638" s="9" t="str">
        <x:v>P1</x:v>
      </x:c>
      <x:c r="E638" s="9" t="str">
        <x:v>Positiva</x:v>
      </x:c>
      <x:c r="F638" s="9" t="str">
        <x:v>Navegador + HTTP + persistencia</x:v>
      </x:c>
      <x:c r="G638" s="10" t="str">
        <x:v>Pendiente</x:v>
      </x:c>
      <x:c r="H638" s="10"/>
      <x:c r="I638" s="10"/>
      <x:c r="J638" s="10"/>
      <x:c r="K638" s="10"/>
      <x:c r="L638" s="11"/>
      <x:c r="M638" s="12"/>
      <x:c r="N638" s="10"/>
    </x:row>
    <x:row r="639" ht="25" customHeight="1">
      <x:c r="A639" s="9" t="str">
        <x:v>QA-MAT-183</x:v>
      </x:c>
      <x:c r="B639" s="9" t="str">
        <x:v>MAT</x:v>
      </x:c>
      <x:c r="C639" s="9" t="str">
        <x:v>WhatsApp Bot / 01 / identidad G Gubernamental</x:v>
      </x:c>
      <x:c r="D639" s="9" t="str">
        <x:v>P1</x:v>
      </x:c>
      <x:c r="E639" s="9" t="str">
        <x:v>Positiva</x:v>
      </x:c>
      <x:c r="F639" s="9" t="str">
        <x:v>Navegador + HTTP + persistencia</x:v>
      </x:c>
      <x:c r="G639" s="10" t="str">
        <x:v>Pendiente</x:v>
      </x:c>
      <x:c r="H639" s="10"/>
      <x:c r="I639" s="10"/>
      <x:c r="J639" s="10"/>
      <x:c r="K639" s="10"/>
      <x:c r="L639" s="11"/>
      <x:c r="M639" s="12"/>
      <x:c r="N639" s="10"/>
    </x:row>
    <x:row r="640" ht="25" customHeight="1">
      <x:c r="A640" s="9" t="str">
        <x:v>QA-MAT-184</x:v>
      </x:c>
      <x:c r="B640" s="9" t="str">
        <x:v>MAT</x:v>
      </x:c>
      <x:c r="C640" s="9" t="str">
        <x:v>WhatsApp Bot / 01 / identidad R Firma Personal</x:v>
      </x:c>
      <x:c r="D640" s="9" t="str">
        <x:v>P1</x:v>
      </x:c>
      <x:c r="E640" s="9" t="str">
        <x:v>Positiva</x:v>
      </x:c>
      <x:c r="F640" s="9" t="str">
        <x:v>Navegador + HTTP + persistencia</x:v>
      </x:c>
      <x:c r="G640" s="10" t="str">
        <x:v>Pendiente</x:v>
      </x:c>
      <x:c r="H640" s="10"/>
      <x:c r="I640" s="10"/>
      <x:c r="J640" s="10"/>
      <x:c r="K640" s="10"/>
      <x:c r="L640" s="11"/>
      <x:c r="M640" s="12"/>
      <x:c r="N640" s="10"/>
    </x:row>
    <x:row r="641" ht="25" customHeight="1">
      <x:c r="A641" s="9" t="str">
        <x:v>QA-MAT-185</x:v>
      </x:c>
      <x:c r="B641" s="9" t="str">
        <x:v>MAT</x:v>
      </x:c>
      <x:c r="C641" s="9" t="str">
        <x:v>WhatsApp Bot / 80 / identidad 0 Doc.sin.rif</x:v>
      </x:c>
      <x:c r="D641" s="9" t="str">
        <x:v>P1</x:v>
      </x:c>
      <x:c r="E641" s="9" t="str">
        <x:v>Positiva</x:v>
      </x:c>
      <x:c r="F641" s="9" t="str">
        <x:v>Navegador + HTTP + persistencia</x:v>
      </x:c>
      <x:c r="G641" s="10" t="str">
        <x:v>Pendiente</x:v>
      </x:c>
      <x:c r="H641" s="10"/>
      <x:c r="I641" s="10"/>
      <x:c r="J641" s="10"/>
      <x:c r="K641" s="10"/>
      <x:c r="L641" s="11"/>
      <x:c r="M641" s="12"/>
      <x:c r="N641" s="10"/>
    </x:row>
    <x:row r="642" ht="25" customHeight="1">
      <x:c r="A642" s="9" t="str">
        <x:v>QA-MAT-186</x:v>
      </x:c>
      <x:c r="B642" s="9" t="str">
        <x:v>MAT</x:v>
      </x:c>
      <x:c r="C642" s="9" t="str">
        <x:v>WhatsApp Bot / 80 / identidad 1 Venezolano</x:v>
      </x:c>
      <x:c r="D642" s="9" t="str">
        <x:v>P1</x:v>
      </x:c>
      <x:c r="E642" s="9" t="str">
        <x:v>Positiva</x:v>
      </x:c>
      <x:c r="F642" s="9" t="str">
        <x:v>Navegador + HTTP + persistencia</x:v>
      </x:c>
      <x:c r="G642" s="10" t="str">
        <x:v>Pendiente</x:v>
      </x:c>
      <x:c r="H642" s="10"/>
      <x:c r="I642" s="10"/>
      <x:c r="J642" s="10"/>
      <x:c r="K642" s="10"/>
      <x:c r="L642" s="11"/>
      <x:c r="M642" s="12"/>
      <x:c r="N642" s="10"/>
    </x:row>
    <x:row r="643" ht="25" customHeight="1">
      <x:c r="A643" s="9" t="str">
        <x:v>QA-MAT-187</x:v>
      </x:c>
      <x:c r="B643" s="9" t="str">
        <x:v>MAT</x:v>
      </x:c>
      <x:c r="C643" s="9" t="str">
        <x:v>WhatsApp Bot / 80 / identidad 6 Juridico</x:v>
      </x:c>
      <x:c r="D643" s="9" t="str">
        <x:v>P1</x:v>
      </x:c>
      <x:c r="E643" s="9" t="str">
        <x:v>Positiva</x:v>
      </x:c>
      <x:c r="F643" s="9" t="str">
        <x:v>Navegador + HTTP + persistencia</x:v>
      </x:c>
      <x:c r="G643" s="10" t="str">
        <x:v>Pendiente</x:v>
      </x:c>
      <x:c r="H643" s="10"/>
      <x:c r="I643" s="10"/>
      <x:c r="J643" s="10"/>
      <x:c r="K643" s="10"/>
      <x:c r="L643" s="11"/>
      <x:c r="M643" s="12"/>
      <x:c r="N643" s="10"/>
    </x:row>
    <x:row r="644" ht="25" customHeight="1">
      <x:c r="A644" s="9" t="str">
        <x:v>QA-MAT-188</x:v>
      </x:c>
      <x:c r="B644" s="9" t="str">
        <x:v>MAT</x:v>
      </x:c>
      <x:c r="C644" s="9" t="str">
        <x:v>WhatsApp Bot / 80 / identidad 7 Pasaporte</x:v>
      </x:c>
      <x:c r="D644" s="9" t="str">
        <x:v>P1</x:v>
      </x:c>
      <x:c r="E644" s="9" t="str">
        <x:v>Positiva</x:v>
      </x:c>
      <x:c r="F644" s="9" t="str">
        <x:v>Navegador + HTTP + persistencia</x:v>
      </x:c>
      <x:c r="G644" s="10" t="str">
        <x:v>Pendiente</x:v>
      </x:c>
      <x:c r="H644" s="10"/>
      <x:c r="I644" s="10"/>
      <x:c r="J644" s="10"/>
      <x:c r="K644" s="10"/>
      <x:c r="L644" s="11"/>
      <x:c r="M644" s="12"/>
      <x:c r="N644" s="10"/>
    </x:row>
    <x:row r="645" ht="25" customHeight="1">
      <x:c r="A645" s="9" t="str">
        <x:v>QA-MAT-189</x:v>
      </x:c>
      <x:c r="B645" s="9" t="str">
        <x:v>MAT</x:v>
      </x:c>
      <x:c r="C645" s="9" t="str">
        <x:v>WhatsApp Bot / 80 / identidad E Extranjero</x:v>
      </x:c>
      <x:c r="D645" s="9" t="str">
        <x:v>P1</x:v>
      </x:c>
      <x:c r="E645" s="9" t="str">
        <x:v>Positiva</x:v>
      </x:c>
      <x:c r="F645" s="9" t="str">
        <x:v>Navegador + HTTP + persistencia</x:v>
      </x:c>
      <x:c r="G645" s="10" t="str">
        <x:v>Pendiente</x:v>
      </x:c>
      <x:c r="H645" s="10"/>
      <x:c r="I645" s="10"/>
      <x:c r="J645" s="10"/>
      <x:c r="K645" s="10"/>
      <x:c r="L645" s="11"/>
      <x:c r="M645" s="12"/>
      <x:c r="N645" s="10"/>
    </x:row>
    <x:row r="646" ht="25" customHeight="1">
      <x:c r="A646" s="9" t="str">
        <x:v>QA-MAT-190</x:v>
      </x:c>
      <x:c r="B646" s="9" t="str">
        <x:v>MAT</x:v>
      </x:c>
      <x:c r="C646" s="9" t="str">
        <x:v>WhatsApp Bot / 80 / identidad C Comuna</x:v>
      </x:c>
      <x:c r="D646" s="9" t="str">
        <x:v>P1</x:v>
      </x:c>
      <x:c r="E646" s="9" t="str">
        <x:v>Positiva</x:v>
      </x:c>
      <x:c r="F646" s="9" t="str">
        <x:v>Navegador + HTTP + persistencia</x:v>
      </x:c>
      <x:c r="G646" s="10" t="str">
        <x:v>Pendiente</x:v>
      </x:c>
      <x:c r="H646" s="10"/>
      <x:c r="I646" s="10"/>
      <x:c r="J646" s="10"/>
      <x:c r="K646" s="10"/>
      <x:c r="L646" s="11"/>
      <x:c r="M646" s="12"/>
      <x:c r="N646" s="10"/>
    </x:row>
    <x:row r="647" ht="25" customHeight="1">
      <x:c r="A647" s="9" t="str">
        <x:v>QA-MAT-191</x:v>
      </x:c>
      <x:c r="B647" s="9" t="str">
        <x:v>MAT</x:v>
      </x:c>
      <x:c r="C647" s="9" t="str">
        <x:v>WhatsApp Bot / 80 / identidad G Gubernamental</x:v>
      </x:c>
      <x:c r="D647" s="9" t="str">
        <x:v>P1</x:v>
      </x:c>
      <x:c r="E647" s="9" t="str">
        <x:v>Positiva</x:v>
      </x:c>
      <x:c r="F647" s="9" t="str">
        <x:v>Navegador + HTTP + persistencia</x:v>
      </x:c>
      <x:c r="G647" s="10" t="str">
        <x:v>Pendiente</x:v>
      </x:c>
      <x:c r="H647" s="10"/>
      <x:c r="I647" s="10"/>
      <x:c r="J647" s="10"/>
      <x:c r="K647" s="10"/>
      <x:c r="L647" s="11"/>
      <x:c r="M647" s="12"/>
      <x:c r="N647" s="10"/>
    </x:row>
    <x:row r="648" ht="25" customHeight="1">
      <x:c r="A648" s="9" t="str">
        <x:v>QA-MAT-192</x:v>
      </x:c>
      <x:c r="B648" s="9" t="str">
        <x:v>MAT</x:v>
      </x:c>
      <x:c r="C648" s="9" t="str">
        <x:v>WhatsApp Bot / 80 / identidad R Firma Personal</x:v>
      </x:c>
      <x:c r="D648" s="9" t="str">
        <x:v>P1</x:v>
      </x:c>
      <x:c r="E648" s="9" t="str">
        <x:v>Positiva</x:v>
      </x:c>
      <x:c r="F648" s="9" t="str">
        <x:v>Navegador + HTTP + persistencia</x:v>
      </x:c>
      <x:c r="G648" s="10" t="str">
        <x:v>Pendiente</x:v>
      </x:c>
      <x:c r="H648" s="10"/>
      <x:c r="I648" s="10"/>
      <x:c r="J648" s="10"/>
      <x:c r="K648" s="10"/>
      <x:c r="L648" s="11"/>
      <x:c r="M648" s="12"/>
      <x:c r="N648" s="10"/>
    </x:row>
    <x:row r="649" ht="25" customHeight="1">
      <x:c r="A649" s="9" t="str">
        <x:v>QA-MAT-193</x:v>
      </x:c>
      <x:c r="B649" s="9" t="str">
        <x:v>MAT</x:v>
      </x:c>
      <x:c r="C649" s="9" t="str">
        <x:v>Notas web / 07 / identidad 0 Doc.sin.rif</x:v>
      </x:c>
      <x:c r="D649" s="9" t="str">
        <x:v>P1</x:v>
      </x:c>
      <x:c r="E649" s="9" t="str">
        <x:v>Positiva</x:v>
      </x:c>
      <x:c r="F649" s="9" t="str">
        <x:v>Navegador + HTTP + persistencia</x:v>
      </x:c>
      <x:c r="G649" s="10" t="str">
        <x:v>Pendiente</x:v>
      </x:c>
      <x:c r="H649" s="10"/>
      <x:c r="I649" s="10"/>
      <x:c r="J649" s="10"/>
      <x:c r="K649" s="10"/>
      <x:c r="L649" s="11"/>
      <x:c r="M649" s="12"/>
      <x:c r="N649" s="10"/>
    </x:row>
    <x:row r="650" ht="25" customHeight="1">
      <x:c r="A650" s="9" t="str">
        <x:v>QA-MAT-194</x:v>
      </x:c>
      <x:c r="B650" s="9" t="str">
        <x:v>MAT</x:v>
      </x:c>
      <x:c r="C650" s="9" t="str">
        <x:v>Notas web / 07 / identidad 1 Venezolano</x:v>
      </x:c>
      <x:c r="D650" s="9" t="str">
        <x:v>P1</x:v>
      </x:c>
      <x:c r="E650" s="9" t="str">
        <x:v>Positiva</x:v>
      </x:c>
      <x:c r="F650" s="9" t="str">
        <x:v>Navegador + HTTP + persistencia</x:v>
      </x:c>
      <x:c r="G650" s="10" t="str">
        <x:v>Pendiente</x:v>
      </x:c>
      <x:c r="H650" s="10"/>
      <x:c r="I650" s="10"/>
      <x:c r="J650" s="10"/>
      <x:c r="K650" s="10"/>
      <x:c r="L650" s="11"/>
      <x:c r="M650" s="12"/>
      <x:c r="N650" s="10"/>
    </x:row>
    <x:row r="651" ht="25" customHeight="1">
      <x:c r="A651" s="9" t="str">
        <x:v>QA-MAT-195</x:v>
      </x:c>
      <x:c r="B651" s="9" t="str">
        <x:v>MAT</x:v>
      </x:c>
      <x:c r="C651" s="9" t="str">
        <x:v>Notas web / 07 / identidad 6 Juridico</x:v>
      </x:c>
      <x:c r="D651" s="9" t="str">
        <x:v>P1</x:v>
      </x:c>
      <x:c r="E651" s="9" t="str">
        <x:v>Positiva</x:v>
      </x:c>
      <x:c r="F651" s="9" t="str">
        <x:v>Navegador + HTTP + persistencia</x:v>
      </x:c>
      <x:c r="G651" s="10" t="str">
        <x:v>Pendiente</x:v>
      </x:c>
      <x:c r="H651" s="10"/>
      <x:c r="I651" s="10"/>
      <x:c r="J651" s="10"/>
      <x:c r="K651" s="10"/>
      <x:c r="L651" s="11"/>
      <x:c r="M651" s="12"/>
      <x:c r="N651" s="10"/>
    </x:row>
    <x:row r="652" ht="25" customHeight="1">
      <x:c r="A652" s="9" t="str">
        <x:v>QA-MAT-196</x:v>
      </x:c>
      <x:c r="B652" s="9" t="str">
        <x:v>MAT</x:v>
      </x:c>
      <x:c r="C652" s="9" t="str">
        <x:v>Notas web / 07 / identidad 7 Pasaporte</x:v>
      </x:c>
      <x:c r="D652" s="9" t="str">
        <x:v>P1</x:v>
      </x:c>
      <x:c r="E652" s="9" t="str">
        <x:v>Positiva</x:v>
      </x:c>
      <x:c r="F652" s="9" t="str">
        <x:v>Navegador + HTTP + persistencia</x:v>
      </x:c>
      <x:c r="G652" s="10" t="str">
        <x:v>Pendiente</x:v>
      </x:c>
      <x:c r="H652" s="10"/>
      <x:c r="I652" s="10"/>
      <x:c r="J652" s="10"/>
      <x:c r="K652" s="10"/>
      <x:c r="L652" s="11"/>
      <x:c r="M652" s="12"/>
      <x:c r="N652" s="10"/>
    </x:row>
    <x:row r="653" ht="25" customHeight="1">
      <x:c r="A653" s="9" t="str">
        <x:v>QA-MAT-197</x:v>
      </x:c>
      <x:c r="B653" s="9" t="str">
        <x:v>MAT</x:v>
      </x:c>
      <x:c r="C653" s="9" t="str">
        <x:v>Notas web / 07 / identidad E Extranjero</x:v>
      </x:c>
      <x:c r="D653" s="9" t="str">
        <x:v>P1</x:v>
      </x:c>
      <x:c r="E653" s="9" t="str">
        <x:v>Positiva</x:v>
      </x:c>
      <x:c r="F653" s="9" t="str">
        <x:v>Navegador + HTTP + persistencia</x:v>
      </x:c>
      <x:c r="G653" s="10" t="str">
        <x:v>Pendiente</x:v>
      </x:c>
      <x:c r="H653" s="10"/>
      <x:c r="I653" s="10"/>
      <x:c r="J653" s="10"/>
      <x:c r="K653" s="10"/>
      <x:c r="L653" s="11"/>
      <x:c r="M653" s="12"/>
      <x:c r="N653" s="10"/>
    </x:row>
    <x:row r="654" ht="25" customHeight="1">
      <x:c r="A654" s="9" t="str">
        <x:v>QA-MAT-198</x:v>
      </x:c>
      <x:c r="B654" s="9" t="str">
        <x:v>MAT</x:v>
      </x:c>
      <x:c r="C654" s="9" t="str">
        <x:v>Notas web / 07 / identidad C Comuna</x:v>
      </x:c>
      <x:c r="D654" s="9" t="str">
        <x:v>P1</x:v>
      </x:c>
      <x:c r="E654" s="9" t="str">
        <x:v>Positiva</x:v>
      </x:c>
      <x:c r="F654" s="9" t="str">
        <x:v>Navegador + HTTP + persistencia</x:v>
      </x:c>
      <x:c r="G654" s="10" t="str">
        <x:v>Pendiente</x:v>
      </x:c>
      <x:c r="H654" s="10"/>
      <x:c r="I654" s="10"/>
      <x:c r="J654" s="10"/>
      <x:c r="K654" s="10"/>
      <x:c r="L654" s="11"/>
      <x:c r="M654" s="12"/>
      <x:c r="N654" s="10"/>
    </x:row>
    <x:row r="655" ht="25" customHeight="1">
      <x:c r="A655" s="9" t="str">
        <x:v>QA-MAT-199</x:v>
      </x:c>
      <x:c r="B655" s="9" t="str">
        <x:v>MAT</x:v>
      </x:c>
      <x:c r="C655" s="9" t="str">
        <x:v>Notas web / 07 / identidad G Gubernamental</x:v>
      </x:c>
      <x:c r="D655" s="9" t="str">
        <x:v>P1</x:v>
      </x:c>
      <x:c r="E655" s="9" t="str">
        <x:v>Positiva</x:v>
      </x:c>
      <x:c r="F655" s="9" t="str">
        <x:v>Navegador + HTTP + persistencia</x:v>
      </x:c>
      <x:c r="G655" s="10" t="str">
        <x:v>Pendiente</x:v>
      </x:c>
      <x:c r="H655" s="10"/>
      <x:c r="I655" s="10"/>
      <x:c r="J655" s="10"/>
      <x:c r="K655" s="10"/>
      <x:c r="L655" s="11"/>
      <x:c r="M655" s="12"/>
      <x:c r="N655" s="10"/>
    </x:row>
    <x:row r="656" ht="25" customHeight="1">
      <x:c r="A656" s="9" t="str">
        <x:v>QA-MAT-200</x:v>
      </x:c>
      <x:c r="B656" s="9" t="str">
        <x:v>MAT</x:v>
      </x:c>
      <x:c r="C656" s="9" t="str">
        <x:v>Notas web / 07 / identidad R Firma Personal</x:v>
      </x:c>
      <x:c r="D656" s="9" t="str">
        <x:v>P1</x:v>
      </x:c>
      <x:c r="E656" s="9" t="str">
        <x:v>Positiva</x:v>
      </x:c>
      <x:c r="F656" s="9" t="str">
        <x:v>Navegador + HTTP + persistencia</x:v>
      </x:c>
      <x:c r="G656" s="10" t="str">
        <x:v>Pendiente</x:v>
      </x:c>
      <x:c r="H656" s="10"/>
      <x:c r="I656" s="10"/>
      <x:c r="J656" s="10"/>
      <x:c r="K656" s="10"/>
      <x:c r="L656" s="11"/>
      <x:c r="M656" s="12"/>
      <x:c r="N656" s="10"/>
    </x:row>
    <x:row r="657" ht="25" customHeight="1">
      <x:c r="A657" s="9" t="str">
        <x:v>QA-MAT-201</x:v>
      </x:c>
      <x:c r="B657" s="9" t="str">
        <x:v>MAT</x:v>
      </x:c>
      <x:c r="C657" s="9" t="str">
        <x:v>Notas web / 08 / identidad 0 Doc.sin.rif</x:v>
      </x:c>
      <x:c r="D657" s="9" t="str">
        <x:v>P1</x:v>
      </x:c>
      <x:c r="E657" s="9" t="str">
        <x:v>Positiva</x:v>
      </x:c>
      <x:c r="F657" s="9" t="str">
        <x:v>Navegador + HTTP + persistencia</x:v>
      </x:c>
      <x:c r="G657" s="10" t="str">
        <x:v>Pendiente</x:v>
      </x:c>
      <x:c r="H657" s="10"/>
      <x:c r="I657" s="10"/>
      <x:c r="J657" s="10"/>
      <x:c r="K657" s="10"/>
      <x:c r="L657" s="11"/>
      <x:c r="M657" s="12"/>
      <x:c r="N657" s="10"/>
    </x:row>
    <x:row r="658" ht="25" customHeight="1">
      <x:c r="A658" s="9" t="str">
        <x:v>QA-MAT-202</x:v>
      </x:c>
      <x:c r="B658" s="9" t="str">
        <x:v>MAT</x:v>
      </x:c>
      <x:c r="C658" s="9" t="str">
        <x:v>Notas web / 08 / identidad 1 Venezolano</x:v>
      </x:c>
      <x:c r="D658" s="9" t="str">
        <x:v>P1</x:v>
      </x:c>
      <x:c r="E658" s="9" t="str">
        <x:v>Positiva</x:v>
      </x:c>
      <x:c r="F658" s="9" t="str">
        <x:v>Navegador + HTTP + persistencia</x:v>
      </x:c>
      <x:c r="G658" s="10" t="str">
        <x:v>Pendiente</x:v>
      </x:c>
      <x:c r="H658" s="10"/>
      <x:c r="I658" s="10"/>
      <x:c r="J658" s="10"/>
      <x:c r="K658" s="10"/>
      <x:c r="L658" s="11"/>
      <x:c r="M658" s="12"/>
      <x:c r="N658" s="10"/>
    </x:row>
    <x:row r="659" ht="25" customHeight="1">
      <x:c r="A659" s="9" t="str">
        <x:v>QA-MAT-203</x:v>
      </x:c>
      <x:c r="B659" s="9" t="str">
        <x:v>MAT</x:v>
      </x:c>
      <x:c r="C659" s="9" t="str">
        <x:v>Notas web / 08 / identidad 6 Juridico</x:v>
      </x:c>
      <x:c r="D659" s="9" t="str">
        <x:v>P1</x:v>
      </x:c>
      <x:c r="E659" s="9" t="str">
        <x:v>Positiva</x:v>
      </x:c>
      <x:c r="F659" s="9" t="str">
        <x:v>Navegador + HTTP + persistencia</x:v>
      </x:c>
      <x:c r="G659" s="10" t="str">
        <x:v>Pendiente</x:v>
      </x:c>
      <x:c r="H659" s="10"/>
      <x:c r="I659" s="10"/>
      <x:c r="J659" s="10"/>
      <x:c r="K659" s="10"/>
      <x:c r="L659" s="11"/>
      <x:c r="M659" s="12"/>
      <x:c r="N659" s="10"/>
    </x:row>
    <x:row r="660" ht="25" customHeight="1">
      <x:c r="A660" s="9" t="str">
        <x:v>QA-MAT-204</x:v>
      </x:c>
      <x:c r="B660" s="9" t="str">
        <x:v>MAT</x:v>
      </x:c>
      <x:c r="C660" s="9" t="str">
        <x:v>Notas web / 08 / identidad 7 Pasaporte</x:v>
      </x:c>
      <x:c r="D660" s="9" t="str">
        <x:v>P1</x:v>
      </x:c>
      <x:c r="E660" s="9" t="str">
        <x:v>Positiva</x:v>
      </x:c>
      <x:c r="F660" s="9" t="str">
        <x:v>Navegador + HTTP + persistencia</x:v>
      </x:c>
      <x:c r="G660" s="10" t="str">
        <x:v>Pendiente</x:v>
      </x:c>
      <x:c r="H660" s="10"/>
      <x:c r="I660" s="10"/>
      <x:c r="J660" s="10"/>
      <x:c r="K660" s="10"/>
      <x:c r="L660" s="11"/>
      <x:c r="M660" s="12"/>
      <x:c r="N660" s="10"/>
    </x:row>
    <x:row r="661" ht="25" customHeight="1">
      <x:c r="A661" s="9" t="str">
        <x:v>QA-MAT-205</x:v>
      </x:c>
      <x:c r="B661" s="9" t="str">
        <x:v>MAT</x:v>
      </x:c>
      <x:c r="C661" s="9" t="str">
        <x:v>Notas web / 08 / identidad E Extranjero</x:v>
      </x:c>
      <x:c r="D661" s="9" t="str">
        <x:v>P1</x:v>
      </x:c>
      <x:c r="E661" s="9" t="str">
        <x:v>Positiva</x:v>
      </x:c>
      <x:c r="F661" s="9" t="str">
        <x:v>Navegador + HTTP + persistencia</x:v>
      </x:c>
      <x:c r="G661" s="10" t="str">
        <x:v>Pendiente</x:v>
      </x:c>
      <x:c r="H661" s="10"/>
      <x:c r="I661" s="10"/>
      <x:c r="J661" s="10"/>
      <x:c r="K661" s="10"/>
      <x:c r="L661" s="11"/>
      <x:c r="M661" s="12"/>
      <x:c r="N661" s="10"/>
    </x:row>
    <x:row r="662" ht="25" customHeight="1">
      <x:c r="A662" s="9" t="str">
        <x:v>QA-MAT-206</x:v>
      </x:c>
      <x:c r="B662" s="9" t="str">
        <x:v>MAT</x:v>
      </x:c>
      <x:c r="C662" s="9" t="str">
        <x:v>Notas web / 08 / identidad C Comuna</x:v>
      </x:c>
      <x:c r="D662" s="9" t="str">
        <x:v>P1</x:v>
      </x:c>
      <x:c r="E662" s="9" t="str">
        <x:v>Positiva</x:v>
      </x:c>
      <x:c r="F662" s="9" t="str">
        <x:v>Navegador + HTTP + persistencia</x:v>
      </x:c>
      <x:c r="G662" s="10" t="str">
        <x:v>Pendiente</x:v>
      </x:c>
      <x:c r="H662" s="10"/>
      <x:c r="I662" s="10"/>
      <x:c r="J662" s="10"/>
      <x:c r="K662" s="10"/>
      <x:c r="L662" s="11"/>
      <x:c r="M662" s="12"/>
      <x:c r="N662" s="10"/>
    </x:row>
    <x:row r="663" ht="25" customHeight="1">
      <x:c r="A663" s="9" t="str">
        <x:v>QA-MAT-207</x:v>
      </x:c>
      <x:c r="B663" s="9" t="str">
        <x:v>MAT</x:v>
      </x:c>
      <x:c r="C663" s="9" t="str">
        <x:v>Notas web / 08 / identidad G Gubernamental</x:v>
      </x:c>
      <x:c r="D663" s="9" t="str">
        <x:v>P1</x:v>
      </x:c>
      <x:c r="E663" s="9" t="str">
        <x:v>Positiva</x:v>
      </x:c>
      <x:c r="F663" s="9" t="str">
        <x:v>Navegador + HTTP + persistencia</x:v>
      </x:c>
      <x:c r="G663" s="10" t="str">
        <x:v>Pendiente</x:v>
      </x:c>
      <x:c r="H663" s="10"/>
      <x:c r="I663" s="10"/>
      <x:c r="J663" s="10"/>
      <x:c r="K663" s="10"/>
      <x:c r="L663" s="11"/>
      <x:c r="M663" s="12"/>
      <x:c r="N663" s="10"/>
    </x:row>
    <x:row r="664" ht="25" customHeight="1">
      <x:c r="A664" s="9" t="str">
        <x:v>QA-MAT-208</x:v>
      </x:c>
      <x:c r="B664" s="9" t="str">
        <x:v>MAT</x:v>
      </x:c>
      <x:c r="C664" s="9" t="str">
        <x:v>Notas web / 08 / identidad R Firma Personal</x:v>
      </x:c>
      <x:c r="D664" s="9" t="str">
        <x:v>P1</x:v>
      </x:c>
      <x:c r="E664" s="9" t="str">
        <x:v>Positiva</x:v>
      </x:c>
      <x:c r="F664" s="9" t="str">
        <x:v>Navegador + HTTP + persistencia</x:v>
      </x:c>
      <x:c r="G664" s="10" t="str">
        <x:v>Pendiente</x:v>
      </x:c>
      <x:c r="H664" s="10"/>
      <x:c r="I664" s="10"/>
      <x:c r="J664" s="10"/>
      <x:c r="K664" s="10"/>
      <x:c r="L664" s="11"/>
      <x:c r="M664" s="12"/>
      <x:c r="N664" s="10"/>
    </x:row>
    <x:row r="665" ht="25" customHeight="1">
      <x:c r="A665" s="9" t="str">
        <x:v>QA-NEG-001</x:v>
      </x:c>
      <x:c r="B665" s="9" t="str">
        <x:v>NEG</x:v>
      </x:c>
      <x:c r="C665" s="9" t="str">
        <x:v>Comprobantes web: rechazo de Boleta 03</x:v>
      </x:c>
      <x:c r="D665" s="9" t="str">
        <x:v>P0</x:v>
      </x:c>
      <x:c r="E665" s="9" t="str">
        <x:v>Negativa</x:v>
      </x:c>
      <x:c r="F665" s="9" t="str">
        <x:v>Navegador + HTTP + persistencia</x:v>
      </x:c>
      <x:c r="G665" s="10" t="str">
        <x:v>Pendiente</x:v>
      </x:c>
      <x:c r="H665" s="10"/>
      <x:c r="I665" s="10"/>
      <x:c r="J665" s="10"/>
      <x:c r="K665" s="10"/>
      <x:c r="L665" s="11"/>
      <x:c r="M665" s="12"/>
      <x:c r="N665" s="10"/>
    </x:row>
    <x:row r="666" ht="25" customHeight="1">
      <x:c r="A666" s="9" t="str">
        <x:v>QA-NEG-002</x:v>
      </x:c>
      <x:c r="B666" s="9" t="str">
        <x:v>NEG</x:v>
      </x:c>
      <x:c r="C666" s="9" t="str">
        <x:v>POS: rechazo de Boleta 03</x:v>
      </x:c>
      <x:c r="D666" s="9" t="str">
        <x:v>P0</x:v>
      </x:c>
      <x:c r="E666" s="9" t="str">
        <x:v>Negativa</x:v>
      </x:c>
      <x:c r="F666" s="9" t="str">
        <x:v>Navegador + HTTP + persistencia</x:v>
      </x:c>
      <x:c r="G666" s="10" t="str">
        <x:v>Pendiente</x:v>
      </x:c>
      <x:c r="H666" s="10"/>
      <x:c r="I666" s="10"/>
      <x:c r="J666" s="10"/>
      <x:c r="K666" s="10"/>
      <x:c r="L666" s="11"/>
      <x:c r="M666" s="12"/>
      <x:c r="N666" s="10"/>
    </x:row>
    <x:row r="667" ht="25" customHeight="1">
      <x:c r="A667" s="9" t="str">
        <x:v>QA-NEG-003</x:v>
      </x:c>
      <x:c r="B667" s="9" t="str">
        <x:v>NEG</x:v>
      </x:c>
      <x:c r="C667" s="9" t="str">
        <x:v>Vende Ya / Garage: rechazo de Boleta 03</x:v>
      </x:c>
      <x:c r="D667" s="9" t="str">
        <x:v>P0</x:v>
      </x:c>
      <x:c r="E667" s="9" t="str">
        <x:v>Negativa</x:v>
      </x:c>
      <x:c r="F667" s="9" t="str">
        <x:v>Navegador + HTTP + persistencia</x:v>
      </x:c>
      <x:c r="G667" s="10" t="str">
        <x:v>Pendiente</x:v>
      </x:c>
      <x:c r="H667" s="10"/>
      <x:c r="I667" s="10"/>
      <x:c r="J667" s="10"/>
      <x:c r="K667" s="10"/>
      <x:c r="L667" s="11"/>
      <x:c r="M667" s="12"/>
      <x:c r="N667" s="10"/>
    </x:row>
    <x:row r="668" ht="25" customHeight="1">
      <x:c r="A668" s="9" t="str">
        <x:v>QA-NEG-004</x:v>
      </x:c>
      <x:c r="B668" s="9" t="str">
        <x:v>NEG</x:v>
      </x:c>
      <x:c r="C668" s="9" t="str">
        <x:v>Venta rápida: rechazo de Boleta 03</x:v>
      </x:c>
      <x:c r="D668" s="9" t="str">
        <x:v>P0</x:v>
      </x:c>
      <x:c r="E668" s="9" t="str">
        <x:v>Negativa</x:v>
      </x:c>
      <x:c r="F668" s="9" t="str">
        <x:v>Navegador + HTTP + persistencia</x:v>
      </x:c>
      <x:c r="G668" s="10" t="str">
        <x:v>Pendiente</x:v>
      </x:c>
      <x:c r="H668" s="10"/>
      <x:c r="I668" s="10"/>
      <x:c r="J668" s="10"/>
      <x:c r="K668" s="10"/>
      <x:c r="L668" s="11"/>
      <x:c r="M668" s="12"/>
      <x:c r="N668" s="10"/>
    </x:row>
    <x:row r="669" ht="25" customHeight="1">
      <x:c r="A669" s="9" t="str">
        <x:v>QA-NEG-005</x:v>
      </x:c>
      <x:c r="B669" s="9" t="str">
        <x:v>NEG</x:v>
      </x:c>
      <x:c r="C669" s="9" t="str">
        <x:v>API de venta: rechazo de Boleta 03</x:v>
      </x:c>
      <x:c r="D669" s="9" t="str">
        <x:v>P0</x:v>
      </x:c>
      <x:c r="E669" s="9" t="str">
        <x:v>Negativa</x:v>
      </x:c>
      <x:c r="F669" s="9" t="str">
        <x:v>Navegador + HTTP + persistencia</x:v>
      </x:c>
      <x:c r="G669" s="10" t="str">
        <x:v>Pendiente</x:v>
      </x:c>
      <x:c r="H669" s="10"/>
      <x:c r="I669" s="10"/>
      <x:c r="J669" s="10"/>
      <x:c r="K669" s="10"/>
      <x:c r="L669" s="11"/>
      <x:c r="M669" s="12"/>
      <x:c r="N669" s="10"/>
    </x:row>
    <x:row r="670" ht="25" customHeight="1">
      <x:c r="A670" s="9" t="str">
        <x:v>QA-NEG-006</x:v>
      </x:c>
      <x:c r="B670" s="9" t="str">
        <x:v>NEG</x:v>
      </x:c>
      <x:c r="C670" s="9" t="str">
        <x:v>Hotel: rechazo de Boleta 03</x:v>
      </x:c>
      <x:c r="D670" s="9" t="str">
        <x:v>P0</x:v>
      </x:c>
      <x:c r="E670" s="9" t="str">
        <x:v>Negativa</x:v>
      </x:c>
      <x:c r="F670" s="9" t="str">
        <x:v>Navegador + HTTP + persistencia</x:v>
      </x:c>
      <x:c r="G670" s="10" t="str">
        <x:v>Pendiente</x:v>
      </x:c>
      <x:c r="H670" s="10"/>
      <x:c r="I670" s="10"/>
      <x:c r="J670" s="10"/>
      <x:c r="K670" s="10"/>
      <x:c r="L670" s="11"/>
      <x:c r="M670" s="12"/>
      <x:c r="N670" s="10"/>
    </x:row>
    <x:row r="671" ht="25" customHeight="1">
      <x:c r="A671" s="9" t="str">
        <x:v>QA-NEG-007</x:v>
      </x:c>
      <x:c r="B671" s="9" t="str">
        <x:v>NEG</x:v>
      </x:c>
      <x:c r="C671" s="9" t="str">
        <x:v>Restaurante: rechazo de Boleta 03</x:v>
      </x:c>
      <x:c r="D671" s="9" t="str">
        <x:v>P0</x:v>
      </x:c>
      <x:c r="E671" s="9" t="str">
        <x:v>Negativa</x:v>
      </x:c>
      <x:c r="F671" s="9" t="str">
        <x:v>Navegador + HTTP + persistencia</x:v>
      </x:c>
      <x:c r="G671" s="10" t="str">
        <x:v>Pendiente</x:v>
      </x:c>
      <x:c r="H671" s="10"/>
      <x:c r="I671" s="10"/>
      <x:c r="J671" s="10"/>
      <x:c r="K671" s="10"/>
      <x:c r="L671" s="11"/>
      <x:c r="M671" s="12"/>
      <x:c r="N671" s="10"/>
    </x:row>
    <x:row r="672" ht="25" customHeight="1">
      <x:c r="A672" s="9" t="str">
        <x:v>QA-NEG-008</x:v>
      </x:c>
      <x:c r="B672" s="9" t="str">
        <x:v>NEG</x:v>
      </x:c>
      <x:c r="C672" s="9" t="str">
        <x:v>Ecommerce: rechazo de Boleta 03</x:v>
      </x:c>
      <x:c r="D672" s="9" t="str">
        <x:v>P0</x:v>
      </x:c>
      <x:c r="E672" s="9" t="str">
        <x:v>Negativa</x:v>
      </x:c>
      <x:c r="F672" s="9" t="str">
        <x:v>Navegador + HTTP + persistencia</x:v>
      </x:c>
      <x:c r="G672" s="10" t="str">
        <x:v>Pendiente</x:v>
      </x:c>
      <x:c r="H672" s="10"/>
      <x:c r="I672" s="10"/>
      <x:c r="J672" s="10"/>
      <x:c r="K672" s="10"/>
      <x:c r="L672" s="11"/>
      <x:c r="M672" s="12"/>
      <x:c r="N672" s="10"/>
    </x:row>
    <x:row r="673" ht="25" customHeight="1">
      <x:c r="A673" s="9" t="str">
        <x:v>QA-NEG-009</x:v>
      </x:c>
      <x:c r="B673" s="9" t="str">
        <x:v>NEG</x:v>
      </x:c>
      <x:c r="C673" s="9" t="str">
        <x:v>Mi Tienda / Store: rechazo de Boleta 03</x:v>
      </x:c>
      <x:c r="D673" s="9" t="str">
        <x:v>P0</x:v>
      </x:c>
      <x:c r="E673" s="9" t="str">
        <x:v>Negativa</x:v>
      </x:c>
      <x:c r="F673" s="9" t="str">
        <x:v>Navegador + HTTP + persistencia</x:v>
      </x:c>
      <x:c r="G673" s="10" t="str">
        <x:v>Pendiente</x:v>
      </x:c>
      <x:c r="H673" s="10"/>
      <x:c r="I673" s="10"/>
      <x:c r="J673" s="10"/>
      <x:c r="K673" s="10"/>
      <x:c r="L673" s="11"/>
      <x:c r="M673" s="12"/>
      <x:c r="N673" s="10"/>
    </x:row>
    <x:row r="674" ht="25" customHeight="1">
      <x:c r="A674" s="9" t="str">
        <x:v>QA-NEG-010</x:v>
      </x:c>
      <x:c r="B674" s="9" t="str">
        <x:v>NEG</x:v>
      </x:c>
      <x:c r="C674" s="9" t="str">
        <x:v>Pedidos: rechazo de Boleta 03</x:v>
      </x:c>
      <x:c r="D674" s="9" t="str">
        <x:v>P0</x:v>
      </x:c>
      <x:c r="E674" s="9" t="str">
        <x:v>Negativa</x:v>
      </x:c>
      <x:c r="F674" s="9" t="str">
        <x:v>Navegador + HTTP + persistencia</x:v>
      </x:c>
      <x:c r="G674" s="10" t="str">
        <x:v>Pendiente</x:v>
      </x:c>
      <x:c r="H674" s="10"/>
      <x:c r="I674" s="10"/>
      <x:c r="J674" s="10"/>
      <x:c r="K674" s="10"/>
      <x:c r="L674" s="11"/>
      <x:c r="M674" s="12"/>
      <x:c r="N674" s="10"/>
    </x:row>
    <x:row r="675" ht="25" customHeight="1">
      <x:c r="A675" s="9" t="str">
        <x:v>QA-NEG-011</x:v>
      </x:c>
      <x:c r="B675" s="9" t="str">
        <x:v>NEG</x:v>
      </x:c>
      <x:c r="C675" s="9" t="str">
        <x:v>Servicio técnico: rechazo de Boleta 03</x:v>
      </x:c>
      <x:c r="D675" s="9" t="str">
        <x:v>P0</x:v>
      </x:c>
      <x:c r="E675" s="9" t="str">
        <x:v>Negativa</x:v>
      </x:c>
      <x:c r="F675" s="9" t="str">
        <x:v>Navegador + HTTP + persistencia</x:v>
      </x:c>
      <x:c r="G675" s="10" t="str">
        <x:v>Pendiente</x:v>
      </x:c>
      <x:c r="H675" s="10"/>
      <x:c r="I675" s="10"/>
      <x:c r="J675" s="10"/>
      <x:c r="K675" s="10"/>
      <x:c r="L675" s="11"/>
      <x:c r="M675" s="12"/>
      <x:c r="N675" s="10"/>
    </x:row>
    <x:row r="676" ht="25" customHeight="1">
      <x:c r="A676" s="9" t="str">
        <x:v>QA-NEG-012</x:v>
      </x:c>
      <x:c r="B676" s="9" t="str">
        <x:v>NEG</x:v>
      </x:c>
      <x:c r="C676" s="9" t="str">
        <x:v>WhatsApp Bot: rechazo de Boleta 03</x:v>
      </x:c>
      <x:c r="D676" s="9" t="str">
        <x:v>P0</x:v>
      </x:c>
      <x:c r="E676" s="9" t="str">
        <x:v>Negativa</x:v>
      </x:c>
      <x:c r="F676" s="9" t="str">
        <x:v>Navegador + HTTP + persistencia</x:v>
      </x:c>
      <x:c r="G676" s="10" t="str">
        <x:v>Pendiente</x:v>
      </x:c>
      <x:c r="H676" s="10"/>
      <x:c r="I676" s="10"/>
      <x:c r="J676" s="10"/>
      <x:c r="K676" s="10"/>
      <x:c r="L676" s="11"/>
      <x:c r="M676" s="12"/>
      <x:c r="N676" s="10"/>
    </x:row>
    <x:row r="677" ht="25" customHeight="1">
      <x:c r="A677" s="9" t="str">
        <x:v>QA-NEG-013</x:v>
      </x:c>
      <x:c r="B677" s="9" t="str">
        <x:v>NEG</x:v>
      </x:c>
      <x:c r="C677" s="9" t="str">
        <x:v>Procesamiento fiscal común rechaza tipo FE</x:v>
      </x:c>
      <x:c r="D677" s="9" t="str">
        <x:v>P0</x:v>
      </x:c>
      <x:c r="E677" s="9" t="str">
        <x:v>Negativa</x:v>
      </x:c>
      <x:c r="F677" s="9" t="str">
        <x:v>Navegador + HTTP + persistencia</x:v>
      </x:c>
      <x:c r="G677" s="10" t="str">
        <x:v>Pendiente</x:v>
      </x:c>
      <x:c r="H677" s="10"/>
      <x:c r="I677" s="10"/>
      <x:c r="J677" s="10"/>
      <x:c r="K677" s="10"/>
      <x:c r="L677" s="11"/>
      <x:c r="M677" s="12"/>
      <x:c r="N677" s="10"/>
    </x:row>
    <x:row r="678" ht="25" customHeight="1">
      <x:c r="A678" s="9" t="str">
        <x:v>QA-NEG-014</x:v>
      </x:c>
      <x:c r="B678" s="9" t="str">
        <x:v>NEG</x:v>
      </x:c>
      <x:c r="C678" s="9" t="str">
        <x:v>Procesamiento fiscal común rechaza tipo 09</x:v>
      </x:c>
      <x:c r="D678" s="9" t="str">
        <x:v>P0</x:v>
      </x:c>
      <x:c r="E678" s="9" t="str">
        <x:v>Negativa</x:v>
      </x:c>
      <x:c r="F678" s="9" t="str">
        <x:v>Navegador + HTTP + persistencia</x:v>
      </x:c>
      <x:c r="G678" s="10" t="str">
        <x:v>Pendiente</x:v>
      </x:c>
      <x:c r="H678" s="10"/>
      <x:c r="I678" s="10"/>
      <x:c r="J678" s="10"/>
      <x:c r="K678" s="10"/>
      <x:c r="L678" s="11"/>
      <x:c r="M678" s="12"/>
      <x:c r="N678" s="10"/>
    </x:row>
    <x:row r="679" ht="25" customHeight="1">
      <x:c r="A679" s="9" t="str">
        <x:v>QA-NEG-015</x:v>
      </x:c>
      <x:c r="B679" s="9" t="str">
        <x:v>NEG</x:v>
      </x:c>
      <x:c r="C679" s="9" t="str">
        <x:v>Procesamiento fiscal común rechaza tipo 20</x:v>
      </x:c>
      <x:c r="D679" s="9" t="str">
        <x:v>P0</x:v>
      </x:c>
      <x:c r="E679" s="9" t="str">
        <x:v>Negativa</x:v>
      </x:c>
      <x:c r="F679" s="9" t="str">
        <x:v>Navegador + HTTP + persistencia</x:v>
      </x:c>
      <x:c r="G679" s="10" t="str">
        <x:v>Pendiente</x:v>
      </x:c>
      <x:c r="H679" s="10"/>
      <x:c r="I679" s="10"/>
      <x:c r="J679" s="10"/>
      <x:c r="K679" s="10"/>
      <x:c r="L679" s="11"/>
      <x:c r="M679" s="12"/>
      <x:c r="N679" s="10"/>
    </x:row>
    <x:row r="680" ht="25" customHeight="1">
      <x:c r="A680" s="9" t="str">
        <x:v>QA-NEG-016</x:v>
      </x:c>
      <x:c r="B680" s="9" t="str">
        <x:v>NEG</x:v>
      </x:c>
      <x:c r="C680" s="9" t="str">
        <x:v>Procesamiento fiscal común rechaza tipo ISLR</x:v>
      </x:c>
      <x:c r="D680" s="9" t="str">
        <x:v>P0</x:v>
      </x:c>
      <x:c r="E680" s="9" t="str">
        <x:v>Negativa</x:v>
      </x:c>
      <x:c r="F680" s="9" t="str">
        <x:v>Navegador + HTTP + persistencia</x:v>
      </x:c>
      <x:c r="G680" s="10" t="str">
        <x:v>Pendiente</x:v>
      </x:c>
      <x:c r="H680" s="10"/>
      <x:c r="I680" s="10"/>
      <x:c r="J680" s="10"/>
      <x:c r="K680" s="10"/>
      <x:c r="L680" s="11"/>
      <x:c r="M680" s="12"/>
      <x:c r="N680" s="10"/>
    </x:row>
    <x:row r="681" ht="25" customHeight="1">
      <x:c r="A681" s="9" t="str">
        <x:v>QA-NEG-017</x:v>
      </x:c>
      <x:c r="B681" s="9" t="str">
        <x:v>NEG</x:v>
      </x:c>
      <x:c r="C681" s="9" t="str">
        <x:v>Procesamiento fiscal común rechaza tipo ARCV</x:v>
      </x:c>
      <x:c r="D681" s="9" t="str">
        <x:v>P0</x:v>
      </x:c>
      <x:c r="E681" s="9" t="str">
        <x:v>Negativa</x:v>
      </x:c>
      <x:c r="F681" s="9" t="str">
        <x:v>Navegador + HTTP + persistencia</x:v>
      </x:c>
      <x:c r="G681" s="10" t="str">
        <x:v>Pendiente</x:v>
      </x:c>
      <x:c r="H681" s="10"/>
      <x:c r="I681" s="10"/>
      <x:c r="J681" s="10"/>
      <x:c r="K681" s="10"/>
      <x:c r="L681" s="11"/>
      <x:c r="M681" s="12"/>
      <x:c r="N681" s="10"/>
    </x:row>
    <x:row r="682" ht="25" customHeight="1">
      <x:c r="A682" s="9" t="str">
        <x:v>QA-NEG-018</x:v>
      </x:c>
      <x:c r="B682" s="9" t="str">
        <x:v>NEG</x:v>
      </x:c>
      <x:c r="C682" s="9" t="str">
        <x:v>Procesamiento fiscal común rechaza tipo 99</x:v>
      </x:c>
      <x:c r="D682" s="9" t="str">
        <x:v>P0</x:v>
      </x:c>
      <x:c r="E682" s="9" t="str">
        <x:v>Negativa</x:v>
      </x:c>
      <x:c r="F682" s="9" t="str">
        <x:v>Navegador + HTTP + persistencia</x:v>
      </x:c>
      <x:c r="G682" s="10" t="str">
        <x:v>Pendiente</x:v>
      </x:c>
      <x:c r="H682" s="10"/>
      <x:c r="I682" s="10"/>
      <x:c r="J682" s="10"/>
      <x:c r="K682" s="10"/>
      <x:c r="L682" s="11"/>
      <x:c r="M682" s="12"/>
      <x:c r="N682" s="10"/>
    </x:row>
    <x:row r="683" ht="25" customHeight="1">
      <x:c r="A683" s="9" t="str">
        <x:v>QA-NEG-019</x:v>
      </x:c>
      <x:c r="B683" s="9" t="str">
        <x:v>NEG</x:v>
      </x:c>
      <x:c r="C683" s="9" t="str">
        <x:v>Procesamiento fiscal común rechaza tipo __unknown__</x:v>
      </x:c>
      <x:c r="D683" s="9" t="str">
        <x:v>P0</x:v>
      </x:c>
      <x:c r="E683" s="9" t="str">
        <x:v>Negativa</x:v>
      </x:c>
      <x:c r="F683" s="9" t="str">
        <x:v>Navegador + HTTP + persistencia</x:v>
      </x:c>
      <x:c r="G683" s="10" t="str">
        <x:v>Pendiente</x:v>
      </x:c>
      <x:c r="H683" s="10"/>
      <x:c r="I683" s="10"/>
      <x:c r="J683" s="10"/>
      <x:c r="K683" s="10"/>
      <x:c r="L683" s="11"/>
      <x:c r="M683" s="12"/>
      <x:c r="N683" s="10"/>
    </x:row>
    <x:row r="684" ht="25" customHeight="1">
      <x:c r="A684" s="9" t="str">
        <x:v>QA-PRE-001</x:v>
      </x:c>
      <x:c r="B684" s="9" t="str">
        <x:v>PRE</x:v>
      </x:c>
      <x:c r="C684" s="9" t="str">
        <x:v>Factura de anticipo gravado</x:v>
      </x:c>
      <x:c r="D684" s="9" t="str">
        <x:v>P0</x:v>
      </x:c>
      <x:c r="E684" s="9" t="str">
        <x:v>Positiva</x:v>
      </x:c>
      <x:c r="F684" s="9" t="str">
        <x:v>Navegador + HTTP + persistencia</x:v>
      </x:c>
      <x:c r="G684" s="10" t="str">
        <x:v>Pendiente</x:v>
      </x:c>
      <x:c r="H684" s="10"/>
      <x:c r="I684" s="10"/>
      <x:c r="J684" s="10"/>
      <x:c r="K684" s="10"/>
      <x:c r="L684" s="11"/>
      <x:c r="M684" s="12"/>
      <x:c r="N684" s="10"/>
    </x:row>
    <x:row r="685" ht="25" customHeight="1">
      <x:c r="A685" s="9" t="str">
        <x:v>QA-PRE-002</x:v>
      </x:c>
      <x:c r="B685" s="9" t="str">
        <x:v>PRE</x:v>
      </x:c>
      <x:c r="C685" s="9" t="str">
        <x:v>Factura de anticipo exento</x:v>
      </x:c>
      <x:c r="D685" s="9" t="str">
        <x:v>P1</x:v>
      </x:c>
      <x:c r="E685" s="9" t="str">
        <x:v>Positiva</x:v>
      </x:c>
      <x:c r="F685" s="9" t="str">
        <x:v>Navegador + HTTP + persistencia</x:v>
      </x:c>
      <x:c r="G685" s="10" t="str">
        <x:v>Pendiente</x:v>
      </x:c>
      <x:c r="H685" s="10"/>
      <x:c r="I685" s="10"/>
      <x:c r="J685" s="10"/>
      <x:c r="K685" s="10"/>
      <x:c r="L685" s="11"/>
      <x:c r="M685" s="12"/>
      <x:c r="N685" s="10"/>
    </x:row>
    <x:row r="686" ht="25" customHeight="1">
      <x:c r="A686" s="9" t="str">
        <x:v>QA-PRE-003</x:v>
      </x:c>
      <x:c r="B686" s="9" t="str">
        <x:v>PRE</x:v>
      </x:c>
      <x:c r="C686" s="9" t="str">
        <x:v>Deducir un anticipo</x:v>
      </x:c>
      <x:c r="D686" s="9" t="str">
        <x:v>P0</x:v>
      </x:c>
      <x:c r="E686" s="9" t="str">
        <x:v>Positiva</x:v>
      </x:c>
      <x:c r="F686" s="9" t="str">
        <x:v>Navegador + HTTP + persistencia</x:v>
      </x:c>
      <x:c r="G686" s="10" t="str">
        <x:v>Pendiente</x:v>
      </x:c>
      <x:c r="H686" s="10"/>
      <x:c r="I686" s="10"/>
      <x:c r="J686" s="10"/>
      <x:c r="K686" s="10"/>
      <x:c r="L686" s="11"/>
      <x:c r="M686" s="12"/>
      <x:c r="N686" s="10"/>
    </x:row>
    <x:row r="687" ht="25" customHeight="1">
      <x:c r="A687" s="9" t="str">
        <x:v>QA-PRE-004</x:v>
      </x:c>
      <x:c r="B687" s="9" t="str">
        <x:v>PRE</x:v>
      </x:c>
      <x:c r="C687" s="9" t="str">
        <x:v>Deducir varios anticipos</x:v>
      </x:c>
      <x:c r="D687" s="9" t="str">
        <x:v>P1</x:v>
      </x:c>
      <x:c r="E687" s="9" t="str">
        <x:v>Positiva</x:v>
      </x:c>
      <x:c r="F687" s="9" t="str">
        <x:v>Navegador + HTTP + persistencia</x:v>
      </x:c>
      <x:c r="G687" s="10" t="str">
        <x:v>Pendiente</x:v>
      </x:c>
      <x:c r="H687" s="10"/>
      <x:c r="I687" s="10"/>
      <x:c r="J687" s="10"/>
      <x:c r="K687" s="10"/>
      <x:c r="L687" s="11"/>
      <x:c r="M687" s="12"/>
      <x:c r="N687" s="10"/>
    </x:row>
    <x:row r="688" ht="25" customHeight="1">
      <x:c r="A688" s="9" t="str">
        <x:v>QA-PRE-005</x:v>
      </x:c>
      <x:c r="B688" s="9" t="str">
        <x:v>PRE</x:v>
      </x:c>
      <x:c r="C688" s="9" t="str">
        <x:v>Deducción parcial y agotamiento</x:v>
      </x:c>
      <x:c r="D688" s="9" t="str">
        <x:v>P0</x:v>
      </x:c>
      <x:c r="E688" s="9" t="str">
        <x:v>Negativa</x:v>
      </x:c>
      <x:c r="F688" s="9" t="str">
        <x:v>Navegador + HTTP + persistencia</x:v>
      </x:c>
      <x:c r="G688" s="10" t="str">
        <x:v>Pendiente</x:v>
      </x:c>
      <x:c r="H688" s="10"/>
      <x:c r="I688" s="10"/>
      <x:c r="J688" s="10"/>
      <x:c r="K688" s="10"/>
      <x:c r="L688" s="11"/>
      <x:c r="M688" s="12"/>
      <x:c r="N688" s="10"/>
    </x:row>
    <x:row r="689" ht="25" customHeight="1">
      <x:c r="A689" s="9" t="str">
        <x:v>QA-PRE-006</x:v>
      </x:c>
      <x:c r="B689" s="9" t="str">
        <x:v>PRE</x:v>
      </x:c>
      <x:c r="C689" s="9" t="str">
        <x:v>Anticipo ajeno o incompatible</x:v>
      </x:c>
      <x:c r="D689" s="9" t="str">
        <x:v>P0</x:v>
      </x:c>
      <x:c r="E689" s="9" t="str">
        <x:v>Seguridad</x:v>
      </x:c>
      <x:c r="F689" s="9" t="str">
        <x:v>Navegador + HTTP + persistencia</x:v>
      </x:c>
      <x:c r="G689" s="10" t="str">
        <x:v>Pendiente</x:v>
      </x:c>
      <x:c r="H689" s="10"/>
      <x:c r="I689" s="10"/>
      <x:c r="J689" s="10"/>
      <x:c r="K689" s="10"/>
      <x:c r="L689" s="11"/>
      <x:c r="M689" s="12"/>
      <x:c r="N689" s="10"/>
    </x:row>
    <x:row r="690" ht="25" customHeight="1">
      <x:c r="A690" s="9" t="str">
        <x:v>QA-PRE-007</x:v>
      </x:c>
      <x:c r="B690" s="9" t="str">
        <x:v>PRE</x:v>
      </x:c>
      <x:c r="C690" s="9" t="str">
        <x:v>Referencias vacías y con guiones</x:v>
      </x:c>
      <x:c r="D690" s="9" t="str">
        <x:v>P1</x:v>
      </x:c>
      <x:c r="E690" s="9" t="str">
        <x:v>Positiva</x:v>
      </x:c>
      <x:c r="F690" s="9" t="str">
        <x:v>Navegador + HTTP + persistencia</x:v>
      </x:c>
      <x:c r="G690" s="10" t="str">
        <x:v>Pendiente</x:v>
      </x:c>
      <x:c r="H690" s="10"/>
      <x:c r="I690" s="10"/>
      <x:c r="J690" s="10"/>
      <x:c r="K690" s="10"/>
      <x:c r="L690" s="11"/>
      <x:c r="M690" s="12"/>
      <x:c r="N690" s="10"/>
    </x:row>
    <x:row r="691" ht="25" customHeight="1">
      <x:c r="A691" s="9" t="str">
        <x:v>QA-PRE-008</x:v>
      </x:c>
      <x:c r="B691" s="9" t="str">
        <x:v>PRE</x:v>
      </x:c>
      <x:c r="C691" s="9" t="str">
        <x:v>Exceso y concurrencia de anticipos</x:v>
      </x:c>
      <x:c r="D691" s="9" t="str">
        <x:v>P0</x:v>
      </x:c>
      <x:c r="E691" s="9" t="str">
        <x:v>Concurrencia</x:v>
      </x:c>
      <x:c r="F691" s="9" t="str">
        <x:v>Navegador + HTTP + persistencia</x:v>
      </x:c>
      <x:c r="G691" s="10" t="str">
        <x:v>Pendiente</x:v>
      </x:c>
      <x:c r="H691" s="10"/>
      <x:c r="I691" s="10"/>
      <x:c r="J691" s="10"/>
      <x:c r="K691" s="10"/>
      <x:c r="L691" s="11"/>
      <x:c r="M691" s="12"/>
      <x:c r="N691" s="10"/>
    </x:row>
    <x:row r="692" ht="25" customHeight="1">
      <x:c r="A692" s="9" t="str">
        <x:v>QA-PRE-009</x:v>
      </x:c>
      <x:c r="B692" s="9" t="str">
        <x:v>PRE</x:v>
      </x:c>
      <x:c r="C692" s="9" t="str">
        <x:v>Cancelar y rollback de deducción</x:v>
      </x:c>
      <x:c r="D692" s="9" t="str">
        <x:v>P0</x:v>
      </x:c>
      <x:c r="E692" s="9" t="str">
        <x:v>Transaccional</x:v>
      </x:c>
      <x:c r="F692" s="9" t="str">
        <x:v>Navegador + HTTP + persistencia</x:v>
      </x:c>
      <x:c r="G692" s="10" t="str">
        <x:v>Pendiente</x:v>
      </x:c>
      <x:c r="H692" s="10"/>
      <x:c r="I692" s="10"/>
      <x:c r="J692" s="10"/>
      <x:c r="K692" s="10"/>
      <x:c r="L692" s="11"/>
      <x:c r="M692" s="12"/>
      <x:c r="N692" s="10"/>
    </x:row>
    <x:row r="693" ht="25" customHeight="1">
      <x:c r="A693" s="9" t="str">
        <x:v>QA-PRE-010</x:v>
      </x:c>
      <x:c r="B693" s="9" t="str">
        <x:v>PRE</x:v>
      </x:c>
      <x:c r="C693" s="9" t="str">
        <x:v>Afectaciones de anticipo retiradas</x:v>
      </x:c>
      <x:c r="D693" s="9" t="str">
        <x:v>P1</x:v>
      </x:c>
      <x:c r="E693" s="9" t="str">
        <x:v>Negativa</x:v>
      </x:c>
      <x:c r="F693" s="9" t="str">
        <x:v>Navegador + HTTP + persistencia</x:v>
      </x:c>
      <x:c r="G693" s="10" t="str">
        <x:v>Pendiente</x:v>
      </x:c>
      <x:c r="H693" s="10"/>
      <x:c r="I693" s="10"/>
      <x:c r="J693" s="10"/>
      <x:c r="K693" s="10"/>
      <x:c r="L693" s="11"/>
      <x:c r="M693" s="12"/>
      <x:c r="N693" s="10"/>
    </x:row>
    <x:row r="694" ht="25" customHeight="1">
      <x:c r="A694" s="9" t="str">
        <x:v>QA-PRE-011</x:v>
      </x:c>
      <x:c r="B694" s="9" t="str">
        <x:v>PRE</x:v>
      </x:c>
      <x:c r="C694" s="9" t="str">
        <x:v>Puntos del cliente y descuentos comerciales</x:v>
      </x:c>
      <x:c r="D694" s="9" t="str">
        <x:v>P1</x:v>
      </x:c>
      <x:c r="E694" s="9" t="str">
        <x:v>Positiva</x:v>
      </x:c>
      <x:c r="F694" s="9" t="str">
        <x:v>Navegador + HTTP + persistencia</x:v>
      </x:c>
      <x:c r="G694" s="10" t="str">
        <x:v>Pendiente</x:v>
      </x:c>
      <x:c r="H694" s="10"/>
      <x:c r="I694" s="10"/>
      <x:c r="J694" s="10"/>
      <x:c r="K694" s="10"/>
      <x:c r="L694" s="11"/>
      <x:c r="M694" s="12"/>
      <x:c r="N694" s="10"/>
    </x:row>
    <x:row r="695" ht="25" customHeight="1">
      <x:c r="A695" s="9" t="str">
        <x:v>QA-PRE-012</x:v>
      </x:c>
      <x:c r="B695" s="9" t="str">
        <x:v>PRE</x:v>
      </x:c>
      <x:c r="C695" s="9" t="str">
        <x:v>Condicionales de Hotel, transporte y TAP</x:v>
      </x:c>
      <x:c r="D695" s="9" t="str">
        <x:v>P1</x:v>
      </x:c>
      <x:c r="E695" s="9" t="str">
        <x:v>Positiva</x:v>
      </x:c>
      <x:c r="F695" s="9" t="str">
        <x:v>Navegador + HTTP + persistencia</x:v>
      </x:c>
      <x:c r="G695" s="10" t="str">
        <x:v>Pendiente</x:v>
      </x:c>
      <x:c r="H695" s="10"/>
      <x:c r="I695" s="10"/>
      <x:c r="J695" s="10"/>
      <x:c r="K695" s="10"/>
      <x:c r="L695" s="11"/>
      <x:c r="M695" s="12"/>
      <x:c r="N695" s="10"/>
    </x:row>
    <x:row r="696" ht="25" customHeight="1">
      <x:c r="A696" s="9" t="str">
        <x:v>QA-COM-001</x:v>
      </x:c>
      <x:c r="B696" s="9" t="str">
        <x:v>COM</x:v>
      </x:c>
      <x:c r="C696" s="9" t="str">
        <x:v>Factura 01 / VES / Gravado / Contado</x:v>
      </x:c>
      <x:c r="D696" s="9" t="str">
        <x:v>P1</x:v>
      </x:c>
      <x:c r="E696" s="9" t="str">
        <x:v>Positiva</x:v>
      </x:c>
      <x:c r="F696" s="9" t="str">
        <x:v>Navegador + HTTP + persistencia</x:v>
      </x:c>
      <x:c r="G696" s="10" t="str">
        <x:v>Pendiente</x:v>
      </x:c>
      <x:c r="H696" s="10"/>
      <x:c r="I696" s="10"/>
      <x:c r="J696" s="10"/>
      <x:c r="K696" s="10"/>
      <x:c r="L696" s="11"/>
      <x:c r="M696" s="12"/>
      <x:c r="N696" s="10"/>
    </x:row>
    <x:row r="697" ht="25" customHeight="1">
      <x:c r="A697" s="9" t="str">
        <x:v>QA-COM-002</x:v>
      </x:c>
      <x:c r="B697" s="9" t="str">
        <x:v>COM</x:v>
      </x:c>
      <x:c r="C697" s="9" t="str">
        <x:v>Factura 01 / VES / Gravado / Crédito</x:v>
      </x:c>
      <x:c r="D697" s="9" t="str">
        <x:v>P1</x:v>
      </x:c>
      <x:c r="E697" s="9" t="str">
        <x:v>Positiva</x:v>
      </x:c>
      <x:c r="F697" s="9" t="str">
        <x:v>Navegador + HTTP + persistencia</x:v>
      </x:c>
      <x:c r="G697" s="10" t="str">
        <x:v>Pendiente</x:v>
      </x:c>
      <x:c r="H697" s="10"/>
      <x:c r="I697" s="10"/>
      <x:c r="J697" s="10"/>
      <x:c r="K697" s="10"/>
      <x:c r="L697" s="11"/>
      <x:c r="M697" s="12"/>
      <x:c r="N697" s="10"/>
    </x:row>
    <x:row r="698" ht="25" customHeight="1">
      <x:c r="A698" s="9" t="str">
        <x:v>QA-COM-003</x:v>
      </x:c>
      <x:c r="B698" s="9" t="str">
        <x:v>COM</x:v>
      </x:c>
      <x:c r="C698" s="9" t="str">
        <x:v>Factura 01 / VES / Gravado / Crédito con cuotas</x:v>
      </x:c>
      <x:c r="D698" s="9" t="str">
        <x:v>P1</x:v>
      </x:c>
      <x:c r="E698" s="9" t="str">
        <x:v>Positiva</x:v>
      </x:c>
      <x:c r="F698" s="9" t="str">
        <x:v>Navegador + HTTP + persistencia</x:v>
      </x:c>
      <x:c r="G698" s="10" t="str">
        <x:v>Pendiente</x:v>
      </x:c>
      <x:c r="H698" s="10"/>
      <x:c r="I698" s="10"/>
      <x:c r="J698" s="10"/>
      <x:c r="K698" s="10"/>
      <x:c r="L698" s="11"/>
      <x:c r="M698" s="12"/>
      <x:c r="N698" s="10"/>
    </x:row>
    <x:row r="699" ht="25" customHeight="1">
      <x:c r="A699" s="9" t="str">
        <x:v>QA-COM-004</x:v>
      </x:c>
      <x:c r="B699" s="9" t="str">
        <x:v>COM</x:v>
      </x:c>
      <x:c r="C699" s="9" t="str">
        <x:v>Factura 01 / VES / Exento / Contado</x:v>
      </x:c>
      <x:c r="D699" s="9" t="str">
        <x:v>P1</x:v>
      </x:c>
      <x:c r="E699" s="9" t="str">
        <x:v>Positiva</x:v>
      </x:c>
      <x:c r="F699" s="9" t="str">
        <x:v>Navegador + HTTP + persistencia</x:v>
      </x:c>
      <x:c r="G699" s="10" t="str">
        <x:v>Pendiente</x:v>
      </x:c>
      <x:c r="H699" s="10"/>
      <x:c r="I699" s="10"/>
      <x:c r="J699" s="10"/>
      <x:c r="K699" s="10"/>
      <x:c r="L699" s="11"/>
      <x:c r="M699" s="12"/>
      <x:c r="N699" s="10"/>
    </x:row>
    <x:row r="700" ht="25" customHeight="1">
      <x:c r="A700" s="9" t="str">
        <x:v>QA-COM-005</x:v>
      </x:c>
      <x:c r="B700" s="9" t="str">
        <x:v>COM</x:v>
      </x:c>
      <x:c r="C700" s="9" t="str">
        <x:v>Factura 01 / VES / Exento / Crédito</x:v>
      </x:c>
      <x:c r="D700" s="9" t="str">
        <x:v>P1</x:v>
      </x:c>
      <x:c r="E700" s="9" t="str">
        <x:v>Positiva</x:v>
      </x:c>
      <x:c r="F700" s="9" t="str">
        <x:v>Navegador + HTTP + persistencia</x:v>
      </x:c>
      <x:c r="G700" s="10" t="str">
        <x:v>Pendiente</x:v>
      </x:c>
      <x:c r="H700" s="10"/>
      <x:c r="I700" s="10"/>
      <x:c r="J700" s="10"/>
      <x:c r="K700" s="10"/>
      <x:c r="L700" s="11"/>
      <x:c r="M700" s="12"/>
      <x:c r="N700" s="10"/>
    </x:row>
    <x:row r="701" ht="25" customHeight="1">
      <x:c r="A701" s="9" t="str">
        <x:v>QA-COM-006</x:v>
      </x:c>
      <x:c r="B701" s="9" t="str">
        <x:v>COM</x:v>
      </x:c>
      <x:c r="C701" s="9" t="str">
        <x:v>Factura 01 / VES / Exento / Crédito con cuotas</x:v>
      </x:c>
      <x:c r="D701" s="9" t="str">
        <x:v>P1</x:v>
      </x:c>
      <x:c r="E701" s="9" t="str">
        <x:v>Positiva</x:v>
      </x:c>
      <x:c r="F701" s="9" t="str">
        <x:v>Navegador + HTTP + persistencia</x:v>
      </x:c>
      <x:c r="G701" s="10" t="str">
        <x:v>Pendiente</x:v>
      </x:c>
      <x:c r="H701" s="10"/>
      <x:c r="I701" s="10"/>
      <x:c r="J701" s="10"/>
      <x:c r="K701" s="10"/>
      <x:c r="L701" s="11"/>
      <x:c r="M701" s="12"/>
      <x:c r="N701" s="10"/>
    </x:row>
    <x:row r="702" ht="25" customHeight="1">
      <x:c r="A702" s="9" t="str">
        <x:v>QA-COM-007</x:v>
      </x:c>
      <x:c r="B702" s="9" t="str">
        <x:v>COM</x:v>
      </x:c>
      <x:c r="C702" s="9" t="str">
        <x:v>Factura 01 / VES / Mixto / Contado</x:v>
      </x:c>
      <x:c r="D702" s="9" t="str">
        <x:v>P1</x:v>
      </x:c>
      <x:c r="E702" s="9" t="str">
        <x:v>Positiva</x:v>
      </x:c>
      <x:c r="F702" s="9" t="str">
        <x:v>Navegador + HTTP + persistencia</x:v>
      </x:c>
      <x:c r="G702" s="10" t="str">
        <x:v>Pendiente</x:v>
      </x:c>
      <x:c r="H702" s="10"/>
      <x:c r="I702" s="10"/>
      <x:c r="J702" s="10"/>
      <x:c r="K702" s="10"/>
      <x:c r="L702" s="11"/>
      <x:c r="M702" s="12"/>
      <x:c r="N702" s="10"/>
    </x:row>
    <x:row r="703" ht="25" customHeight="1">
      <x:c r="A703" s="9" t="str">
        <x:v>QA-COM-008</x:v>
      </x:c>
      <x:c r="B703" s="9" t="str">
        <x:v>COM</x:v>
      </x:c>
      <x:c r="C703" s="9" t="str">
        <x:v>Factura 01 / VES / Mixto / Crédito</x:v>
      </x:c>
      <x:c r="D703" s="9" t="str">
        <x:v>P1</x:v>
      </x:c>
      <x:c r="E703" s="9" t="str">
        <x:v>Positiva</x:v>
      </x:c>
      <x:c r="F703" s="9" t="str">
        <x:v>Navegador + HTTP + persistencia</x:v>
      </x:c>
      <x:c r="G703" s="10" t="str">
        <x:v>Pendiente</x:v>
      </x:c>
      <x:c r="H703" s="10"/>
      <x:c r="I703" s="10"/>
      <x:c r="J703" s="10"/>
      <x:c r="K703" s="10"/>
      <x:c r="L703" s="11"/>
      <x:c r="M703" s="12"/>
      <x:c r="N703" s="10"/>
    </x:row>
    <x:row r="704" ht="25" customHeight="1">
      <x:c r="A704" s="9" t="str">
        <x:v>QA-COM-009</x:v>
      </x:c>
      <x:c r="B704" s="9" t="str">
        <x:v>COM</x:v>
      </x:c>
      <x:c r="C704" s="9" t="str">
        <x:v>Factura 01 / VES / Mixto / Crédito con cuotas</x:v>
      </x:c>
      <x:c r="D704" s="9" t="str">
        <x:v>P1</x:v>
      </x:c>
      <x:c r="E704" s="9" t="str">
        <x:v>Positiva</x:v>
      </x:c>
      <x:c r="F704" s="9" t="str">
        <x:v>Navegador + HTTP + persistencia</x:v>
      </x:c>
      <x:c r="G704" s="10" t="str">
        <x:v>Pendiente</x:v>
      </x:c>
      <x:c r="H704" s="10"/>
      <x:c r="I704" s="10"/>
      <x:c r="J704" s="10"/>
      <x:c r="K704" s="10"/>
      <x:c r="L704" s="11"/>
      <x:c r="M704" s="12"/>
      <x:c r="N704" s="10"/>
    </x:row>
    <x:row r="705" ht="25" customHeight="1">
      <x:c r="A705" s="9" t="str">
        <x:v>QA-COM-010</x:v>
      </x:c>
      <x:c r="B705" s="9" t="str">
        <x:v>COM</x:v>
      </x:c>
      <x:c r="C705" s="9" t="str">
        <x:v>Factura 01 / USD / Gravado / Contado</x:v>
      </x:c>
      <x:c r="D705" s="9" t="str">
        <x:v>P1</x:v>
      </x:c>
      <x:c r="E705" s="9" t="str">
        <x:v>Positiva</x:v>
      </x:c>
      <x:c r="F705" s="9" t="str">
        <x:v>Navegador + HTTP + persistencia</x:v>
      </x:c>
      <x:c r="G705" s="10" t="str">
        <x:v>Pendiente</x:v>
      </x:c>
      <x:c r="H705" s="10"/>
      <x:c r="I705" s="10"/>
      <x:c r="J705" s="10"/>
      <x:c r="K705" s="10"/>
      <x:c r="L705" s="11"/>
      <x:c r="M705" s="12"/>
      <x:c r="N705" s="10"/>
    </x:row>
    <x:row r="706" ht="25" customHeight="1">
      <x:c r="A706" s="9" t="str">
        <x:v>QA-COM-011</x:v>
      </x:c>
      <x:c r="B706" s="9" t="str">
        <x:v>COM</x:v>
      </x:c>
      <x:c r="C706" s="9" t="str">
        <x:v>Factura 01 / USD / Gravado / Crédito</x:v>
      </x:c>
      <x:c r="D706" s="9" t="str">
        <x:v>P1</x:v>
      </x:c>
      <x:c r="E706" s="9" t="str">
        <x:v>Positiva</x:v>
      </x:c>
      <x:c r="F706" s="9" t="str">
        <x:v>Navegador + HTTP + persistencia</x:v>
      </x:c>
      <x:c r="G706" s="10" t="str">
        <x:v>Pendiente</x:v>
      </x:c>
      <x:c r="H706" s="10"/>
      <x:c r="I706" s="10"/>
      <x:c r="J706" s="10"/>
      <x:c r="K706" s="10"/>
      <x:c r="L706" s="11"/>
      <x:c r="M706" s="12"/>
      <x:c r="N706" s="10"/>
    </x:row>
    <x:row r="707" ht="25" customHeight="1">
      <x:c r="A707" s="9" t="str">
        <x:v>QA-COM-012</x:v>
      </x:c>
      <x:c r="B707" s="9" t="str">
        <x:v>COM</x:v>
      </x:c>
      <x:c r="C707" s="9" t="str">
        <x:v>Factura 01 / USD / Gravado / Crédito con cuotas</x:v>
      </x:c>
      <x:c r="D707" s="9" t="str">
        <x:v>P1</x:v>
      </x:c>
      <x:c r="E707" s="9" t="str">
        <x:v>Positiva</x:v>
      </x:c>
      <x:c r="F707" s="9" t="str">
        <x:v>Navegador + HTTP + persistencia</x:v>
      </x:c>
      <x:c r="G707" s="10" t="str">
        <x:v>Pendiente</x:v>
      </x:c>
      <x:c r="H707" s="10"/>
      <x:c r="I707" s="10"/>
      <x:c r="J707" s="10"/>
      <x:c r="K707" s="10"/>
      <x:c r="L707" s="11"/>
      <x:c r="M707" s="12"/>
      <x:c r="N707" s="10"/>
    </x:row>
    <x:row r="708" ht="25" customHeight="1">
      <x:c r="A708" s="9" t="str">
        <x:v>QA-COM-013</x:v>
      </x:c>
      <x:c r="B708" s="9" t="str">
        <x:v>COM</x:v>
      </x:c>
      <x:c r="C708" s="9" t="str">
        <x:v>Factura 01 / USD / Exento / Contado</x:v>
      </x:c>
      <x:c r="D708" s="9" t="str">
        <x:v>P1</x:v>
      </x:c>
      <x:c r="E708" s="9" t="str">
        <x:v>Positiva</x:v>
      </x:c>
      <x:c r="F708" s="9" t="str">
        <x:v>Navegador + HTTP + persistencia</x:v>
      </x:c>
      <x:c r="G708" s="10" t="str">
        <x:v>Pendiente</x:v>
      </x:c>
      <x:c r="H708" s="10"/>
      <x:c r="I708" s="10"/>
      <x:c r="J708" s="10"/>
      <x:c r="K708" s="10"/>
      <x:c r="L708" s="11"/>
      <x:c r="M708" s="12"/>
      <x:c r="N708" s="10"/>
    </x:row>
    <x:row r="709" ht="25" customHeight="1">
      <x:c r="A709" s="9" t="str">
        <x:v>QA-COM-014</x:v>
      </x:c>
      <x:c r="B709" s="9" t="str">
        <x:v>COM</x:v>
      </x:c>
      <x:c r="C709" s="9" t="str">
        <x:v>Factura 01 / USD / Exento / Crédito</x:v>
      </x:c>
      <x:c r="D709" s="9" t="str">
        <x:v>P1</x:v>
      </x:c>
      <x:c r="E709" s="9" t="str">
        <x:v>Positiva</x:v>
      </x:c>
      <x:c r="F709" s="9" t="str">
        <x:v>Navegador + HTTP + persistencia</x:v>
      </x:c>
      <x:c r="G709" s="10" t="str">
        <x:v>Pendiente</x:v>
      </x:c>
      <x:c r="H709" s="10"/>
      <x:c r="I709" s="10"/>
      <x:c r="J709" s="10"/>
      <x:c r="K709" s="10"/>
      <x:c r="L709" s="11"/>
      <x:c r="M709" s="12"/>
      <x:c r="N709" s="10"/>
    </x:row>
    <x:row r="710" ht="25" customHeight="1">
      <x:c r="A710" s="9" t="str">
        <x:v>QA-COM-015</x:v>
      </x:c>
      <x:c r="B710" s="9" t="str">
        <x:v>COM</x:v>
      </x:c>
      <x:c r="C710" s="9" t="str">
        <x:v>Factura 01 / USD / Exento / Crédito con cuotas</x:v>
      </x:c>
      <x:c r="D710" s="9" t="str">
        <x:v>P1</x:v>
      </x:c>
      <x:c r="E710" s="9" t="str">
        <x:v>Positiva</x:v>
      </x:c>
      <x:c r="F710" s="9" t="str">
        <x:v>Navegador + HTTP + persistencia</x:v>
      </x:c>
      <x:c r="G710" s="10" t="str">
        <x:v>Pendiente</x:v>
      </x:c>
      <x:c r="H710" s="10"/>
      <x:c r="I710" s="10"/>
      <x:c r="J710" s="10"/>
      <x:c r="K710" s="10"/>
      <x:c r="L710" s="11"/>
      <x:c r="M710" s="12"/>
      <x:c r="N710" s="10"/>
    </x:row>
    <x:row r="711" ht="25" customHeight="1">
      <x:c r="A711" s="9" t="str">
        <x:v>QA-COM-016</x:v>
      </x:c>
      <x:c r="B711" s="9" t="str">
        <x:v>COM</x:v>
      </x:c>
      <x:c r="C711" s="9" t="str">
        <x:v>Factura 01 / USD / Mixto / Contado</x:v>
      </x:c>
      <x:c r="D711" s="9" t="str">
        <x:v>P1</x:v>
      </x:c>
      <x:c r="E711" s="9" t="str">
        <x:v>Positiva</x:v>
      </x:c>
      <x:c r="F711" s="9" t="str">
        <x:v>Navegador + HTTP + persistencia</x:v>
      </x:c>
      <x:c r="G711" s="10" t="str">
        <x:v>Pendiente</x:v>
      </x:c>
      <x:c r="H711" s="10"/>
      <x:c r="I711" s="10"/>
      <x:c r="J711" s="10"/>
      <x:c r="K711" s="10"/>
      <x:c r="L711" s="11"/>
      <x:c r="M711" s="12"/>
      <x:c r="N711" s="10"/>
    </x:row>
    <x:row r="712" ht="25" customHeight="1">
      <x:c r="A712" s="9" t="str">
        <x:v>QA-COM-017</x:v>
      </x:c>
      <x:c r="B712" s="9" t="str">
        <x:v>COM</x:v>
      </x:c>
      <x:c r="C712" s="9" t="str">
        <x:v>Factura 01 / USD / Mixto / Crédito</x:v>
      </x:c>
      <x:c r="D712" s="9" t="str">
        <x:v>P1</x:v>
      </x:c>
      <x:c r="E712" s="9" t="str">
        <x:v>Positiva</x:v>
      </x:c>
      <x:c r="F712" s="9" t="str">
        <x:v>Navegador + HTTP + persistencia</x:v>
      </x:c>
      <x:c r="G712" s="10" t="str">
        <x:v>Pendiente</x:v>
      </x:c>
      <x:c r="H712" s="10"/>
      <x:c r="I712" s="10"/>
      <x:c r="J712" s="10"/>
      <x:c r="K712" s="10"/>
      <x:c r="L712" s="11"/>
      <x:c r="M712" s="12"/>
      <x:c r="N712" s="10"/>
    </x:row>
    <x:row r="713" ht="25" customHeight="1">
      <x:c r="A713" s="9" t="str">
        <x:v>QA-COM-018</x:v>
      </x:c>
      <x:c r="B713" s="9" t="str">
        <x:v>COM</x:v>
      </x:c>
      <x:c r="C713" s="9" t="str">
        <x:v>Factura 01 / USD / Mixto / Crédito con cuotas</x:v>
      </x:c>
      <x:c r="D713" s="9" t="str">
        <x:v>P1</x:v>
      </x:c>
      <x:c r="E713" s="9" t="str">
        <x:v>Positiva</x:v>
      </x:c>
      <x:c r="F713" s="9" t="str">
        <x:v>Navegador + HTTP + persistencia</x:v>
      </x:c>
      <x:c r="G713" s="10" t="str">
        <x:v>Pendiente</x:v>
      </x:c>
      <x:c r="H713" s="10"/>
      <x:c r="I713" s="10"/>
      <x:c r="J713" s="10"/>
      <x:c r="K713" s="10"/>
      <x:c r="L713" s="11"/>
      <x:c r="M713" s="12"/>
      <x:c r="N713" s="10"/>
    </x:row>
    <x:row r="714" ht="25" customHeight="1">
      <x:c r="A714" s="9" t="str">
        <x:v>QA-COM-019</x:v>
      </x:c>
      <x:c r="B714" s="9" t="str">
        <x:v>COM</x:v>
      </x:c>
      <x:c r="C714" s="9" t="str">
        <x:v>Nota 07 / VES / Gravado</x:v>
      </x:c>
      <x:c r="D714" s="9" t="str">
        <x:v>P1</x:v>
      </x:c>
      <x:c r="E714" s="9" t="str">
        <x:v>Positiva</x:v>
      </x:c>
      <x:c r="F714" s="9" t="str">
        <x:v>Navegador + HTTP + persistencia</x:v>
      </x:c>
      <x:c r="G714" s="10" t="str">
        <x:v>Pendiente</x:v>
      </x:c>
      <x:c r="H714" s="10"/>
      <x:c r="I714" s="10"/>
      <x:c r="J714" s="10"/>
      <x:c r="K714" s="10"/>
      <x:c r="L714" s="11"/>
      <x:c r="M714" s="12"/>
      <x:c r="N714" s="10"/>
    </x:row>
    <x:row r="715" ht="25" customHeight="1">
      <x:c r="A715" s="9" t="str">
        <x:v>QA-COM-020</x:v>
      </x:c>
      <x:c r="B715" s="9" t="str">
        <x:v>COM</x:v>
      </x:c>
      <x:c r="C715" s="9" t="str">
        <x:v>Nota 07 / VES / Exento</x:v>
      </x:c>
      <x:c r="D715" s="9" t="str">
        <x:v>P1</x:v>
      </x:c>
      <x:c r="E715" s="9" t="str">
        <x:v>Positiva</x:v>
      </x:c>
      <x:c r="F715" s="9" t="str">
        <x:v>Navegador + HTTP + persistencia</x:v>
      </x:c>
      <x:c r="G715" s="10" t="str">
        <x:v>Pendiente</x:v>
      </x:c>
      <x:c r="H715" s="10"/>
      <x:c r="I715" s="10"/>
      <x:c r="J715" s="10"/>
      <x:c r="K715" s="10"/>
      <x:c r="L715" s="11"/>
      <x:c r="M715" s="12"/>
      <x:c r="N715" s="10"/>
    </x:row>
    <x:row r="716" ht="25" customHeight="1">
      <x:c r="A716" s="9" t="str">
        <x:v>QA-COM-021</x:v>
      </x:c>
      <x:c r="B716" s="9" t="str">
        <x:v>COM</x:v>
      </x:c>
      <x:c r="C716" s="9" t="str">
        <x:v>Nota 07 / VES / Mixto</x:v>
      </x:c>
      <x:c r="D716" s="9" t="str">
        <x:v>P1</x:v>
      </x:c>
      <x:c r="E716" s="9" t="str">
        <x:v>Positiva</x:v>
      </x:c>
      <x:c r="F716" s="9" t="str">
        <x:v>Navegador + HTTP + persistencia</x:v>
      </x:c>
      <x:c r="G716" s="10" t="str">
        <x:v>Pendiente</x:v>
      </x:c>
      <x:c r="H716" s="10"/>
      <x:c r="I716" s="10"/>
      <x:c r="J716" s="10"/>
      <x:c r="K716" s="10"/>
      <x:c r="L716" s="11"/>
      <x:c r="M716" s="12"/>
      <x:c r="N716" s="10"/>
    </x:row>
    <x:row r="717" ht="25" customHeight="1">
      <x:c r="A717" s="9" t="str">
        <x:v>QA-COM-022</x:v>
      </x:c>
      <x:c r="B717" s="9" t="str">
        <x:v>COM</x:v>
      </x:c>
      <x:c r="C717" s="9" t="str">
        <x:v>Nota 07 / USD / Gravado</x:v>
      </x:c>
      <x:c r="D717" s="9" t="str">
        <x:v>P1</x:v>
      </x:c>
      <x:c r="E717" s="9" t="str">
        <x:v>Positiva</x:v>
      </x:c>
      <x:c r="F717" s="9" t="str">
        <x:v>Navegador + HTTP + persistencia</x:v>
      </x:c>
      <x:c r="G717" s="10" t="str">
        <x:v>Pendiente</x:v>
      </x:c>
      <x:c r="H717" s="10"/>
      <x:c r="I717" s="10"/>
      <x:c r="J717" s="10"/>
      <x:c r="K717" s="10"/>
      <x:c r="L717" s="11"/>
      <x:c r="M717" s="12"/>
      <x:c r="N717" s="10"/>
    </x:row>
    <x:row r="718" ht="25" customHeight="1">
      <x:c r="A718" s="9" t="str">
        <x:v>QA-COM-023</x:v>
      </x:c>
      <x:c r="B718" s="9" t="str">
        <x:v>COM</x:v>
      </x:c>
      <x:c r="C718" s="9" t="str">
        <x:v>Nota 07 / USD / Exento</x:v>
      </x:c>
      <x:c r="D718" s="9" t="str">
        <x:v>P1</x:v>
      </x:c>
      <x:c r="E718" s="9" t="str">
        <x:v>Positiva</x:v>
      </x:c>
      <x:c r="F718" s="9" t="str">
        <x:v>Navegador + HTTP + persistencia</x:v>
      </x:c>
      <x:c r="G718" s="10" t="str">
        <x:v>Pendiente</x:v>
      </x:c>
      <x:c r="H718" s="10"/>
      <x:c r="I718" s="10"/>
      <x:c r="J718" s="10"/>
      <x:c r="K718" s="10"/>
      <x:c r="L718" s="11"/>
      <x:c r="M718" s="12"/>
      <x:c r="N718" s="10"/>
    </x:row>
    <x:row r="719" ht="25" customHeight="1">
      <x:c r="A719" s="9" t="str">
        <x:v>QA-COM-024</x:v>
      </x:c>
      <x:c r="B719" s="9" t="str">
        <x:v>COM</x:v>
      </x:c>
      <x:c r="C719" s="9" t="str">
        <x:v>Nota 07 / USD / Mixto</x:v>
      </x:c>
      <x:c r="D719" s="9" t="str">
        <x:v>P1</x:v>
      </x:c>
      <x:c r="E719" s="9" t="str">
        <x:v>Positiva</x:v>
      </x:c>
      <x:c r="F719" s="9" t="str">
        <x:v>Navegador + HTTP + persistencia</x:v>
      </x:c>
      <x:c r="G719" s="10" t="str">
        <x:v>Pendiente</x:v>
      </x:c>
      <x:c r="H719" s="10"/>
      <x:c r="I719" s="10"/>
      <x:c r="J719" s="10"/>
      <x:c r="K719" s="10"/>
      <x:c r="L719" s="11"/>
      <x:c r="M719" s="12"/>
      <x:c r="N719" s="10"/>
    </x:row>
    <x:row r="720" ht="25" customHeight="1">
      <x:c r="A720" s="9" t="str">
        <x:v>QA-COM-025</x:v>
      </x:c>
      <x:c r="B720" s="9" t="str">
        <x:v>COM</x:v>
      </x:c>
      <x:c r="C720" s="9" t="str">
        <x:v>Nota 08 / VES / Gravado</x:v>
      </x:c>
      <x:c r="D720" s="9" t="str">
        <x:v>P1</x:v>
      </x:c>
      <x:c r="E720" s="9" t="str">
        <x:v>Positiva</x:v>
      </x:c>
      <x:c r="F720" s="9" t="str">
        <x:v>Navegador + HTTP + persistencia</x:v>
      </x:c>
      <x:c r="G720" s="10" t="str">
        <x:v>Pendiente</x:v>
      </x:c>
      <x:c r="H720" s="10"/>
      <x:c r="I720" s="10"/>
      <x:c r="J720" s="10"/>
      <x:c r="K720" s="10"/>
      <x:c r="L720" s="11"/>
      <x:c r="M720" s="12"/>
      <x:c r="N720" s="10"/>
    </x:row>
    <x:row r="721" ht="25" customHeight="1">
      <x:c r="A721" s="9" t="str">
        <x:v>QA-COM-026</x:v>
      </x:c>
      <x:c r="B721" s="9" t="str">
        <x:v>COM</x:v>
      </x:c>
      <x:c r="C721" s="9" t="str">
        <x:v>Nota 08 / VES / Exento</x:v>
      </x:c>
      <x:c r="D721" s="9" t="str">
        <x:v>P1</x:v>
      </x:c>
      <x:c r="E721" s="9" t="str">
        <x:v>Positiva</x:v>
      </x:c>
      <x:c r="F721" s="9" t="str">
        <x:v>Navegador + HTTP + persistencia</x:v>
      </x:c>
      <x:c r="G721" s="10" t="str">
        <x:v>Pendiente</x:v>
      </x:c>
      <x:c r="H721" s="10"/>
      <x:c r="I721" s="10"/>
      <x:c r="J721" s="10"/>
      <x:c r="K721" s="10"/>
      <x:c r="L721" s="11"/>
      <x:c r="M721" s="12"/>
      <x:c r="N721" s="10"/>
    </x:row>
    <x:row r="722" ht="25" customHeight="1">
      <x:c r="A722" s="9" t="str">
        <x:v>QA-COM-027</x:v>
      </x:c>
      <x:c r="B722" s="9" t="str">
        <x:v>COM</x:v>
      </x:c>
      <x:c r="C722" s="9" t="str">
        <x:v>Nota 08 / VES / Mixto</x:v>
      </x:c>
      <x:c r="D722" s="9" t="str">
        <x:v>P1</x:v>
      </x:c>
      <x:c r="E722" s="9" t="str">
        <x:v>Positiva</x:v>
      </x:c>
      <x:c r="F722" s="9" t="str">
        <x:v>Navegador + HTTP + persistencia</x:v>
      </x:c>
      <x:c r="G722" s="10" t="str">
        <x:v>Pendiente</x:v>
      </x:c>
      <x:c r="H722" s="10"/>
      <x:c r="I722" s="10"/>
      <x:c r="J722" s="10"/>
      <x:c r="K722" s="10"/>
      <x:c r="L722" s="11"/>
      <x:c r="M722" s="12"/>
      <x:c r="N722" s="10"/>
    </x:row>
    <x:row r="723" ht="25" customHeight="1">
      <x:c r="A723" s="9" t="str">
        <x:v>QA-COM-028</x:v>
      </x:c>
      <x:c r="B723" s="9" t="str">
        <x:v>COM</x:v>
      </x:c>
      <x:c r="C723" s="9" t="str">
        <x:v>Nota 08 / USD / Gravado</x:v>
      </x:c>
      <x:c r="D723" s="9" t="str">
        <x:v>P1</x:v>
      </x:c>
      <x:c r="E723" s="9" t="str">
        <x:v>Positiva</x:v>
      </x:c>
      <x:c r="F723" s="9" t="str">
        <x:v>Navegador + HTTP + persistencia</x:v>
      </x:c>
      <x:c r="G723" s="10" t="str">
        <x:v>Pendiente</x:v>
      </x:c>
      <x:c r="H723" s="10"/>
      <x:c r="I723" s="10"/>
      <x:c r="J723" s="10"/>
      <x:c r="K723" s="10"/>
      <x:c r="L723" s="11"/>
      <x:c r="M723" s="12"/>
      <x:c r="N723" s="10"/>
    </x:row>
    <x:row r="724" ht="25" customHeight="1">
      <x:c r="A724" s="9" t="str">
        <x:v>QA-COM-029</x:v>
      </x:c>
      <x:c r="B724" s="9" t="str">
        <x:v>COM</x:v>
      </x:c>
      <x:c r="C724" s="9" t="str">
        <x:v>Nota 08 / USD / Exento</x:v>
      </x:c>
      <x:c r="D724" s="9" t="str">
        <x:v>P1</x:v>
      </x:c>
      <x:c r="E724" s="9" t="str">
        <x:v>Positiva</x:v>
      </x:c>
      <x:c r="F724" s="9" t="str">
        <x:v>Navegador + HTTP + persistencia</x:v>
      </x:c>
      <x:c r="G724" s="10" t="str">
        <x:v>Pendiente</x:v>
      </x:c>
      <x:c r="H724" s="10"/>
      <x:c r="I724" s="10"/>
      <x:c r="J724" s="10"/>
      <x:c r="K724" s="10"/>
      <x:c r="L724" s="11"/>
      <x:c r="M724" s="12"/>
      <x:c r="N724" s="10"/>
    </x:row>
    <x:row r="725" ht="25" customHeight="1">
      <x:c r="A725" s="9" t="str">
        <x:v>QA-COM-030</x:v>
      </x:c>
      <x:c r="B725" s="9" t="str">
        <x:v>COM</x:v>
      </x:c>
      <x:c r="C725" s="9" t="str">
        <x:v>Nota 08 / USD / Mixto</x:v>
      </x:c>
      <x:c r="D725" s="9" t="str">
        <x:v>P1</x:v>
      </x:c>
      <x:c r="E725" s="9" t="str">
        <x:v>Positiva</x:v>
      </x:c>
      <x:c r="F725" s="9" t="str">
        <x:v>Navegador + HTTP + persistencia</x:v>
      </x:c>
      <x:c r="G725" s="10" t="str">
        <x:v>Pendiente</x:v>
      </x:c>
      <x:c r="H725" s="10"/>
      <x:c r="I725" s="10"/>
      <x:c r="J725" s="10"/>
      <x:c r="K725" s="10"/>
      <x:c r="L725" s="11"/>
      <x:c r="M725" s="12"/>
      <x:c r="N725" s="10"/>
    </x:row>
    <x:row r="726" ht="48" customHeight="1">
      <x:c r="A726" s="9" t="str">
        <x:v>QA-RGE-001</x:v>
      </x:c>
      <x:c r="B726" s="9" t="str">
        <x:v>RGE</x:v>
      </x:c>
      <x:c r="C726" s="9" t="str">
        <x:v>Régimen 1: Zonas económicas especiales / VES / venta propia</x:v>
      </x:c>
      <x:c r="D726" s="9" t="str">
        <x:v>P0</x:v>
      </x:c>
      <x:c r="E726" s="9" t="str">
        <x:v>Positiva</x:v>
      </x:c>
      <x:c r="F726" s="9" t="str">
        <x:v>Navegador + HTTP + persistencia; proveedor doble salvo variante Real DEMO explícita</x:v>
      </x:c>
      <x:c r="G726" s="20" t="str">
        <x:v>Pendiente</x:v>
      </x:c>
      <x:c r="H726" s="20" t="str"/>
      <x:c r="I726" s="20" t="str"/>
      <x:c r="J726" s="20" t="str"/>
      <x:c r="K726" s="20" t="str"/>
      <x:c r="L726" s="21" t="str"/>
      <x:c r="M726" s="22" t="str"/>
      <x:c r="N726" s="20" t="str"/>
    </x:row>
    <x:row r="727" ht="48" customHeight="1">
      <x:c r="A727" s="9" t="str">
        <x:v>QA-RGE-002</x:v>
      </x:c>
      <x:c r="B727" s="9" t="str">
        <x:v>RGE</x:v>
      </x:c>
      <x:c r="C727" s="9" t="str">
        <x:v>Régimen 1: Zonas económicas especiales / VES / venta por terceros</x:v>
      </x:c>
      <x:c r="D727" s="9" t="str">
        <x:v>P0</x:v>
      </x:c>
      <x:c r="E727" s="9" t="str">
        <x:v>Positiva</x:v>
      </x:c>
      <x:c r="F727" s="9" t="str">
        <x:v>Navegador + HTTP + persistencia; proveedor doble salvo variante Real DEMO explícita</x:v>
      </x:c>
      <x:c r="G727" s="20" t="str">
        <x:v>Pendiente</x:v>
      </x:c>
      <x:c r="H727" s="20" t="str"/>
      <x:c r="I727" s="20" t="str"/>
      <x:c r="J727" s="20" t="str"/>
      <x:c r="K727" s="20" t="str"/>
      <x:c r="L727" s="21" t="str"/>
      <x:c r="M727" s="22" t="str"/>
      <x:c r="N727" s="20" t="str"/>
    </x:row>
    <x:row r="728" ht="48" customHeight="1">
      <x:c r="A728" s="9" t="str">
        <x:v>QA-RGE-003</x:v>
      </x:c>
      <x:c r="B728" s="9" t="str">
        <x:v>RGE</x:v>
      </x:c>
      <x:c r="C728" s="9" t="str">
        <x:v>Régimen 1: Zonas económicas especiales / USD / venta propia</x:v>
      </x:c>
      <x:c r="D728" s="9" t="str">
        <x:v>P0</x:v>
      </x:c>
      <x:c r="E728" s="9" t="str">
        <x:v>Positiva</x:v>
      </x:c>
      <x:c r="F728" s="9" t="str">
        <x:v>Navegador + HTTP + persistencia; proveedor doble salvo variante Real DEMO explícita</x:v>
      </x:c>
      <x:c r="G728" s="20" t="str">
        <x:v>Pendiente</x:v>
      </x:c>
      <x:c r="H728" s="20" t="str"/>
      <x:c r="I728" s="20" t="str"/>
      <x:c r="J728" s="20" t="str"/>
      <x:c r="K728" s="20" t="str"/>
      <x:c r="L728" s="21" t="str"/>
      <x:c r="M728" s="22" t="str"/>
      <x:c r="N728" s="20" t="str"/>
    </x:row>
    <x:row r="729" ht="48" customHeight="1">
      <x:c r="A729" s="9" t="str">
        <x:v>QA-RGE-004</x:v>
      </x:c>
      <x:c r="B729" s="9" t="str">
        <x:v>RGE</x:v>
      </x:c>
      <x:c r="C729" s="9" t="str">
        <x:v>Régimen 1: Zonas económicas especiales / USD / venta por terceros</x:v>
      </x:c>
      <x:c r="D729" s="9" t="str">
        <x:v>P0</x:v>
      </x:c>
      <x:c r="E729" s="9" t="str">
        <x:v>Positiva</x:v>
      </x:c>
      <x:c r="F729" s="9" t="str">
        <x:v>Navegador + HTTP + persistencia; proveedor doble salvo variante Real DEMO explícita</x:v>
      </x:c>
      <x:c r="G729" s="20" t="str">
        <x:v>Pendiente</x:v>
      </x:c>
      <x:c r="H729" s="20" t="str"/>
      <x:c r="I729" s="20" t="str"/>
      <x:c r="J729" s="20" t="str"/>
      <x:c r="K729" s="20" t="str"/>
      <x:c r="L729" s="21" t="str"/>
      <x:c r="M729" s="22" t="str"/>
      <x:c r="N729" s="20" t="str"/>
    </x:row>
    <x:row r="730" ht="48" customHeight="1">
      <x:c r="A730" s="9" t="str">
        <x:v>QA-RGE-005</x:v>
      </x:c>
      <x:c r="B730" s="9" t="str">
        <x:v>RGE</x:v>
      </x:c>
      <x:c r="C730" s="9" t="str">
        <x:v>Régimen 2: Zona franca de Paraguaná / VES / venta propia</x:v>
      </x:c>
      <x:c r="D730" s="9" t="str">
        <x:v>P0</x:v>
      </x:c>
      <x:c r="E730" s="9" t="str">
        <x:v>Positiva</x:v>
      </x:c>
      <x:c r="F730" s="9" t="str">
        <x:v>Navegador + HTTP + persistencia; proveedor doble salvo variante Real DEMO explícita</x:v>
      </x:c>
      <x:c r="G730" s="20" t="str">
        <x:v>Pendiente</x:v>
      </x:c>
      <x:c r="H730" s="20" t="str"/>
      <x:c r="I730" s="20" t="str"/>
      <x:c r="J730" s="20" t="str"/>
      <x:c r="K730" s="20" t="str"/>
      <x:c r="L730" s="21" t="str"/>
      <x:c r="M730" s="22" t="str"/>
      <x:c r="N730" s="20" t="str"/>
    </x:row>
    <x:row r="731" ht="48" customHeight="1">
      <x:c r="A731" s="9" t="str">
        <x:v>QA-RGE-006</x:v>
      </x:c>
      <x:c r="B731" s="9" t="str">
        <x:v>RGE</x:v>
      </x:c>
      <x:c r="C731" s="9" t="str">
        <x:v>Régimen 2: Zona franca de Paraguaná / VES / venta por terceros</x:v>
      </x:c>
      <x:c r="D731" s="9" t="str">
        <x:v>P0</x:v>
      </x:c>
      <x:c r="E731" s="9" t="str">
        <x:v>Positiva</x:v>
      </x:c>
      <x:c r="F731" s="9" t="str">
        <x:v>Navegador + HTTP + persistencia; proveedor doble salvo variante Real DEMO explícita</x:v>
      </x:c>
      <x:c r="G731" s="20" t="str">
        <x:v>Pendiente</x:v>
      </x:c>
      <x:c r="H731" s="20" t="str"/>
      <x:c r="I731" s="20" t="str"/>
      <x:c r="J731" s="20" t="str"/>
      <x:c r="K731" s="20" t="str"/>
      <x:c r="L731" s="21" t="str"/>
      <x:c r="M731" s="22" t="str"/>
      <x:c r="N731" s="20" t="str"/>
    </x:row>
    <x:row r="732" ht="48" customHeight="1">
      <x:c r="A732" s="9" t="str">
        <x:v>QA-RGE-007</x:v>
      </x:c>
      <x:c r="B732" s="9" t="str">
        <x:v>RGE</x:v>
      </x:c>
      <x:c r="C732" s="9" t="str">
        <x:v>Régimen 2: Zona franca de Paraguaná / USD / venta propia</x:v>
      </x:c>
      <x:c r="D732" s="9" t="str">
        <x:v>P0</x:v>
      </x:c>
      <x:c r="E732" s="9" t="str">
        <x:v>Positiva</x:v>
      </x:c>
      <x:c r="F732" s="9" t="str">
        <x:v>Navegador + HTTP + persistencia; proveedor doble salvo variante Real DEMO explícita</x:v>
      </x:c>
      <x:c r="G732" s="20" t="str">
        <x:v>Pendiente</x:v>
      </x:c>
      <x:c r="H732" s="20" t="str"/>
      <x:c r="I732" s="20" t="str"/>
      <x:c r="J732" s="20" t="str"/>
      <x:c r="K732" s="20" t="str"/>
      <x:c r="L732" s="21" t="str"/>
      <x:c r="M732" s="22" t="str"/>
      <x:c r="N732" s="20" t="str"/>
    </x:row>
    <x:row r="733" ht="48" customHeight="1">
      <x:c r="A733" s="9" t="str">
        <x:v>QA-RGE-008</x:v>
      </x:c>
      <x:c r="B733" s="9" t="str">
        <x:v>RGE</x:v>
      </x:c>
      <x:c r="C733" s="9" t="str">
        <x:v>Régimen 2: Zona franca de Paraguaná / USD / venta por terceros</x:v>
      </x:c>
      <x:c r="D733" s="9" t="str">
        <x:v>P0</x:v>
      </x:c>
      <x:c r="E733" s="9" t="str">
        <x:v>Positiva</x:v>
      </x:c>
      <x:c r="F733" s="9" t="str">
        <x:v>Navegador + HTTP + persistencia; proveedor doble salvo variante Real DEMO explícita</x:v>
      </x:c>
      <x:c r="G733" s="20" t="str">
        <x:v>Pendiente</x:v>
      </x:c>
      <x:c r="H733" s="20" t="str"/>
      <x:c r="I733" s="20" t="str"/>
      <x:c r="J733" s="20" t="str"/>
      <x:c r="K733" s="20" t="str"/>
      <x:c r="L733" s="21" t="str"/>
      <x:c r="M733" s="22" t="str"/>
      <x:c r="N733" s="20" t="str"/>
    </x:row>
    <x:row r="734" ht="48" customHeight="1">
      <x:c r="A734" s="9" t="str">
        <x:v>QA-RGE-009</x:v>
      </x:c>
      <x:c r="B734" s="9" t="str">
        <x:v>RGE</x:v>
      </x:c>
      <x:c r="C734" s="9" t="str">
        <x:v>Régimen 3: Zona libre de Paraguaná / VES / venta propia</x:v>
      </x:c>
      <x:c r="D734" s="9" t="str">
        <x:v>P0</x:v>
      </x:c>
      <x:c r="E734" s="9" t="str">
        <x:v>Positiva</x:v>
      </x:c>
      <x:c r="F734" s="9" t="str">
        <x:v>Navegador + HTTP + persistencia; proveedor doble salvo variante Real DEMO explícita</x:v>
      </x:c>
      <x:c r="G734" s="20" t="str">
        <x:v>Pendiente</x:v>
      </x:c>
      <x:c r="H734" s="20" t="str"/>
      <x:c r="I734" s="20" t="str"/>
      <x:c r="J734" s="20" t="str"/>
      <x:c r="K734" s="20" t="str"/>
      <x:c r="L734" s="21" t="str"/>
      <x:c r="M734" s="22" t="str"/>
      <x:c r="N734" s="20" t="str"/>
    </x:row>
    <x:row r="735" ht="48" customHeight="1">
      <x:c r="A735" s="9" t="str">
        <x:v>QA-RGE-010</x:v>
      </x:c>
      <x:c r="B735" s="9" t="str">
        <x:v>RGE</x:v>
      </x:c>
      <x:c r="C735" s="9" t="str">
        <x:v>Régimen 3: Zona libre de Paraguaná / VES / venta por terceros</x:v>
      </x:c>
      <x:c r="D735" s="9" t="str">
        <x:v>P0</x:v>
      </x:c>
      <x:c r="E735" s="9" t="str">
        <x:v>Positiva</x:v>
      </x:c>
      <x:c r="F735" s="9" t="str">
        <x:v>Navegador + HTTP + persistencia; proveedor doble salvo variante Real DEMO explícita</x:v>
      </x:c>
      <x:c r="G735" s="20" t="str">
        <x:v>Pendiente</x:v>
      </x:c>
      <x:c r="H735" s="20" t="str"/>
      <x:c r="I735" s="20" t="str"/>
      <x:c r="J735" s="20" t="str"/>
      <x:c r="K735" s="20" t="str"/>
      <x:c r="L735" s="21" t="str"/>
      <x:c r="M735" s="22" t="str"/>
      <x:c r="N735" s="20" t="str"/>
    </x:row>
    <x:row r="736" ht="48" customHeight="1">
      <x:c r="A736" s="9" t="str">
        <x:v>QA-RGE-011</x:v>
      </x:c>
      <x:c r="B736" s="9" t="str">
        <x:v>RGE</x:v>
      </x:c>
      <x:c r="C736" s="9" t="str">
        <x:v>Régimen 3: Zona libre de Paraguaná / USD / venta propia</x:v>
      </x:c>
      <x:c r="D736" s="9" t="str">
        <x:v>P0</x:v>
      </x:c>
      <x:c r="E736" s="9" t="str">
        <x:v>Positiva</x:v>
      </x:c>
      <x:c r="F736" s="9" t="str">
        <x:v>Navegador + HTTP + persistencia; proveedor doble salvo variante Real DEMO explícita</x:v>
      </x:c>
      <x:c r="G736" s="20" t="str">
        <x:v>Pendiente</x:v>
      </x:c>
      <x:c r="H736" s="20" t="str"/>
      <x:c r="I736" s="20" t="str"/>
      <x:c r="J736" s="20" t="str"/>
      <x:c r="K736" s="20" t="str"/>
      <x:c r="L736" s="21" t="str"/>
      <x:c r="M736" s="22" t="str"/>
      <x:c r="N736" s="20" t="str"/>
    </x:row>
    <x:row r="737" ht="48" customHeight="1">
      <x:c r="A737" s="9" t="str">
        <x:v>QA-RGE-012</x:v>
      </x:c>
      <x:c r="B737" s="9" t="str">
        <x:v>RGE</x:v>
      </x:c>
      <x:c r="C737" s="9" t="str">
        <x:v>Régimen 3: Zona libre de Paraguaná / USD / venta por terceros</x:v>
      </x:c>
      <x:c r="D737" s="9" t="str">
        <x:v>P0</x:v>
      </x:c>
      <x:c r="E737" s="9" t="str">
        <x:v>Positiva</x:v>
      </x:c>
      <x:c r="F737" s="9" t="str">
        <x:v>Navegador + HTTP + persistencia; proveedor doble salvo variante Real DEMO explícita</x:v>
      </x:c>
      <x:c r="G737" s="20" t="str">
        <x:v>Pendiente</x:v>
      </x:c>
      <x:c r="H737" s="20" t="str"/>
      <x:c r="I737" s="20" t="str"/>
      <x:c r="J737" s="20" t="str"/>
      <x:c r="K737" s="20" t="str"/>
      <x:c r="L737" s="21" t="str"/>
      <x:c r="M737" s="22" t="str"/>
      <x:c r="N737" s="20" t="str"/>
    </x:row>
    <x:row r="738" ht="48" customHeight="1">
      <x:c r="A738" s="9" t="str">
        <x:v>QA-RGE-013</x:v>
      </x:c>
      <x:c r="B738" s="9" t="str">
        <x:v>RGE</x:v>
      </x:c>
      <x:c r="C738" s="9" t="str">
        <x:v>Régimen 4: Puerto libre Santa Elena de Uairén / VES / venta propia</x:v>
      </x:c>
      <x:c r="D738" s="9" t="str">
        <x:v>P0</x:v>
      </x:c>
      <x:c r="E738" s="9" t="str">
        <x:v>Positiva</x:v>
      </x:c>
      <x:c r="F738" s="9" t="str">
        <x:v>Navegador + HTTP + persistencia; proveedor doble salvo variante Real DEMO explícita</x:v>
      </x:c>
      <x:c r="G738" s="20" t="str">
        <x:v>Pendiente</x:v>
      </x:c>
      <x:c r="H738" s="20" t="str"/>
      <x:c r="I738" s="20" t="str"/>
      <x:c r="J738" s="20" t="str"/>
      <x:c r="K738" s="20" t="str"/>
      <x:c r="L738" s="21" t="str"/>
      <x:c r="M738" s="22" t="str"/>
      <x:c r="N738" s="20" t="str"/>
    </x:row>
    <x:row r="739" ht="48" customHeight="1">
      <x:c r="A739" s="9" t="str">
        <x:v>QA-RGE-014</x:v>
      </x:c>
      <x:c r="B739" s="9" t="str">
        <x:v>RGE</x:v>
      </x:c>
      <x:c r="C739" s="9" t="str">
        <x:v>Régimen 4: Puerto libre Santa Elena de Uairén / VES / venta por terceros</x:v>
      </x:c>
      <x:c r="D739" s="9" t="str">
        <x:v>P0</x:v>
      </x:c>
      <x:c r="E739" s="9" t="str">
        <x:v>Positiva</x:v>
      </x:c>
      <x:c r="F739" s="9" t="str">
        <x:v>Navegador + HTTP + persistencia; proveedor doble salvo variante Real DEMO explícita</x:v>
      </x:c>
      <x:c r="G739" s="20" t="str">
        <x:v>Pendiente</x:v>
      </x:c>
      <x:c r="H739" s="20" t="str"/>
      <x:c r="I739" s="20" t="str"/>
      <x:c r="J739" s="20" t="str"/>
      <x:c r="K739" s="20" t="str"/>
      <x:c r="L739" s="21" t="str"/>
      <x:c r="M739" s="22" t="str"/>
      <x:c r="N739" s="20" t="str"/>
    </x:row>
    <x:row r="740" ht="48" customHeight="1">
      <x:c r="A740" s="9" t="str">
        <x:v>QA-RGE-015</x:v>
      </x:c>
      <x:c r="B740" s="9" t="str">
        <x:v>RGE</x:v>
      </x:c>
      <x:c r="C740" s="9" t="str">
        <x:v>Régimen 4: Puerto libre Santa Elena de Uairén / USD / venta propia</x:v>
      </x:c>
      <x:c r="D740" s="9" t="str">
        <x:v>P0</x:v>
      </x:c>
      <x:c r="E740" s="9" t="str">
        <x:v>Positiva</x:v>
      </x:c>
      <x:c r="F740" s="9" t="str">
        <x:v>Navegador + HTTP + persistencia; proveedor doble salvo variante Real DEMO explícita</x:v>
      </x:c>
      <x:c r="G740" s="20" t="str">
        <x:v>Pendiente</x:v>
      </x:c>
      <x:c r="H740" s="20" t="str"/>
      <x:c r="I740" s="20" t="str"/>
      <x:c r="J740" s="20" t="str"/>
      <x:c r="K740" s="20" t="str"/>
      <x:c r="L740" s="21" t="str"/>
      <x:c r="M740" s="22" t="str"/>
      <x:c r="N740" s="20" t="str"/>
    </x:row>
    <x:row r="741" ht="48" customHeight="1">
      <x:c r="A741" s="9" t="str">
        <x:v>QA-RGE-016</x:v>
      </x:c>
      <x:c r="B741" s="9" t="str">
        <x:v>RGE</x:v>
      </x:c>
      <x:c r="C741" s="9" t="str">
        <x:v>Régimen 4: Puerto libre Santa Elena de Uairén / USD / venta por terceros</x:v>
      </x:c>
      <x:c r="D741" s="9" t="str">
        <x:v>P0</x:v>
      </x:c>
      <x:c r="E741" s="9" t="str">
        <x:v>Positiva</x:v>
      </x:c>
      <x:c r="F741" s="9" t="str">
        <x:v>Navegador + HTTP + persistencia; proveedor doble salvo variante Real DEMO explícita</x:v>
      </x:c>
      <x:c r="G741" s="20" t="str">
        <x:v>Pendiente</x:v>
      </x:c>
      <x:c r="H741" s="20" t="str"/>
      <x:c r="I741" s="20" t="str"/>
      <x:c r="J741" s="20" t="str"/>
      <x:c r="K741" s="20" t="str"/>
      <x:c r="L741" s="21" t="str"/>
      <x:c r="M741" s="22" t="str"/>
      <x:c r="N741" s="20" t="str"/>
    </x:row>
    <x:row r="742" ht="48" customHeight="1">
      <x:c r="A742" s="9" t="str">
        <x:v>QA-RGE-017</x:v>
      </x:c>
      <x:c r="B742" s="9" t="str">
        <x:v>RGE</x:v>
      </x:c>
      <x:c r="C742" s="9" t="str">
        <x:v>Régimen 5: Zona Libre de Mérida / VES / venta propia</x:v>
      </x:c>
      <x:c r="D742" s="9" t="str">
        <x:v>P0</x:v>
      </x:c>
      <x:c r="E742" s="9" t="str">
        <x:v>Positiva</x:v>
      </x:c>
      <x:c r="F742" s="9" t="str">
        <x:v>Navegador + HTTP + persistencia; proveedor doble salvo variante Real DEMO explícita</x:v>
      </x:c>
      <x:c r="G742" s="20" t="str">
        <x:v>Pendiente</x:v>
      </x:c>
      <x:c r="H742" s="20" t="str"/>
      <x:c r="I742" s="20" t="str"/>
      <x:c r="J742" s="20" t="str"/>
      <x:c r="K742" s="20" t="str"/>
      <x:c r="L742" s="21" t="str"/>
      <x:c r="M742" s="22" t="str"/>
      <x:c r="N742" s="20" t="str"/>
    </x:row>
    <x:row r="743" ht="48" customHeight="1">
      <x:c r="A743" s="9" t="str">
        <x:v>QA-RGE-018</x:v>
      </x:c>
      <x:c r="B743" s="9" t="str">
        <x:v>RGE</x:v>
      </x:c>
      <x:c r="C743" s="9" t="str">
        <x:v>Régimen 5: Zona Libre de Mérida / VES / venta por terceros</x:v>
      </x:c>
      <x:c r="D743" s="9" t="str">
        <x:v>P0</x:v>
      </x:c>
      <x:c r="E743" s="9" t="str">
        <x:v>Positiva</x:v>
      </x:c>
      <x:c r="F743" s="9" t="str">
        <x:v>Navegador + HTTP + persistencia; proveedor doble salvo variante Real DEMO explícita</x:v>
      </x:c>
      <x:c r="G743" s="20" t="str">
        <x:v>Pendiente</x:v>
      </x:c>
      <x:c r="H743" s="20" t="str"/>
      <x:c r="I743" s="20" t="str"/>
      <x:c r="J743" s="20" t="str"/>
      <x:c r="K743" s="20" t="str"/>
      <x:c r="L743" s="21" t="str"/>
      <x:c r="M743" s="22" t="str"/>
      <x:c r="N743" s="20" t="str"/>
    </x:row>
    <x:row r="744" ht="48" customHeight="1">
      <x:c r="A744" s="9" t="str">
        <x:v>QA-RGE-019</x:v>
      </x:c>
      <x:c r="B744" s="9" t="str">
        <x:v>RGE</x:v>
      </x:c>
      <x:c r="C744" s="9" t="str">
        <x:v>Régimen 5: Zona Libre de Mérida / USD / venta propia</x:v>
      </x:c>
      <x:c r="D744" s="9" t="str">
        <x:v>P0</x:v>
      </x:c>
      <x:c r="E744" s="9" t="str">
        <x:v>Positiva</x:v>
      </x:c>
      <x:c r="F744" s="9" t="str">
        <x:v>Navegador + HTTP + persistencia; proveedor doble salvo variante Real DEMO explícita</x:v>
      </x:c>
      <x:c r="G744" s="20" t="str">
        <x:v>Pendiente</x:v>
      </x:c>
      <x:c r="H744" s="20" t="str"/>
      <x:c r="I744" s="20" t="str"/>
      <x:c r="J744" s="20" t="str"/>
      <x:c r="K744" s="20" t="str"/>
      <x:c r="L744" s="21" t="str"/>
      <x:c r="M744" s="22" t="str"/>
      <x:c r="N744" s="20" t="str"/>
    </x:row>
    <x:row r="745" ht="48" customHeight="1">
      <x:c r="A745" s="9" t="str">
        <x:v>QA-RGE-020</x:v>
      </x:c>
      <x:c r="B745" s="9" t="str">
        <x:v>RGE</x:v>
      </x:c>
      <x:c r="C745" s="9" t="str">
        <x:v>Régimen 5: Zona Libre de Mérida / USD / venta por terceros</x:v>
      </x:c>
      <x:c r="D745" s="9" t="str">
        <x:v>P0</x:v>
      </x:c>
      <x:c r="E745" s="9" t="str">
        <x:v>Positiva</x:v>
      </x:c>
      <x:c r="F745" s="9" t="str">
        <x:v>Navegador + HTTP + persistencia; proveedor doble salvo variante Real DEMO explícita</x:v>
      </x:c>
      <x:c r="G745" s="20" t="str">
        <x:v>Pendiente</x:v>
      </x:c>
      <x:c r="H745" s="20" t="str"/>
      <x:c r="I745" s="20" t="str"/>
      <x:c r="J745" s="20" t="str"/>
      <x:c r="K745" s="20" t="str"/>
      <x:c r="L745" s="21" t="str"/>
      <x:c r="M745" s="22" t="str"/>
      <x:c r="N745" s="20" t="str"/>
    </x:row>
    <x:row r="746" ht="48" customHeight="1">
      <x:c r="A746" s="9" t="str">
        <x:v>QA-RGE-021</x:v>
      </x:c>
      <x:c r="B746" s="9" t="str">
        <x:v>RGE</x:v>
      </x:c>
      <x:c r="C746" s="9" t="str">
        <x:v>Régimen 6: Puerto libre Estado Nueva Esparta / VES / venta propia</x:v>
      </x:c>
      <x:c r="D746" s="9" t="str">
        <x:v>P0</x:v>
      </x:c>
      <x:c r="E746" s="9" t="str">
        <x:v>Positiva</x:v>
      </x:c>
      <x:c r="F746" s="9" t="str">
        <x:v>Navegador + HTTP + persistencia; proveedor doble salvo variante Real DEMO explícita</x:v>
      </x:c>
      <x:c r="G746" s="20" t="str">
        <x:v>Pendiente</x:v>
      </x:c>
      <x:c r="H746" s="20" t="str"/>
      <x:c r="I746" s="20" t="str"/>
      <x:c r="J746" s="20" t="str"/>
      <x:c r="K746" s="20" t="str"/>
      <x:c r="L746" s="21" t="str"/>
      <x:c r="M746" s="22" t="str"/>
      <x:c r="N746" s="20" t="str"/>
    </x:row>
    <x:row r="747" ht="48" customHeight="1">
      <x:c r="A747" s="9" t="str">
        <x:v>QA-RGE-022</x:v>
      </x:c>
      <x:c r="B747" s="9" t="str">
        <x:v>RGE</x:v>
      </x:c>
      <x:c r="C747" s="9" t="str">
        <x:v>Régimen 6: Puerto libre Estado Nueva Esparta / VES / venta por terceros</x:v>
      </x:c>
      <x:c r="D747" s="9" t="str">
        <x:v>P0</x:v>
      </x:c>
      <x:c r="E747" s="9" t="str">
        <x:v>Positiva</x:v>
      </x:c>
      <x:c r="F747" s="9" t="str">
        <x:v>Navegador + HTTP + persistencia; proveedor doble salvo variante Real DEMO explícita</x:v>
      </x:c>
      <x:c r="G747" s="20" t="str">
        <x:v>Pendiente</x:v>
      </x:c>
      <x:c r="H747" s="20" t="str"/>
      <x:c r="I747" s="20" t="str"/>
      <x:c r="J747" s="20" t="str"/>
      <x:c r="K747" s="20" t="str"/>
      <x:c r="L747" s="21" t="str"/>
      <x:c r="M747" s="22" t="str"/>
      <x:c r="N747" s="20" t="str"/>
    </x:row>
    <x:row r="748" ht="48" customHeight="1">
      <x:c r="A748" s="9" t="str">
        <x:v>QA-RGE-023</x:v>
      </x:c>
      <x:c r="B748" s="9" t="str">
        <x:v>RGE</x:v>
      </x:c>
      <x:c r="C748" s="9" t="str">
        <x:v>Régimen 6: Puerto libre Estado Nueva Esparta / USD / venta propia</x:v>
      </x:c>
      <x:c r="D748" s="9" t="str">
        <x:v>P0</x:v>
      </x:c>
      <x:c r="E748" s="9" t="str">
        <x:v>Positiva</x:v>
      </x:c>
      <x:c r="F748" s="9" t="str">
        <x:v>Navegador + HTTP + persistencia; proveedor doble salvo variante Real DEMO explícita</x:v>
      </x:c>
      <x:c r="G748" s="20" t="str">
        <x:v>Pendiente</x:v>
      </x:c>
      <x:c r="H748" s="20" t="str"/>
      <x:c r="I748" s="20" t="str"/>
      <x:c r="J748" s="20" t="str"/>
      <x:c r="K748" s="20" t="str"/>
      <x:c r="L748" s="21" t="str"/>
      <x:c r="M748" s="22" t="str"/>
      <x:c r="N748" s="20" t="str"/>
    </x:row>
    <x:row r="749" ht="48" customHeight="1">
      <x:c r="A749" s="9" t="str">
        <x:v>QA-RGE-024</x:v>
      </x:c>
      <x:c r="B749" s="9" t="str">
        <x:v>RGE</x:v>
      </x:c>
      <x:c r="C749" s="9" t="str">
        <x:v>Régimen 6: Puerto libre Estado Nueva Esparta / USD / venta por terceros</x:v>
      </x:c>
      <x:c r="D749" s="9" t="str">
        <x:v>P0</x:v>
      </x:c>
      <x:c r="E749" s="9" t="str">
        <x:v>Positiva</x:v>
      </x:c>
      <x:c r="F749" s="9" t="str">
        <x:v>Navegador + HTTP + persistencia; proveedor doble salvo variante Real DEMO explícita</x:v>
      </x:c>
      <x:c r="G749" s="20" t="str">
        <x:v>Pendiente</x:v>
      </x:c>
      <x:c r="H749" s="20" t="str"/>
      <x:c r="I749" s="20" t="str"/>
      <x:c r="J749" s="20" t="str"/>
      <x:c r="K749" s="20" t="str"/>
      <x:c r="L749" s="21" t="str"/>
      <x:c r="M749" s="22" t="str"/>
      <x:c r="N749" s="20" t="str"/>
    </x:row>
    <x:row r="750" ht="48" customHeight="1">
      <x:c r="A750" s="9" t="str">
        <x:v>QA-RGE-025</x:v>
      </x:c>
      <x:c r="B750" s="9" t="str">
        <x:v>RGE</x:v>
      </x:c>
      <x:c r="C750" s="9" t="str">
        <x:v>Régimen 7: Dutty Free / VES / venta propia</x:v>
      </x:c>
      <x:c r="D750" s="9" t="str">
        <x:v>P0</x:v>
      </x:c>
      <x:c r="E750" s="9" t="str">
        <x:v>Positiva</x:v>
      </x:c>
      <x:c r="F750" s="9" t="str">
        <x:v>Navegador + HTTP + persistencia; proveedor doble salvo variante Real DEMO explícita</x:v>
      </x:c>
      <x:c r="G750" s="20" t="str">
        <x:v>Pendiente</x:v>
      </x:c>
      <x:c r="H750" s="20" t="str"/>
      <x:c r="I750" s="20" t="str"/>
      <x:c r="J750" s="20" t="str"/>
      <x:c r="K750" s="20" t="str"/>
      <x:c r="L750" s="21" t="str"/>
      <x:c r="M750" s="22" t="str"/>
      <x:c r="N750" s="20" t="str"/>
    </x:row>
    <x:row r="751" ht="48" customHeight="1">
      <x:c r="A751" s="9" t="str">
        <x:v>QA-RGE-026</x:v>
      </x:c>
      <x:c r="B751" s="9" t="str">
        <x:v>RGE</x:v>
      </x:c>
      <x:c r="C751" s="9" t="str">
        <x:v>Régimen 7: Dutty Free / VES / venta por terceros</x:v>
      </x:c>
      <x:c r="D751" s="9" t="str">
        <x:v>P0</x:v>
      </x:c>
      <x:c r="E751" s="9" t="str">
        <x:v>Positiva</x:v>
      </x:c>
      <x:c r="F751" s="9" t="str">
        <x:v>Navegador + HTTP + persistencia; proveedor doble salvo variante Real DEMO explícita</x:v>
      </x:c>
      <x:c r="G751" s="20" t="str">
        <x:v>Pendiente</x:v>
      </x:c>
      <x:c r="H751" s="20" t="str"/>
      <x:c r="I751" s="20" t="str"/>
      <x:c r="J751" s="20" t="str"/>
      <x:c r="K751" s="20" t="str"/>
      <x:c r="L751" s="21" t="str"/>
      <x:c r="M751" s="22" t="str"/>
      <x:c r="N751" s="20" t="str"/>
    </x:row>
    <x:row r="752" ht="48" customHeight="1">
      <x:c r="A752" s="9" t="str">
        <x:v>QA-RGE-027</x:v>
      </x:c>
      <x:c r="B752" s="9" t="str">
        <x:v>RGE</x:v>
      </x:c>
      <x:c r="C752" s="9" t="str">
        <x:v>Régimen 7: Dutty Free / USD / venta propia</x:v>
      </x:c>
      <x:c r="D752" s="9" t="str">
        <x:v>P0</x:v>
      </x:c>
      <x:c r="E752" s="9" t="str">
        <x:v>Positiva</x:v>
      </x:c>
      <x:c r="F752" s="9" t="str">
        <x:v>Navegador + HTTP + persistencia; proveedor doble salvo variante Real DEMO explícita</x:v>
      </x:c>
      <x:c r="G752" s="20" t="str">
        <x:v>Pendiente</x:v>
      </x:c>
      <x:c r="H752" s="20" t="str"/>
      <x:c r="I752" s="20" t="str"/>
      <x:c r="J752" s="20" t="str"/>
      <x:c r="K752" s="20" t="str"/>
      <x:c r="L752" s="21" t="str"/>
      <x:c r="M752" s="22" t="str"/>
      <x:c r="N752" s="20" t="str"/>
    </x:row>
    <x:row r="753" ht="48" customHeight="1">
      <x:c r="A753" s="9" t="str">
        <x:v>QA-RGE-028</x:v>
      </x:c>
      <x:c r="B753" s="9" t="str">
        <x:v>RGE</x:v>
      </x:c>
      <x:c r="C753" s="9" t="str">
        <x:v>Régimen 7: Dutty Free / USD / venta por terceros</x:v>
      </x:c>
      <x:c r="D753" s="9" t="str">
        <x:v>P0</x:v>
      </x:c>
      <x:c r="E753" s="9" t="str">
        <x:v>Positiva</x:v>
      </x:c>
      <x:c r="F753" s="9" t="str">
        <x:v>Navegador + HTTP + persistencia; proveedor doble salvo variante Real DEMO explícita</x:v>
      </x:c>
      <x:c r="G753" s="20" t="str">
        <x:v>Pendiente</x:v>
      </x:c>
      <x:c r="H753" s="20" t="str"/>
      <x:c r="I753" s="20" t="str"/>
      <x:c r="J753" s="20" t="str"/>
      <x:c r="K753" s="20" t="str"/>
      <x:c r="L753" s="21" t="str"/>
      <x:c r="M753" s="22" t="str"/>
      <x:c r="N753" s="20" t="str"/>
    </x:row>
    <x:row r="754" ht="48" customHeight="1">
      <x:c r="A754" s="9" t="str">
        <x:v>QA-RGE-029</x:v>
      </x:c>
      <x:c r="B754" s="9" t="str">
        <x:v>RGE</x:v>
      </x:c>
      <x:c r="C754" s="9" t="str">
        <x:v>Sin régimen y cancelar selector</x:v>
      </x:c>
      <x:c r="D754" s="9" t="str">
        <x:v>P0</x:v>
      </x:c>
      <x:c r="E754" s="9" t="str">
        <x:v>Positiva</x:v>
      </x:c>
      <x:c r="F754" s="9" t="str">
        <x:v>Navegador + HTTP + persistencia; proveedor doble salvo variante Real DEMO explícita</x:v>
      </x:c>
      <x:c r="G754" s="20" t="str">
        <x:v>Pendiente</x:v>
      </x:c>
      <x:c r="H754" s="20" t="str"/>
      <x:c r="I754" s="20" t="str"/>
      <x:c r="J754" s="20" t="str"/>
      <x:c r="K754" s="20" t="str"/>
      <x:c r="L754" s="21" t="str"/>
      <x:c r="M754" s="22" t="str"/>
      <x:c r="N754" s="20" t="str"/>
    </x:row>
    <x:row r="755" ht="48" customHeight="1">
      <x:c r="A755" s="9" t="str">
        <x:v>QA-RGE-030</x:v>
      </x:c>
      <x:c r="B755" s="9" t="str">
        <x:v>RGE</x:v>
      </x:c>
      <x:c r="C755" s="9" t="str">
        <x:v>Cambio de selección no reclasifica IVA</x:v>
      </x:c>
      <x:c r="D755" s="9" t="str">
        <x:v>P0</x:v>
      </x:c>
      <x:c r="E755" s="9" t="str">
        <x:v>Positiva</x:v>
      </x:c>
      <x:c r="F755" s="9" t="str">
        <x:v>Navegador + HTTP + persistencia; proveedor doble salvo variante Real DEMO explícita</x:v>
      </x:c>
      <x:c r="G755" s="20" t="str">
        <x:v>Pendiente</x:v>
      </x:c>
      <x:c r="H755" s="20" t="str"/>
      <x:c r="I755" s="20" t="str"/>
      <x:c r="J755" s="20" t="str"/>
      <x:c r="K755" s="20" t="str"/>
      <x:c r="L755" s="21" t="str"/>
      <x:c r="M755" s="22" t="str"/>
      <x:c r="N755" s="20" t="str"/>
    </x:row>
    <x:row r="756" ht="48" customHeight="1">
      <x:c r="A756" s="9" t="str">
        <x:v>QA-RGE-031</x:v>
      </x:c>
      <x:c r="B756" s="9" t="str">
        <x:v>RGE</x:v>
      </x:c>
      <x:c r="C756" s="9" t="str">
        <x:v>Catálogo inactivo o descripción alterada</x:v>
      </x:c>
      <x:c r="D756" s="9" t="str">
        <x:v>P0</x:v>
      </x:c>
      <x:c r="E756" s="9" t="str">
        <x:v>Negativa</x:v>
      </x:c>
      <x:c r="F756" s="9" t="str">
        <x:v>Navegador + HTTP + persistencia; proveedor doble salvo variante Real DEMO explícita</x:v>
      </x:c>
      <x:c r="G756" s="20" t="str">
        <x:v>Pendiente</x:v>
      </x:c>
      <x:c r="H756" s="20" t="str"/>
      <x:c r="I756" s="20" t="str"/>
      <x:c r="J756" s="20" t="str"/>
      <x:c r="K756" s="20" t="str"/>
      <x:c r="L756" s="21" t="str"/>
      <x:c r="M756" s="22" t="str"/>
      <x:c r="N756" s="20" t="str"/>
    </x:row>
    <x:row r="757" ht="48" customHeight="1">
      <x:c r="A757" s="9" t="str">
        <x:v>QA-RGE-032</x:v>
      </x:c>
      <x:c r="B757" s="9" t="str">
        <x:v>RGE</x:v>
      </x:c>
      <x:c r="C757" s="9" t="str">
        <x:v>Snapshot de régimen inyectado</x:v>
      </x:c>
      <x:c r="D757" s="9" t="str">
        <x:v>P0</x:v>
      </x:c>
      <x:c r="E757" s="9" t="str">
        <x:v>Negativa</x:v>
      </x:c>
      <x:c r="F757" s="9" t="str">
        <x:v>Navegador + HTTP + persistencia; proveedor doble salvo variante Real DEMO explícita</x:v>
      </x:c>
      <x:c r="G757" s="20" t="str">
        <x:v>Pendiente</x:v>
      </x:c>
      <x:c r="H757" s="20" t="str"/>
      <x:c r="I757" s="20" t="str"/>
      <x:c r="J757" s="20" t="str"/>
      <x:c r="K757" s="20" t="str"/>
      <x:c r="L757" s="21" t="str"/>
      <x:c r="M757" s="22" t="str"/>
      <x:c r="N757" s="20" t="str"/>
    </x:row>
    <x:row r="758" ht="48" customHeight="1">
      <x:c r="A758" s="9" t="str">
        <x:v>QA-RGE-033</x:v>
      </x:c>
      <x:c r="B758" s="9" t="str">
        <x:v>RGE</x:v>
      </x:c>
      <x:c r="C758" s="9" t="str">
        <x:v>ID de régimen fuera de catálogo</x:v>
      </x:c>
      <x:c r="D758" s="9" t="str">
        <x:v>P0</x:v>
      </x:c>
      <x:c r="E758" s="9" t="str">
        <x:v>Positiva</x:v>
      </x:c>
      <x:c r="F758" s="9" t="str">
        <x:v>Navegador + HTTP + persistencia; proveedor doble salvo variante Real DEMO explícita</x:v>
      </x:c>
      <x:c r="G758" s="20" t="str">
        <x:v>Pendiente</x:v>
      </x:c>
      <x:c r="H758" s="20" t="str"/>
      <x:c r="I758" s="20" t="str"/>
      <x:c r="J758" s="20" t="str"/>
      <x:c r="K758" s="20" t="str"/>
      <x:c r="L758" s="21" t="str"/>
      <x:c r="M758" s="22" t="str"/>
      <x:c r="N758" s="20" t="str"/>
    </x:row>
    <x:row r="759" ht="48" customHeight="1">
      <x:c r="A759" s="9" t="str">
        <x:v>QA-RGE-034</x:v>
      </x:c>
      <x:c r="B759" s="9" t="str">
        <x:v>RGE</x:v>
      </x:c>
      <x:c r="C759" s="9" t="str">
        <x:v>Descuento sobre base en régimen</x:v>
      </x:c>
      <x:c r="D759" s="9" t="str">
        <x:v>P0</x:v>
      </x:c>
      <x:c r="E759" s="9" t="str">
        <x:v>Positiva</x:v>
      </x:c>
      <x:c r="F759" s="9" t="str">
        <x:v>Navegador + HTTP + persistencia; proveedor doble salvo variante Real DEMO explícita</x:v>
      </x:c>
      <x:c r="G759" s="20" t="str">
        <x:v>Pendiente</x:v>
      </x:c>
      <x:c r="H759" s="20" t="str"/>
      <x:c r="I759" s="20" t="str"/>
      <x:c r="J759" s="20" t="str"/>
      <x:c r="K759" s="20" t="str"/>
      <x:c r="L759" s="21" t="str"/>
      <x:c r="M759" s="22" t="str"/>
      <x:c r="N759" s="20" t="str"/>
    </x:row>
    <x:row r="760" ht="48" customHeight="1">
      <x:c r="A760" s="9" t="str">
        <x:v>QA-RGE-035</x:v>
      </x:c>
      <x:c r="B760" s="9" t="str">
        <x:v>RGE</x:v>
      </x:c>
      <x:c r="C760" s="9" t="str">
        <x:v>Cargo sin alterar base de IVA</x:v>
      </x:c>
      <x:c r="D760" s="9" t="str">
        <x:v>P0</x:v>
      </x:c>
      <x:c r="E760" s="9" t="str">
        <x:v>Positiva</x:v>
      </x:c>
      <x:c r="F760" s="9" t="str">
        <x:v>Navegador + HTTP + persistencia; proveedor doble salvo variante Real DEMO explícita</x:v>
      </x:c>
      <x:c r="G760" s="20" t="str">
        <x:v>Pendiente</x:v>
      </x:c>
      <x:c r="H760" s="20" t="str"/>
      <x:c r="I760" s="20" t="str"/>
      <x:c r="J760" s="20" t="str"/>
      <x:c r="K760" s="20" t="str"/>
      <x:c r="L760" s="21" t="str"/>
      <x:c r="M760" s="22" t="str"/>
      <x:c r="N760" s="20" t="str"/>
    </x:row>
    <x:row r="761" ht="48" customHeight="1">
      <x:c r="A761" s="9" t="str">
        <x:v>QA-RGE-036</x:v>
      </x:c>
      <x:c r="B761" s="9" t="str">
        <x:v>RGE</x:v>
      </x:c>
      <x:c r="C761" s="9" t="str">
        <x:v>Descuento global distribuido por alícuota</x:v>
      </x:c>
      <x:c r="D761" s="9" t="str">
        <x:v>P0</x:v>
      </x:c>
      <x:c r="E761" s="9" t="str">
        <x:v>Positiva</x:v>
      </x:c>
      <x:c r="F761" s="9" t="str">
        <x:v>Navegador + HTTP + persistencia; proveedor doble salvo variante Real DEMO explícita</x:v>
      </x:c>
      <x:c r="G761" s="20" t="str">
        <x:v>Pendiente</x:v>
      </x:c>
      <x:c r="H761" s="20" t="str"/>
      <x:c r="I761" s="20" t="str"/>
      <x:c r="J761" s="20" t="str"/>
      <x:c r="K761" s="20" t="str"/>
      <x:c r="L761" s="21" t="str"/>
      <x:c r="M761" s="22" t="str"/>
      <x:c r="N761" s="20" t="str"/>
    </x:row>
    <x:row r="762" ht="48" customHeight="1">
      <x:c r="A762" s="9" t="str">
        <x:v>QA-RGE-037</x:v>
      </x:c>
      <x:c r="B762" s="9" t="str">
        <x:v>RGE</x:v>
      </x:c>
      <x:c r="C762" s="9" t="str">
        <x:v>IGTF inicial con régimen y terceros</x:v>
      </x:c>
      <x:c r="D762" s="9" t="str">
        <x:v>P0</x:v>
      </x:c>
      <x:c r="E762" s="9" t="str">
        <x:v>Positiva</x:v>
      </x:c>
      <x:c r="F762" s="9" t="str">
        <x:v>Navegador + HTTP + persistencia; proveedor doble salvo variante Real DEMO explícita</x:v>
      </x:c>
      <x:c r="G762" s="20" t="str">
        <x:v>Pendiente</x:v>
      </x:c>
      <x:c r="H762" s="20" t="str"/>
      <x:c r="I762" s="20" t="str"/>
      <x:c r="J762" s="20" t="str"/>
      <x:c r="K762" s="20" t="str"/>
      <x:c r="L762" s="21" t="str"/>
      <x:c r="M762" s="22" t="str"/>
      <x:c r="N762" s="20" t="str"/>
    </x:row>
    <x:row r="763" ht="48" customHeight="1">
      <x:c r="A763" s="9" t="str">
        <x:v>QA-RGE-038</x:v>
      </x:c>
      <x:c r="B763" s="9" t="str">
        <x:v>RGE</x:v>
      </x:c>
      <x:c r="C763" s="9" t="str">
        <x:v>Crédito y cuotas bloqueados</x:v>
      </x:c>
      <x:c r="D763" s="9" t="str">
        <x:v>P0</x:v>
      </x:c>
      <x:c r="E763" s="9" t="str">
        <x:v>Negativa</x:v>
      </x:c>
      <x:c r="F763" s="9" t="str">
        <x:v>Navegador + HTTP + persistencia; proveedor doble salvo variante Real DEMO explícita</x:v>
      </x:c>
      <x:c r="G763" s="20" t="str">
        <x:v>Pendiente</x:v>
      </x:c>
      <x:c r="H763" s="20" t="str"/>
      <x:c r="I763" s="20" t="str"/>
      <x:c r="J763" s="20" t="str"/>
      <x:c r="K763" s="20" t="str"/>
      <x:c r="L763" s="21" t="str"/>
      <x:c r="M763" s="22" t="str"/>
      <x:c r="N763" s="20" t="str"/>
    </x:row>
    <x:row r="764" ht="48" customHeight="1">
      <x:c r="A764" s="9" t="str">
        <x:v>QA-RGE-039</x:v>
      </x:c>
      <x:c r="B764" s="9" t="str">
        <x:v>RGE</x:v>
      </x:c>
      <x:c r="C764" s="9" t="str">
        <x:v>Contado insuficiente o aplicación en lugar de pago</x:v>
      </x:c>
      <x:c r="D764" s="9" t="str">
        <x:v>P0</x:v>
      </x:c>
      <x:c r="E764" s="9" t="str">
        <x:v>Negativa</x:v>
      </x:c>
      <x:c r="F764" s="9" t="str">
        <x:v>Navegador + HTTP + persistencia; proveedor doble salvo variante Real DEMO explícita</x:v>
      </x:c>
      <x:c r="G764" s="20" t="str">
        <x:v>Pendiente</x:v>
      </x:c>
      <x:c r="H764" s="20" t="str"/>
      <x:c r="I764" s="20" t="str"/>
      <x:c r="J764" s="20" t="str"/>
      <x:c r="K764" s="20" t="str"/>
      <x:c r="L764" s="21" t="str"/>
      <x:c r="M764" s="22" t="str"/>
      <x:c r="N764" s="20" t="str"/>
    </x:row>
    <x:row r="765" ht="48" customHeight="1">
      <x:c r="A765" s="9" t="str">
        <x:v>QA-RGE-040</x:v>
      </x:c>
      <x:c r="B765" s="9" t="str">
        <x:v>RGE</x:v>
      </x:c>
      <x:c r="C765" s="9" t="str">
        <x:v>Exportación incompatible</x:v>
      </x:c>
      <x:c r="D765" s="9" t="str">
        <x:v>P0</x:v>
      </x:c>
      <x:c r="E765" s="9" t="str">
        <x:v>Negativa</x:v>
      </x:c>
      <x:c r="F765" s="9" t="str">
        <x:v>Navegador + HTTP + persistencia; proveedor doble salvo variante Real DEMO explícita</x:v>
      </x:c>
      <x:c r="G765" s="20" t="str">
        <x:v>Pendiente</x:v>
      </x:c>
      <x:c r="H765" s="20" t="str"/>
      <x:c r="I765" s="20" t="str"/>
      <x:c r="J765" s="20" t="str"/>
      <x:c r="K765" s="20" t="str"/>
      <x:c r="L765" s="21" t="str"/>
      <x:c r="M765" s="22" t="str"/>
      <x:c r="N765" s="20" t="str"/>
    </x:row>
    <x:row r="766" ht="48" customHeight="1">
      <x:c r="A766" s="9" t="str">
        <x:v>QA-RGE-041</x:v>
      </x:c>
      <x:c r="B766" s="9" t="str">
        <x:v>RGE</x:v>
      </x:c>
      <x:c r="C766" s="9" t="str">
        <x:v>Régimen: documentos comerciales y notas heredadas</x:v>
      </x:c>
      <x:c r="D766" s="9" t="str">
        <x:v>P0</x:v>
      </x:c>
      <x:c r="E766" s="9" t="str">
        <x:v>Regresión contractual</x:v>
      </x:c>
      <x:c r="F766" s="9" t="str">
        <x:v>Navegador + HTTP + persistencia; DEMO separado de doble</x:v>
      </x:c>
      <x:c r="G766" s="20" t="str">
        <x:v>Pendiente</x:v>
      </x:c>
      <x:c r="H766" s="20" t="str"/>
      <x:c r="I766" s="20" t="str"/>
      <x:c r="J766" s="20" t="str"/>
      <x:c r="K766" s="20" t="str"/>
      <x:c r="L766" s="21" t="str"/>
      <x:c r="M766" s="22" t="str"/>
      <x:c r="N766" s="20" t="str"/>
    </x:row>
    <x:row r="767" ht="48" customHeight="1">
      <x:c r="A767" s="9" t="str">
        <x:v>QA-RGE-042</x:v>
      </x:c>
      <x:c r="B767" s="9" t="str">
        <x:v>RGE</x:v>
      </x:c>
      <x:c r="C767" s="9" t="str">
        <x:v>Operaciones condicionales incompatibles</x:v>
      </x:c>
      <x:c r="D767" s="9" t="str">
        <x:v>P0</x:v>
      </x:c>
      <x:c r="E767" s="9" t="str">
        <x:v>Negativa</x:v>
      </x:c>
      <x:c r="F767" s="9" t="str">
        <x:v>Navegador + HTTP + persistencia; proveedor doble salvo variante Real DEMO explícita</x:v>
      </x:c>
      <x:c r="G767" s="20" t="str">
        <x:v>Pendiente</x:v>
      </x:c>
      <x:c r="H767" s="20" t="str"/>
      <x:c r="I767" s="20" t="str"/>
      <x:c r="J767" s="20" t="str"/>
      <x:c r="K767" s="20" t="str"/>
      <x:c r="L767" s="21" t="str"/>
      <x:c r="M767" s="22" t="str"/>
      <x:c r="N767" s="20" t="str"/>
    </x:row>
    <x:row r="768" ht="48" customHeight="1">
      <x:c r="A768" s="9" t="str">
        <x:v>QA-RGE-043</x:v>
      </x:c>
      <x:c r="B768" s="9" t="str">
        <x:v>RGE</x:v>
      </x:c>
      <x:c r="C768" s="9" t="str">
        <x:v>Monedas incompatibles</x:v>
      </x:c>
      <x:c r="D768" s="9" t="str">
        <x:v>P0</x:v>
      </x:c>
      <x:c r="E768" s="9" t="str">
        <x:v>Positiva</x:v>
      </x:c>
      <x:c r="F768" s="9" t="str">
        <x:v>Navegador + HTTP + persistencia; proveedor doble salvo variante Real DEMO explícita</x:v>
      </x:c>
      <x:c r="G768" s="20" t="str">
        <x:v>Pendiente</x:v>
      </x:c>
      <x:c r="H768" s="20" t="str"/>
      <x:c r="I768" s="20" t="str"/>
      <x:c r="J768" s="20" t="str"/>
      <x:c r="K768" s="20" t="str"/>
      <x:c r="L768" s="21" t="str"/>
      <x:c r="M768" s="22" t="str"/>
      <x:c r="N768" s="20" t="str"/>
    </x:row>
    <x:row r="769" ht="48" customHeight="1">
      <x:c r="A769" s="9" t="str">
        <x:v>QA-RGE-044</x:v>
      </x:c>
      <x:c r="B769" s="9" t="str">
        <x:v>RGE</x:v>
      </x:c>
      <x:c r="C769" s="9" t="str">
        <x:v>Notas ordinarias de régimen habilitadas e IGTF separado</x:v>
      </x:c>
      <x:c r="D769" s="9" t="str">
        <x:v>P0</x:v>
      </x:c>
      <x:c r="E769" s="9" t="str">
        <x:v>Regresión contractual</x:v>
      </x:c>
      <x:c r="F769" s="9" t="str">
        <x:v>Navegador + HTTP + persistencia; DEMO separado de doble</x:v>
      </x:c>
      <x:c r="G769" s="20" t="str">
        <x:v>Pendiente</x:v>
      </x:c>
      <x:c r="H769" s="20" t="str"/>
      <x:c r="I769" s="20" t="str"/>
      <x:c r="J769" s="20" t="str"/>
      <x:c r="K769" s="20" t="str"/>
      <x:c r="L769" s="21" t="str"/>
      <x:c r="M769" s="22" t="str"/>
      <x:c r="N769" s="20" t="str"/>
    </x:row>
    <x:row r="770" ht="48" customHeight="1">
      <x:c r="A770" s="9" t="str">
        <x:v>QA-RGE-045</x:v>
      </x:c>
      <x:c r="B770" s="9" t="str">
        <x:v>RGE</x:v>
      </x:c>
      <x:c r="C770" s="9" t="str">
        <x:v>Agregar régimen al editar not_requested</x:v>
      </x:c>
      <x:c r="D770" s="9" t="str">
        <x:v>P0</x:v>
      </x:c>
      <x:c r="E770" s="9" t="str">
        <x:v>Positiva</x:v>
      </x:c>
      <x:c r="F770" s="9" t="str">
        <x:v>Navegador + HTTP + persistencia; proveedor doble salvo variante Real DEMO explícita</x:v>
      </x:c>
      <x:c r="G770" s="20" t="str">
        <x:v>Pendiente</x:v>
      </x:c>
      <x:c r="H770" s="20" t="str"/>
      <x:c r="I770" s="20" t="str"/>
      <x:c r="J770" s="20" t="str"/>
      <x:c r="K770" s="20" t="str"/>
      <x:c r="L770" s="21" t="str"/>
      <x:c r="M770" s="22" t="str"/>
      <x:c r="N770" s="20" t="str"/>
    </x:row>
    <x:row r="771" ht="48" customHeight="1">
      <x:c r="A771" s="9" t="str">
        <x:v>QA-RGE-046</x:v>
      </x:c>
      <x:c r="B771" s="9" t="str">
        <x:v>RGE</x:v>
      </x:c>
      <x:c r="C771" s="9" t="str">
        <x:v>Cambiar régimen en prepared</x:v>
      </x:c>
      <x:c r="D771" s="9" t="str">
        <x:v>P0</x:v>
      </x:c>
      <x:c r="E771" s="9" t="str">
        <x:v>Positiva</x:v>
      </x:c>
      <x:c r="F771" s="9" t="str">
        <x:v>Navegador + HTTP + persistencia; proveedor doble salvo variante Real DEMO explícita</x:v>
      </x:c>
      <x:c r="G771" s="20" t="str">
        <x:v>Pendiente</x:v>
      </x:c>
      <x:c r="H771" s="20" t="str"/>
      <x:c r="I771" s="20" t="str"/>
      <x:c r="J771" s="20" t="str"/>
      <x:c r="K771" s="20" t="str"/>
      <x:c r="L771" s="21" t="str"/>
      <x:c r="M771" s="22" t="str"/>
      <x:c r="N771" s="20" t="str"/>
    </x:row>
    <x:row r="772" ht="48" customHeight="1">
      <x:c r="A772" s="9" t="str">
        <x:v>QA-RGE-047</x:v>
      </x:c>
      <x:c r="B772" s="9" t="str">
        <x:v>RGE</x:v>
      </x:c>
      <x:c r="C772" s="9" t="str">
        <x:v>Retirar régimen manteniendo contado</x:v>
      </x:c>
      <x:c r="D772" s="9" t="str">
        <x:v>P0</x:v>
      </x:c>
      <x:c r="E772" s="9" t="str">
        <x:v>Positiva</x:v>
      </x:c>
      <x:c r="F772" s="9" t="str">
        <x:v>Navegador + HTTP + persistencia; proveedor doble salvo variante Real DEMO explícita</x:v>
      </x:c>
      <x:c r="G772" s="20" t="str">
        <x:v>Pendiente</x:v>
      </x:c>
      <x:c r="H772" s="20" t="str"/>
      <x:c r="I772" s="20" t="str"/>
      <x:c r="J772" s="20" t="str"/>
      <x:c r="K772" s="20" t="str"/>
      <x:c r="L772" s="21" t="str"/>
      <x:c r="M772" s="22" t="str"/>
      <x:c r="N772" s="20" t="str"/>
    </x:row>
    <x:row r="773" ht="48" customHeight="1">
      <x:c r="A773" s="9" t="str">
        <x:v>QA-RGE-048</x:v>
      </x:c>
      <x:c r="B773" s="9" t="str">
        <x:v>RGE</x:v>
      </x:c>
      <x:c r="C773" s="9" t="str">
        <x:v>Edición rechazada conserva régimen</x:v>
      </x:c>
      <x:c r="D773" s="9" t="str">
        <x:v>P0</x:v>
      </x:c>
      <x:c r="E773" s="9" t="str">
        <x:v>Negativa</x:v>
      </x:c>
      <x:c r="F773" s="9" t="str">
        <x:v>Navegador + HTTP + persistencia; proveedor doble salvo variante Real DEMO explícita</x:v>
      </x:c>
      <x:c r="G773" s="20" t="str">
        <x:v>Pendiente</x:v>
      </x:c>
      <x:c r="H773" s="20" t="str"/>
      <x:c r="I773" s="20" t="str"/>
      <x:c r="J773" s="20" t="str"/>
      <x:c r="K773" s="20" t="str"/>
      <x:c r="L773" s="21" t="str"/>
      <x:c r="M773" s="22" t="str"/>
      <x:c r="N773" s="20" t="str"/>
    </x:row>
    <x:row r="774" ht="48" customHeight="1">
      <x:c r="A774" s="9" t="str">
        <x:v>QA-RGE-049</x:v>
      </x:c>
      <x:c r="B774" s="9" t="str">
        <x:v>RGE</x:v>
      </x:c>
      <x:c r="C774" s="9" t="str">
        <x:v>Control y emisión en curso bloquean edición</x:v>
      </x:c>
      <x:c r="D774" s="9" t="str">
        <x:v>P0</x:v>
      </x:c>
      <x:c r="E774" s="9" t="str">
        <x:v>Negativa</x:v>
      </x:c>
      <x:c r="F774" s="9" t="str">
        <x:v>Navegador + HTTP + persistencia; proveedor doble salvo variante Real DEMO explícita</x:v>
      </x:c>
      <x:c r="G774" s="20" t="str">
        <x:v>Pendiente</x:v>
      </x:c>
      <x:c r="H774" s="20" t="str"/>
      <x:c r="I774" s="20" t="str"/>
      <x:c r="J774" s="20" t="str"/>
      <x:c r="K774" s="20" t="str"/>
      <x:c r="L774" s="21" t="str"/>
      <x:c r="M774" s="22" t="str"/>
      <x:c r="N774" s="20" t="str"/>
    </x:row>
    <x:row r="775" ht="48" customHeight="1">
      <x:c r="A775" s="9" t="str">
        <x:v>QA-RGE-050</x:v>
      </x:c>
      <x:c r="B775" s="9" t="str">
        <x:v>RGE</x:v>
      </x:c>
      <x:c r="C775" s="9" t="str">
        <x:v>Detalle listado ticket y originales</x:v>
      </x:c>
      <x:c r="D775" s="9" t="str">
        <x:v>P0</x:v>
      </x:c>
      <x:c r="E775" s="9" t="str">
        <x:v>Positiva</x:v>
      </x:c>
      <x:c r="F775" s="9" t="str">
        <x:v>Navegador + HTTP + persistencia; proveedor doble salvo variante Real DEMO explícita</x:v>
      </x:c>
      <x:c r="G775" s="20" t="str">
        <x:v>Pendiente</x:v>
      </x:c>
      <x:c r="H775" s="20" t="str"/>
      <x:c r="I775" s="20" t="str"/>
      <x:c r="J775" s="20" t="str"/>
      <x:c r="K775" s="20" t="str"/>
      <x:c r="L775" s="21" t="str"/>
      <x:c r="M775" s="22" t="str"/>
      <x:c r="N775" s="20" t="str"/>
    </x:row>
    <x:row r="776" ht="48" customHeight="1">
      <x:c r="A776" s="9" t="str">
        <x:v>QA-RGE-051</x:v>
      </x:c>
      <x:c r="B776" s="9" t="str">
        <x:v>RGE</x:v>
      </x:c>
      <x:c r="C776" s="9" t="str">
        <x:v>Congelación ante cambio posterior del catálogo</x:v>
      </x:c>
      <x:c r="D776" s="9" t="str">
        <x:v>P0</x:v>
      </x:c>
      <x:c r="E776" s="9" t="str">
        <x:v>Negativa</x:v>
      </x:c>
      <x:c r="F776" s="9" t="str">
        <x:v>Navegador + HTTP + persistencia; proveedor doble salvo variante Real DEMO explícita</x:v>
      </x:c>
      <x:c r="G776" s="20" t="str">
        <x:v>Pendiente</x:v>
      </x:c>
      <x:c r="H776" s="20" t="str"/>
      <x:c r="I776" s="20" t="str"/>
      <x:c r="J776" s="20" t="str"/>
      <x:c r="K776" s="20" t="str"/>
      <x:c r="L776" s="21" t="str"/>
      <x:c r="M776" s="22" t="str"/>
      <x:c r="N776" s="20" t="str"/>
    </x:row>
    <x:row r="777" ht="48" customHeight="1">
      <x:c r="A777" s="9" t="str">
        <x:v>QA-RGE-052</x:v>
      </x:c>
      <x:c r="B777" s="9" t="str">
        <x:v>RGE</x:v>
      </x:c>
      <x:c r="C777" s="9" t="str">
        <x:v>Regímenes no habilitados desde POS</x:v>
      </x:c>
      <x:c r="D777" s="9" t="str">
        <x:v>P0</x:v>
      </x:c>
      <x:c r="E777" s="9" t="str">
        <x:v>Negativa</x:v>
      </x:c>
      <x:c r="F777" s="9" t="str">
        <x:v>Navegador + HTTP + persistencia; proveedor doble salvo variante Real DEMO explícita</x:v>
      </x:c>
      <x:c r="G777" s="20" t="str">
        <x:v>Pendiente</x:v>
      </x:c>
      <x:c r="H777" s="20" t="str"/>
      <x:c r="I777" s="20" t="str"/>
      <x:c r="J777" s="20" t="str"/>
      <x:c r="K777" s="20" t="str"/>
      <x:c r="L777" s="21" t="str"/>
      <x:c r="M777" s="22" t="str"/>
      <x:c r="N777" s="20" t="str"/>
    </x:row>
    <x:row r="778" ht="48" customHeight="1">
      <x:c r="A778" s="9" t="str">
        <x:v>QA-RGE-053</x:v>
      </x:c>
      <x:c r="B778" s="9" t="str">
        <x:v>RGE</x:v>
      </x:c>
      <x:c r="C778" s="9" t="str">
        <x:v>Regímenes no habilitados desde Garage/Vende Ya</x:v>
      </x:c>
      <x:c r="D778" s="9" t="str">
        <x:v>P0</x:v>
      </x:c>
      <x:c r="E778" s="9" t="str">
        <x:v>Negativa</x:v>
      </x:c>
      <x:c r="F778" s="9" t="str">
        <x:v>Navegador + HTTP + persistencia; proveedor doble salvo variante Real DEMO explícita</x:v>
      </x:c>
      <x:c r="G778" s="20" t="str">
        <x:v>Pendiente</x:v>
      </x:c>
      <x:c r="H778" s="20" t="str"/>
      <x:c r="I778" s="20" t="str"/>
      <x:c r="J778" s="20" t="str"/>
      <x:c r="K778" s="20" t="str"/>
      <x:c r="L778" s="21" t="str"/>
      <x:c r="M778" s="22" t="str"/>
      <x:c r="N778" s="20" t="str"/>
    </x:row>
    <x:row r="779" ht="48" customHeight="1">
      <x:c r="A779" s="9" t="str">
        <x:v>QA-RGE-054</x:v>
      </x:c>
      <x:c r="B779" s="9" t="str">
        <x:v>RGE</x:v>
      </x:c>
      <x:c r="C779" s="9" t="str">
        <x:v>Regímenes no habilitados desde API</x:v>
      </x:c>
      <x:c r="D779" s="9" t="str">
        <x:v>P0</x:v>
      </x:c>
      <x:c r="E779" s="9" t="str">
        <x:v>Negativa</x:v>
      </x:c>
      <x:c r="F779" s="9" t="str">
        <x:v>Navegador + HTTP + persistencia; proveedor doble salvo variante Real DEMO explícita</x:v>
      </x:c>
      <x:c r="G779" s="20" t="str">
        <x:v>Pendiente</x:v>
      </x:c>
      <x:c r="H779" s="20" t="str"/>
      <x:c r="I779" s="20" t="str"/>
      <x:c r="J779" s="20" t="str"/>
      <x:c r="K779" s="20" t="str"/>
      <x:c r="L779" s="21" t="str"/>
      <x:c r="M779" s="22" t="str"/>
      <x:c r="N779" s="20" t="str"/>
    </x:row>
    <x:row r="780" ht="48" customHeight="1">
      <x:c r="A780" s="9" t="str">
        <x:v>QA-RGE-055</x:v>
      </x:c>
      <x:c r="B780" s="9" t="str">
        <x:v>RGE</x:v>
      </x:c>
      <x:c r="C780" s="9" t="str">
        <x:v>Regímenes no habilitados desde Hotel</x:v>
      </x:c>
      <x:c r="D780" s="9" t="str">
        <x:v>P0</x:v>
      </x:c>
      <x:c r="E780" s="9" t="str">
        <x:v>Negativa</x:v>
      </x:c>
      <x:c r="F780" s="9" t="str">
        <x:v>Navegador + HTTP + persistencia; proveedor doble salvo variante Real DEMO explícita</x:v>
      </x:c>
      <x:c r="G780" s="20" t="str">
        <x:v>Pendiente</x:v>
      </x:c>
      <x:c r="H780" s="20" t="str"/>
      <x:c r="I780" s="20" t="str"/>
      <x:c r="J780" s="20" t="str"/>
      <x:c r="K780" s="20" t="str"/>
      <x:c r="L780" s="21" t="str"/>
      <x:c r="M780" s="22" t="str"/>
      <x:c r="N780" s="20" t="str"/>
    </x:row>
    <x:row r="781" ht="48" customHeight="1">
      <x:c r="A781" s="9" t="str">
        <x:v>QA-RGE-056</x:v>
      </x:c>
      <x:c r="B781" s="9" t="str">
        <x:v>RGE</x:v>
      </x:c>
      <x:c r="C781" s="9" t="str">
        <x:v>Regímenes no habilitados desde Servicio técnico</x:v>
      </x:c>
      <x:c r="D781" s="9" t="str">
        <x:v>P0</x:v>
      </x:c>
      <x:c r="E781" s="9" t="str">
        <x:v>Negativa</x:v>
      </x:c>
      <x:c r="F781" s="9" t="str">
        <x:v>Navegador + HTTP + persistencia; proveedor doble salvo variante Real DEMO explícita</x:v>
      </x:c>
      <x:c r="G781" s="20" t="str">
        <x:v>Pendiente</x:v>
      </x:c>
      <x:c r="H781" s="20" t="str"/>
      <x:c r="I781" s="20" t="str"/>
      <x:c r="J781" s="20" t="str"/>
      <x:c r="K781" s="20" t="str"/>
      <x:c r="L781" s="21" t="str"/>
      <x:c r="M781" s="22" t="str"/>
      <x:c r="N781" s="20" t="str"/>
    </x:row>
    <x:row r="782" ht="48" customHeight="1">
      <x:c r="A782" s="9" t="str">
        <x:v>QA-RGE-057</x:v>
      </x:c>
      <x:c r="B782" s="9" t="str">
        <x:v>RGE</x:v>
      </x:c>
      <x:c r="C782" s="9" t="str">
        <x:v>Regímenes no habilitados desde Suscripciones</x:v>
      </x:c>
      <x:c r="D782" s="9" t="str">
        <x:v>P0</x:v>
      </x:c>
      <x:c r="E782" s="9" t="str">
        <x:v>Negativa</x:v>
      </x:c>
      <x:c r="F782" s="9" t="str">
        <x:v>Navegador + HTTP + persistencia; proveedor doble salvo variante Real DEMO explícita</x:v>
      </x:c>
      <x:c r="G782" s="20" t="str">
        <x:v>Pendiente</x:v>
      </x:c>
      <x:c r="H782" s="20" t="str"/>
      <x:c r="I782" s="20" t="str"/>
      <x:c r="J782" s="20" t="str"/>
      <x:c r="K782" s="20" t="str"/>
      <x:c r="L782" s="21" t="str"/>
      <x:c r="M782" s="22" t="str"/>
      <x:c r="N782" s="20" t="str"/>
    </x:row>
    <x:row r="783" ht="48" customHeight="1">
      <x:c r="A783" s="9" t="str">
        <x:v>QA-RGE-058</x:v>
      </x:c>
      <x:c r="B783" s="9" t="str">
        <x:v>RGE</x:v>
      </x:c>
      <x:c r="C783" s="9" t="str">
        <x:v>Regímenes no habilitados desde Restaurante</x:v>
      </x:c>
      <x:c r="D783" s="9" t="str">
        <x:v>P0</x:v>
      </x:c>
      <x:c r="E783" s="9" t="str">
        <x:v>Negativa</x:v>
      </x:c>
      <x:c r="F783" s="9" t="str">
        <x:v>Navegador + HTTP + persistencia; proveedor doble salvo variante Real DEMO explícita</x:v>
      </x:c>
      <x:c r="G783" s="20" t="str">
        <x:v>Pendiente</x:v>
      </x:c>
      <x:c r="H783" s="20" t="str"/>
      <x:c r="I783" s="20" t="str"/>
      <x:c r="J783" s="20" t="str"/>
      <x:c r="K783" s="20" t="str"/>
      <x:c r="L783" s="21" t="str"/>
      <x:c r="M783" s="22" t="str"/>
      <x:c r="N783" s="20" t="str"/>
    </x:row>
    <x:row r="784" ht="48" customHeight="1">
      <x:c r="A784" s="9" t="str">
        <x:v>QA-RGE-059</x:v>
      </x:c>
      <x:c r="B784" s="9" t="str">
        <x:v>RGE</x:v>
      </x:c>
      <x:c r="C784" s="9" t="str">
        <x:v>Regímenes no habilitados desde Importación/masiva</x:v>
      </x:c>
      <x:c r="D784" s="9" t="str">
        <x:v>P0</x:v>
      </x:c>
      <x:c r="E784" s="9" t="str">
        <x:v>Negativa</x:v>
      </x:c>
      <x:c r="F784" s="9" t="str">
        <x:v>Navegador + HTTP + persistencia; proveedor doble salvo variante Real DEMO explícita</x:v>
      </x:c>
      <x:c r="G784" s="20" t="str">
        <x:v>Pendiente</x:v>
      </x:c>
      <x:c r="H784" s="20" t="str"/>
      <x:c r="I784" s="20" t="str"/>
      <x:c r="J784" s="20" t="str"/>
      <x:c r="K784" s="20" t="str"/>
      <x:c r="L784" s="21" t="str"/>
      <x:c r="M784" s="22" t="str"/>
      <x:c r="N784" s="20" t="str"/>
    </x:row>
    <x:row r="785" ht="48" customHeight="1">
      <x:c r="A785" s="9" t="str">
        <x:v>QA-SPE-001</x:v>
      </x:c>
      <x:c r="B785" s="9" t="str">
        <x:v>SPE</x:v>
      </x:c>
      <x:c r="C785" s="9" t="str">
        <x:v>Crear perfil de empresa</x:v>
      </x:c>
      <x:c r="D785" s="9" t="str">
        <x:v>P0</x:v>
      </x:c>
      <x:c r="E785" s="9" t="str">
        <x:v>Positiva</x:v>
      </x:c>
      <x:c r="F785" s="9" t="str">
        <x:v>Navegador + HTTP + persistencia; proveedor doble salvo variante Real DEMO explícita</x:v>
      </x:c>
      <x:c r="G785" s="20" t="str">
        <x:v>Pendiente</x:v>
      </x:c>
      <x:c r="H785" s="20" t="str"/>
      <x:c r="I785" s="20" t="str"/>
      <x:c r="J785" s="20" t="str"/>
      <x:c r="K785" s="20" t="str"/>
      <x:c r="L785" s="21" t="str"/>
      <x:c r="M785" s="22" t="str"/>
      <x:c r="N785" s="20" t="str"/>
    </x:row>
    <x:row r="786" ht="48" customHeight="1">
      <x:c r="A786" s="9" t="str">
        <x:v>QA-SPE-002</x:v>
      </x:c>
      <x:c r="B786" s="9" t="str">
        <x:v>SPE</x:v>
      </x:c>
      <x:c r="C786" s="9" t="str">
        <x:v>Crear perfil de comprador con cédula separada</x:v>
      </x:c>
      <x:c r="D786" s="9" t="str">
        <x:v>P0</x:v>
      </x:c>
      <x:c r="E786" s="9" t="str">
        <x:v>Positiva</x:v>
      </x:c>
      <x:c r="F786" s="9" t="str">
        <x:v>Navegador + HTTP + persistencia; proveedor doble salvo variante Real DEMO explícita</x:v>
      </x:c>
      <x:c r="G786" s="20" t="str">
        <x:v>Pendiente</x:v>
      </x:c>
      <x:c r="H786" s="20" t="str"/>
      <x:c r="I786" s="20" t="str"/>
      <x:c r="J786" s="20" t="str"/>
      <x:c r="K786" s="20" t="str"/>
      <x:c r="L786" s="21" t="str"/>
      <x:c r="M786" s="22" t="str"/>
      <x:c r="N786" s="20" t="str"/>
    </x:row>
    <x:row r="787" ht="48" customHeight="1">
      <x:c r="A787" s="9" t="str">
        <x:v>QA-SPE-003</x:v>
      </x:c>
      <x:c r="B787" s="9" t="str">
        <x:v>SPE</x:v>
      </x:c>
      <x:c r="C787" s="9" t="str">
        <x:v>Historial y selección por vigencia</x:v>
      </x:c>
      <x:c r="D787" s="9" t="str">
        <x:v>P0</x:v>
      </x:c>
      <x:c r="E787" s="9" t="str">
        <x:v>Positiva</x:v>
      </x:c>
      <x:c r="F787" s="9" t="str">
        <x:v>Navegador + HTTP + persistencia; proveedor doble salvo variante Real DEMO explícita</x:v>
      </x:c>
      <x:c r="G787" s="20" t="str">
        <x:v>Pendiente</x:v>
      </x:c>
      <x:c r="H787" s="20" t="str"/>
      <x:c r="I787" s="20" t="str"/>
      <x:c r="J787" s="20" t="str"/>
      <x:c r="K787" s="20" t="str"/>
      <x:c r="L787" s="21" t="str"/>
      <x:c r="M787" s="22" t="str"/>
      <x:c r="N787" s="20" t="str"/>
    </x:row>
    <x:row r="788" ht="48" customHeight="1">
      <x:c r="A788" s="9" t="str">
        <x:v>QA-SPE-004</x:v>
      </x:c>
      <x:c r="B788" s="9" t="str">
        <x:v>SPE</x:v>
      </x:c>
      <x:c r="C788" s="9" t="str">
        <x:v>Empate de fecha entre versiones</x:v>
      </x:c>
      <x:c r="D788" s="9" t="str">
        <x:v>P0</x:v>
      </x:c>
      <x:c r="E788" s="9" t="str">
        <x:v>Positiva</x:v>
      </x:c>
      <x:c r="F788" s="9" t="str">
        <x:v>Navegador + HTTP + persistencia; proveedor doble salvo variante Real DEMO explícita</x:v>
      </x:c>
      <x:c r="G788" s="20" t="str">
        <x:v>Pendiente</x:v>
      </x:c>
      <x:c r="H788" s="20" t="str"/>
      <x:c r="I788" s="20" t="str"/>
      <x:c r="J788" s="20" t="str"/>
      <x:c r="K788" s="20" t="str"/>
      <x:c r="L788" s="21" t="str"/>
      <x:c r="M788" s="22" t="str"/>
      <x:c r="N788" s="20" t="str"/>
    </x:row>
    <x:row r="789" ht="48" customHeight="1">
      <x:c r="A789" s="9" t="str">
        <x:v>QA-SPE-005</x:v>
      </x:c>
      <x:c r="B789" s="9" t="str">
        <x:v>SPE</x:v>
      </x:c>
      <x:c r="C789" s="9" t="str">
        <x:v>Sin versión vigente</x:v>
      </x:c>
      <x:c r="D789" s="9" t="str">
        <x:v>P0</x:v>
      </x:c>
      <x:c r="E789" s="9" t="str">
        <x:v>Positiva</x:v>
      </x:c>
      <x:c r="F789" s="9" t="str">
        <x:v>Navegador + HTTP + persistencia; proveedor doble salvo variante Real DEMO explícita</x:v>
      </x:c>
      <x:c r="G789" s="20" t="str">
        <x:v>Pendiente</x:v>
      </x:c>
      <x:c r="H789" s="20" t="str"/>
      <x:c r="I789" s="20" t="str"/>
      <x:c r="J789" s="20" t="str"/>
      <x:c r="K789" s="20" t="str"/>
      <x:c r="L789" s="21" t="str"/>
      <x:c r="M789" s="22" t="str"/>
      <x:c r="N789" s="20" t="str"/>
    </x:row>
    <x:row r="790" ht="48" customHeight="1">
      <x:c r="A790" s="9" t="str">
        <x:v>QA-SPE-006</x:v>
      </x:c>
      <x:c r="B790" s="9" t="str">
        <x:v>SPE</x:v>
      </x:c>
      <x:c r="C790" s="9" t="str">
        <x:v>Fin de vigencia inclusive</x:v>
      </x:c>
      <x:c r="D790" s="9" t="str">
        <x:v>P0</x:v>
      </x:c>
      <x:c r="E790" s="9" t="str">
        <x:v>Positiva</x:v>
      </x:c>
      <x:c r="F790" s="9" t="str">
        <x:v>Navegador + HTTP + persistencia; proveedor doble salvo variante Real DEMO explícita</x:v>
      </x:c>
      <x:c r="G790" s="20" t="str">
        <x:v>Pendiente</x:v>
      </x:c>
      <x:c r="H790" s="20" t="str"/>
      <x:c r="I790" s="20" t="str"/>
      <x:c r="J790" s="20" t="str"/>
      <x:c r="K790" s="20" t="str"/>
      <x:c r="L790" s="21" t="str"/>
      <x:c r="M790" s="22" t="str"/>
      <x:c r="N790" s="20" t="str"/>
    </x:row>
    <x:row r="791" ht="48" customHeight="1">
      <x:c r="A791" s="9" t="str">
        <x:v>QA-SPE-007</x:v>
      </x:c>
      <x:c r="B791" s="9" t="str">
        <x:v>SPE</x:v>
      </x:c>
      <x:c r="C791" s="9" t="str">
        <x:v>Revocación SPE desde fecha</x:v>
      </x:c>
      <x:c r="D791" s="9" t="str">
        <x:v>P0</x:v>
      </x:c>
      <x:c r="E791" s="9" t="str">
        <x:v>Positiva</x:v>
      </x:c>
      <x:c r="F791" s="9" t="str">
        <x:v>Navegador + HTTP + persistencia; proveedor doble salvo variante Real DEMO explícita</x:v>
      </x:c>
      <x:c r="G791" s="20" t="str">
        <x:v>Pendiente</x:v>
      </x:c>
      <x:c r="H791" s="20" t="str"/>
      <x:c r="I791" s="20" t="str"/>
      <x:c r="J791" s="20" t="str"/>
      <x:c r="K791" s="20" t="str"/>
      <x:c r="L791" s="21" t="str"/>
      <x:c r="M791" s="22" t="str"/>
      <x:c r="N791" s="20" t="str"/>
    </x:row>
    <x:row r="792" ht="48" customHeight="1">
      <x:c r="A792" s="9" t="str">
        <x:v>QA-SPE-008</x:v>
      </x:c>
      <x:c r="B792" s="9" t="str">
        <x:v>SPE</x:v>
      </x:c>
      <x:c r="C792" s="9" t="str">
        <x:v>SPE sin notificación suficiente</x:v>
      </x:c>
      <x:c r="D792" s="9" t="str">
        <x:v>P0</x:v>
      </x:c>
      <x:c r="E792" s="9" t="str">
        <x:v>Positiva</x:v>
      </x:c>
      <x:c r="F792" s="9" t="str">
        <x:v>Navegador + HTTP + persistencia; proveedor doble salvo variante Real DEMO explícita</x:v>
      </x:c>
      <x:c r="G792" s="20" t="str">
        <x:v>Pendiente</x:v>
      </x:c>
      <x:c r="H792" s="20" t="str"/>
      <x:c r="I792" s="20" t="str"/>
      <x:c r="J792" s="20" t="str"/>
      <x:c r="K792" s="20" t="str"/>
      <x:c r="L792" s="21" t="str"/>
      <x:c r="M792" s="22" t="str"/>
      <x:c r="N792" s="20" t="str"/>
    </x:row>
    <x:row r="793" ht="48" customHeight="1">
      <x:c r="A793" s="9" t="str">
        <x:v>QA-SPE-009</x:v>
      </x:c>
      <x:c r="B793" s="9" t="str">
        <x:v>SPE</x:v>
      </x:c>
      <x:c r="C793" s="9" t="str">
        <x:v>Vigencia inválida</x:v>
      </x:c>
      <x:c r="D793" s="9" t="str">
        <x:v>P0</x:v>
      </x:c>
      <x:c r="E793" s="9" t="str">
        <x:v>Positiva</x:v>
      </x:c>
      <x:c r="F793" s="9" t="str">
        <x:v>Navegador + HTTP + persistencia; proveedor doble salvo variante Real DEMO explícita</x:v>
      </x:c>
      <x:c r="G793" s="20" t="str">
        <x:v>Pendiente</x:v>
      </x:c>
      <x:c r="H793" s="20" t="str"/>
      <x:c r="I793" s="20" t="str"/>
      <x:c r="J793" s="20" t="str"/>
      <x:c r="K793" s="20" t="str"/>
      <x:c r="L793" s="21" t="str"/>
      <x:c r="M793" s="22" t="str"/>
      <x:c r="N793" s="20" t="str"/>
    </x:row>
    <x:row r="794" ht="48" customHeight="1">
      <x:c r="A794" s="9" t="str">
        <x:v>QA-SPE-010</x:v>
      </x:c>
      <x:c r="B794" s="9" t="str">
        <x:v>SPE</x:v>
      </x:c>
      <x:c r="C794" s="9" t="str">
        <x:v>RIF formato y naturaleza</x:v>
      </x:c>
      <x:c r="D794" s="9" t="str">
        <x:v>P0</x:v>
      </x:c>
      <x:c r="E794" s="9" t="str">
        <x:v>Positiva</x:v>
      </x:c>
      <x:c r="F794" s="9" t="str">
        <x:v>Navegador + HTTP + persistencia; proveedor doble salvo variante Real DEMO explícita</x:v>
      </x:c>
      <x:c r="G794" s="20" t="str">
        <x:v>Pendiente</x:v>
      </x:c>
      <x:c r="H794" s="20" t="str"/>
      <x:c r="I794" s="20" t="str"/>
      <x:c r="J794" s="20" t="str"/>
      <x:c r="K794" s="20" t="str"/>
      <x:c r="L794" s="21" t="str"/>
      <x:c r="M794" s="22" t="str"/>
      <x:c r="N794" s="20" t="str"/>
    </x:row>
    <x:row r="795" ht="48" customHeight="1">
      <x:c r="A795" s="9" t="str">
        <x:v>QA-SPE-011</x:v>
      </x:c>
      <x:c r="B795" s="9" t="str">
        <x:v>SPE</x:v>
      </x:c>
      <x:c r="C795" s="9" t="str">
        <x:v>Firma personal sólo natural</x:v>
      </x:c>
      <x:c r="D795" s="9" t="str">
        <x:v>P0</x:v>
      </x:c>
      <x:c r="E795" s="9" t="str">
        <x:v>Positiva</x:v>
      </x:c>
      <x:c r="F795" s="9" t="str">
        <x:v>Navegador + HTTP + persistencia; proveedor doble salvo variante Real DEMO explícita</x:v>
      </x:c>
      <x:c r="G795" s="20" t="str">
        <x:v>Pendiente</x:v>
      </x:c>
      <x:c r="H795" s="20" t="str"/>
      <x:c r="I795" s="20" t="str"/>
      <x:c r="J795" s="20" t="str"/>
      <x:c r="K795" s="20" t="str"/>
      <x:c r="L795" s="21" t="str"/>
      <x:c r="M795" s="22" t="str"/>
      <x:c r="N795" s="20" t="str"/>
    </x:row>
    <x:row r="796" ht="48" customHeight="1">
      <x:c r="A796" s="9" t="str">
        <x:v>QA-SPE-012</x:v>
      </x:c>
      <x:c r="B796" s="9" t="str">
        <x:v>SPE</x:v>
      </x:c>
      <x:c r="C796" s="9" t="str">
        <x:v>Clase pública requerida y exclusiva</x:v>
      </x:c>
      <x:c r="D796" s="9" t="str">
        <x:v>P0</x:v>
      </x:c>
      <x:c r="E796" s="9" t="str">
        <x:v>Positiva</x:v>
      </x:c>
      <x:c r="F796" s="9" t="str">
        <x:v>Navegador + HTTP + persistencia; proveedor doble salvo variante Real DEMO explícita</x:v>
      </x:c>
      <x:c r="G796" s="20" t="str">
        <x:v>Pendiente</x:v>
      </x:c>
      <x:c r="H796" s="20" t="str"/>
      <x:c r="I796" s="20" t="str"/>
      <x:c r="J796" s="20" t="str"/>
      <x:c r="K796" s="20" t="str"/>
      <x:c r="L796" s="21" t="str"/>
      <x:c r="M796" s="22" t="str"/>
      <x:c r="N796" s="20" t="str"/>
    </x:row>
    <x:row r="797" ht="48" customHeight="1">
      <x:c r="A797" s="9" t="str">
        <x:v>QA-SPE-013</x:v>
      </x:c>
      <x:c r="B797" s="9" t="str">
        <x:v>SPE</x:v>
      </x:c>
      <x:c r="C797" s="9" t="str">
        <x:v>Emisor RIF y actividad</x:v>
      </x:c>
      <x:c r="D797" s="9" t="str">
        <x:v>P0</x:v>
      </x:c>
      <x:c r="E797" s="9" t="str">
        <x:v>Positiva</x:v>
      </x:c>
      <x:c r="F797" s="9" t="str">
        <x:v>Navegador + HTTP + persistencia; proveedor doble salvo variante Real DEMO explícita</x:v>
      </x:c>
      <x:c r="G797" s="20" t="str">
        <x:v>Pendiente</x:v>
      </x:c>
      <x:c r="H797" s="20" t="str"/>
      <x:c r="I797" s="20" t="str"/>
      <x:c r="J797" s="20" t="str"/>
      <x:c r="K797" s="20" t="str"/>
      <x:c r="L797" s="21" t="str"/>
      <x:c r="M797" s="22" t="str"/>
      <x:c r="N797" s="20" t="str"/>
    </x:row>
    <x:row r="798" ht="48" customHeight="1">
      <x:c r="A798" s="9" t="str">
        <x:v>QA-SPE-014</x:v>
      </x:c>
      <x:c r="B798" s="9" t="str">
        <x:v>SPE</x:v>
      </x:c>
      <x:c r="C798" s="9" t="str">
        <x:v>Proveedor fuera del endpoint</x:v>
      </x:c>
      <x:c r="D798" s="9" t="str">
        <x:v>P0</x:v>
      </x:c>
      <x:c r="E798" s="9" t="str">
        <x:v>Positiva</x:v>
      </x:c>
      <x:c r="F798" s="9" t="str">
        <x:v>Navegador + HTTP + persistencia; proveedor doble salvo variante Real DEMO explícita</x:v>
      </x:c>
      <x:c r="G798" s="20" t="str">
        <x:v>Pendiente</x:v>
      </x:c>
      <x:c r="H798" s="20" t="str"/>
      <x:c r="I798" s="20" t="str"/>
      <x:c r="J798" s="20" t="str"/>
      <x:c r="K798" s="20" t="str"/>
      <x:c r="L798" s="21" t="str"/>
      <x:c r="M798" s="22" t="str"/>
      <x:c r="N798" s="20" t="str"/>
    </x:row>
    <x:row r="799" ht="48" customHeight="1">
      <x:c r="A799" s="9" t="str">
        <x:v>QA-SPE-015</x:v>
      </x:c>
      <x:c r="B799" s="9" t="str">
        <x:v>SPE</x:v>
      </x:c>
      <x:c r="C799" s="9" t="str">
        <x:v>Editor fiscal sólo administrador</x:v>
      </x:c>
      <x:c r="D799" s="9" t="str">
        <x:v>P0</x:v>
      </x:c>
      <x:c r="E799" s="9" t="str">
        <x:v>Positiva</x:v>
      </x:c>
      <x:c r="F799" s="9" t="str">
        <x:v>Navegador + HTTP + persistencia; proveedor doble salvo variante Real DEMO explícita</x:v>
      </x:c>
      <x:c r="G799" s="20" t="str">
        <x:v>Pendiente</x:v>
      </x:c>
      <x:c r="H799" s="20" t="str"/>
      <x:c r="I799" s="20" t="str"/>
      <x:c r="J799" s="20" t="str"/>
      <x:c r="K799" s="20" t="str"/>
      <x:c r="L799" s="21" t="str"/>
      <x:c r="M799" s="22" t="str"/>
      <x:c r="N799" s="20" t="str"/>
    </x:row>
    <x:row r="800" ht="48" customHeight="1">
      <x:c r="A800" s="9" t="str">
        <x:v>QA-SPE-016</x:v>
      </x:c>
      <x:c r="B800" s="9" t="str">
        <x:v>SPE</x:v>
      </x:c>
      <x:c r="C800" s="9" t="str">
        <x:v>Ruta general no escribe perfil</x:v>
      </x:c>
      <x:c r="D800" s="9" t="str">
        <x:v>P0</x:v>
      </x:c>
      <x:c r="E800" s="9" t="str">
        <x:v>Positiva</x:v>
      </x:c>
      <x:c r="F800" s="9" t="str">
        <x:v>Navegador + HTTP + persistencia; proveedor doble salvo variante Real DEMO explícita</x:v>
      </x:c>
      <x:c r="G800" s="20" t="str">
        <x:v>Pendiente</x:v>
      </x:c>
      <x:c r="H800" s="20" t="str"/>
      <x:c r="I800" s="20" t="str"/>
      <x:c r="J800" s="20" t="str"/>
      <x:c r="K800" s="20" t="str"/>
      <x:c r="L800" s="21" t="str"/>
      <x:c r="M800" s="22" t="str"/>
      <x:c r="N800" s="20" t="str"/>
    </x:row>
    <x:row r="801" ht="48" customHeight="1">
      <x:c r="A801" s="9" t="str">
        <x:v>QA-SPE-017</x:v>
      </x:c>
      <x:c r="B801" s="9" t="str">
        <x:v>SPE</x:v>
      </x:c>
      <x:c r="C801" s="9" t="str">
        <x:v>Sin tabla de versiones</x:v>
      </x:c>
      <x:c r="D801" s="9" t="str">
        <x:v>P0</x:v>
      </x:c>
      <x:c r="E801" s="9" t="str">
        <x:v>Positiva</x:v>
      </x:c>
      <x:c r="F801" s="9" t="str">
        <x:v>Navegador + HTTP + persistencia; proveedor doble salvo variante Real DEMO explícita</x:v>
      </x:c>
      <x:c r="G801" s="20" t="str">
        <x:v>Pendiente</x:v>
      </x:c>
      <x:c r="H801" s="20" t="str"/>
      <x:c r="I801" s="20" t="str"/>
      <x:c r="J801" s="20" t="str"/>
      <x:c r="K801" s="20" t="str"/>
      <x:c r="L801" s="21" t="str"/>
      <x:c r="M801" s="22" t="str"/>
      <x:c r="N801" s="20" t="str"/>
    </x:row>
    <x:row r="802" ht="48" customHeight="1">
      <x:c r="A802" s="9" t="str">
        <x:v>QA-SPE-018</x:v>
      </x:c>
      <x:c r="B802" s="9" t="str">
        <x:v>SPE</x:v>
      </x:c>
      <x:c r="C802" s="9" t="str">
        <x:v>Facultades IVA e ISLR independientes</x:v>
      </x:c>
      <x:c r="D802" s="9" t="str">
        <x:v>P0</x:v>
      </x:c>
      <x:c r="E802" s="9" t="str">
        <x:v>Positiva</x:v>
      </x:c>
      <x:c r="F802" s="9" t="str">
        <x:v>Navegador + HTTP + persistencia; proveedor doble salvo variante Real DEMO explícita</x:v>
      </x:c>
      <x:c r="G802" s="20" t="str">
        <x:v>Pendiente</x:v>
      </x:c>
      <x:c r="H802" s="20" t="str"/>
      <x:c r="I802" s="20" t="str"/>
      <x:c r="J802" s="20" t="str"/>
      <x:c r="K802" s="20" t="str"/>
      <x:c r="L802" s="21" t="str"/>
      <x:c r="M802" s="22" t="str"/>
      <x:c r="N802" s="20" t="str"/>
    </x:row>
    <x:row r="803" ht="48" customHeight="1">
      <x:c r="A803" s="9" t="str">
        <x:v>QA-SPE-019</x:v>
      </x:c>
      <x:c r="B803" s="9" t="str">
        <x:v>SPE</x:v>
      </x:c>
      <x:c r="C803" s="9" t="str">
        <x:v>ISLR necesita fundamento independiente</x:v>
      </x:c>
      <x:c r="D803" s="9" t="str">
        <x:v>P0</x:v>
      </x:c>
      <x:c r="E803" s="9" t="str">
        <x:v>Positiva</x:v>
      </x:c>
      <x:c r="F803" s="9" t="str">
        <x:v>Navegador + HTTP + persistencia; proveedor doble salvo variante Real DEMO explícita</x:v>
      </x:c>
      <x:c r="G803" s="20" t="str">
        <x:v>Pendiente</x:v>
      </x:c>
      <x:c r="H803" s="20" t="str"/>
      <x:c r="I803" s="20" t="str"/>
      <x:c r="J803" s="20" t="str"/>
      <x:c r="K803" s="20" t="str"/>
      <x:c r="L803" s="21" t="str"/>
      <x:c r="M803" s="22" t="str"/>
      <x:c r="N803" s="20" t="str"/>
    </x:row>
    <x:row r="804" ht="48" customHeight="1">
      <x:c r="A804" s="9" t="str">
        <x:v>QA-SPE-020</x:v>
      </x:c>
      <x:c r="B804" s="9" t="str">
        <x:v>SPE</x:v>
      </x:c>
      <x:c r="C804" s="9" t="str">
        <x:v>Agente IVA general inválido</x:v>
      </x:c>
      <x:c r="D804" s="9" t="str">
        <x:v>P0</x:v>
      </x:c>
      <x:c r="E804" s="9" t="str">
        <x:v>Positiva</x:v>
      </x:c>
      <x:c r="F804" s="9" t="str">
        <x:v>Navegador + HTTP + persistencia; proveedor doble salvo variante Real DEMO explícita</x:v>
      </x:c>
      <x:c r="G804" s="20" t="str">
        <x:v>Pendiente</x:v>
      </x:c>
      <x:c r="H804" s="20" t="str"/>
      <x:c r="I804" s="20" t="str"/>
      <x:c r="J804" s="20" t="str"/>
      <x:c r="K804" s="20" t="str"/>
      <x:c r="L804" s="21" t="str"/>
      <x:c r="M804" s="22" t="str"/>
      <x:c r="N804" s="20" t="str"/>
    </x:row>
    <x:row r="805" ht="48" customHeight="1">
      <x:c r="A805" s="9" t="str">
        <x:v>QA-SPE-021</x:v>
      </x:c>
      <x:c r="B805" s="9" t="str">
        <x:v>SPE</x:v>
      </x:c>
      <x:c r="C805" s="9" t="str">
        <x:v>Agente público sin evidencia</x:v>
      </x:c>
      <x:c r="D805" s="9" t="str">
        <x:v>P0</x:v>
      </x:c>
      <x:c r="E805" s="9" t="str">
        <x:v>Positiva</x:v>
      </x:c>
      <x:c r="F805" s="9" t="str">
        <x:v>Navegador + HTTP + persistencia; proveedor doble salvo variante Real DEMO explícita</x:v>
      </x:c>
      <x:c r="G805" s="20" t="str">
        <x:v>Pendiente</x:v>
      </x:c>
      <x:c r="H805" s="20" t="str"/>
      <x:c r="I805" s="20" t="str"/>
      <x:c r="J805" s="20" t="str"/>
      <x:c r="K805" s="20" t="str"/>
      <x:c r="L805" s="21" t="str"/>
      <x:c r="M805" s="22" t="str"/>
      <x:c r="N805" s="20" t="str"/>
    </x:row>
    <x:row r="806" ht="48" customHeight="1">
      <x:c r="A806" s="9" t="str">
        <x:v>QA-SPE-022</x:v>
      </x:c>
      <x:c r="B806" s="9" t="str">
        <x:v>SPE</x:v>
      </x:c>
      <x:c r="C806" s="9" t="str">
        <x:v>Perfil IVA 100 sin sustento</x:v>
      </x:c>
      <x:c r="D806" s="9" t="str">
        <x:v>P0</x:v>
      </x:c>
      <x:c r="E806" s="9" t="str">
        <x:v>Positiva</x:v>
      </x:c>
      <x:c r="F806" s="9" t="str">
        <x:v>Navegador + HTTP + persistencia; proveedor doble salvo variante Real DEMO explícita</x:v>
      </x:c>
      <x:c r="G806" s="20" t="str">
        <x:v>Pendiente</x:v>
      </x:c>
      <x:c r="H806" s="20" t="str"/>
      <x:c r="I806" s="20" t="str"/>
      <x:c r="J806" s="20" t="str"/>
      <x:c r="K806" s="20" t="str"/>
      <x:c r="L806" s="21" t="str"/>
      <x:c r="M806" s="22" t="str"/>
      <x:c r="N806" s="20" t="str"/>
    </x:row>
    <x:row r="807" ht="48" customHeight="1">
      <x:c r="A807" s="9" t="str">
        <x:v>QA-SPE-023</x:v>
      </x:c>
      <x:c r="B807" s="9" t="str">
        <x:v>SPE</x:v>
      </x:c>
      <x:c r="C807" s="9" t="str">
        <x:v>Snapshot factura por emisión</x:v>
      </x:c>
      <x:c r="D807" s="9" t="str">
        <x:v>P0</x:v>
      </x:c>
      <x:c r="E807" s="9" t="str">
        <x:v>Positiva</x:v>
      </x:c>
      <x:c r="F807" s="9" t="str">
        <x:v>Navegador + HTTP + persistencia; proveedor doble salvo variante Real DEMO explícita</x:v>
      </x:c>
      <x:c r="G807" s="20" t="str">
        <x:v>Pendiente</x:v>
      </x:c>
      <x:c r="H807" s="20" t="str"/>
      <x:c r="I807" s="20" t="str"/>
      <x:c r="J807" s="20" t="str"/>
      <x:c r="K807" s="20" t="str"/>
      <x:c r="L807" s="21" t="str"/>
      <x:c r="M807" s="22" t="str"/>
      <x:c r="N807" s="20" t="str"/>
    </x:row>
    <x:row r="808" ht="48" customHeight="1">
      <x:c r="A808" s="9" t="str">
        <x:v>QA-SPE-024</x:v>
      </x:c>
      <x:c r="B808" s="9" t="str">
        <x:v>SPE</x:v>
      </x:c>
      <x:c r="C808" s="9" t="str">
        <x:v>Snapshot pago y comprobante por sus fechas</x:v>
      </x:c>
      <x:c r="D808" s="9" t="str">
        <x:v>P0</x:v>
      </x:c>
      <x:c r="E808" s="9" t="str">
        <x:v>Positiva</x:v>
      </x:c>
      <x:c r="F808" s="9" t="str">
        <x:v>Navegador + HTTP + persistencia; proveedor doble salvo variante Real DEMO explícita</x:v>
      </x:c>
      <x:c r="G808" s="20" t="str">
        <x:v>Pendiente</x:v>
      </x:c>
      <x:c r="H808" s="20" t="str"/>
      <x:c r="I808" s="20" t="str"/>
      <x:c r="J808" s="20" t="str"/>
      <x:c r="K808" s="20" t="str"/>
      <x:c r="L808" s="21" t="str"/>
      <x:c r="M808" s="22" t="str"/>
      <x:c r="N808" s="20" t="str"/>
    </x:row>
    <x:row r="809" ht="48" customHeight="1">
      <x:c r="A809" s="9" t="str">
        <x:v>QA-SPE-025</x:v>
      </x:c>
      <x:c r="B809" s="9" t="str">
        <x:v>SPE</x:v>
      </x:c>
      <x:c r="C809" s="9" t="str">
        <x:v>Edición comprador mantiene fecha fiscal</x:v>
      </x:c>
      <x:c r="D809" s="9" t="str">
        <x:v>P0</x:v>
      </x:c>
      <x:c r="E809" s="9" t="str">
        <x:v>Positiva</x:v>
      </x:c>
      <x:c r="F809" s="9" t="str">
        <x:v>Navegador + HTTP + persistencia; proveedor doble salvo variante Real DEMO explícita</x:v>
      </x:c>
      <x:c r="G809" s="20" t="str">
        <x:v>Pendiente</x:v>
      </x:c>
      <x:c r="H809" s="20" t="str"/>
      <x:c r="I809" s="20" t="str"/>
      <x:c r="J809" s="20" t="str"/>
      <x:c r="K809" s="20" t="str"/>
      <x:c r="L809" s="21" t="str"/>
      <x:c r="M809" s="22" t="str"/>
      <x:c r="N809" s="20" t="str"/>
    </x:row>
    <x:row r="810" ht="48" customHeight="1">
      <x:c r="A810" s="9" t="str">
        <x:v>QA-SPE-026</x:v>
      </x:c>
      <x:c r="B810" s="9" t="str">
        <x:v>SPE</x:v>
      </x:c>
      <x:c r="C810" s="9" t="str">
        <x:v>Leyenda SPE en payload y ticket</x:v>
      </x:c>
      <x:c r="D810" s="9" t="str">
        <x:v>P0</x:v>
      </x:c>
      <x:c r="E810" s="9" t="str">
        <x:v>Positiva</x:v>
      </x:c>
      <x:c r="F810" s="9" t="str">
        <x:v>Navegador + HTTP + persistencia; proveedor doble salvo variante Real DEMO explícita</x:v>
      </x:c>
      <x:c r="G810" s="20" t="str">
        <x:v>Pendiente</x:v>
      </x:c>
      <x:c r="H810" s="20" t="str"/>
      <x:c r="I810" s="20" t="str"/>
      <x:c r="J810" s="20" t="str"/>
      <x:c r="K810" s="20" t="str"/>
      <x:c r="L810" s="21" t="str"/>
      <x:c r="M810" s="22" t="str"/>
      <x:c r="N810" s="20" t="str"/>
    </x:row>
    <x:row r="811" ht="48" customHeight="1">
      <x:c r="A811" s="9" t="str">
        <x:v>QA-SPE-027</x:v>
      </x:c>
      <x:c r="B811" s="9" t="str">
        <x:v>SPE</x:v>
      </x:c>
      <x:c r="C811" s="9" t="str">
        <x:v>ND no hereda perfil doméstico indebido</x:v>
      </x:c>
      <x:c r="D811" s="9" t="str">
        <x:v>P0</x:v>
      </x:c>
      <x:c r="E811" s="9" t="str">
        <x:v>Positiva</x:v>
      </x:c>
      <x:c r="F811" s="9" t="str">
        <x:v>Navegador + HTTP + persistencia; proveedor doble salvo variante Real DEMO explícita</x:v>
      </x:c>
      <x:c r="G811" s="20" t="str">
        <x:v>Pendiente</x:v>
      </x:c>
      <x:c r="H811" s="20" t="str"/>
      <x:c r="I811" s="20" t="str"/>
      <x:c r="J811" s="20" t="str"/>
      <x:c r="K811" s="20" t="str"/>
      <x:c r="L811" s="21" t="str"/>
      <x:c r="M811" s="22" t="str"/>
      <x:c r="N811" s="20" t="str"/>
    </x:row>
    <x:row r="812" ht="48" customHeight="1">
      <x:c r="A812" s="9" t="str">
        <x:v>QA-SPE-028</x:v>
      </x:c>
      <x:c r="B812" s="9" t="str">
        <x:v>SPE</x:v>
      </x:c>
      <x:c r="C812" s="9" t="str">
        <x:v>Excepción administrativa IGTF</x:v>
      </x:c>
      <x:c r="D812" s="9" t="str">
        <x:v>P0</x:v>
      </x:c>
      <x:c r="E812" s="9" t="str">
        <x:v>Positiva</x:v>
      </x:c>
      <x:c r="F812" s="9" t="str">
        <x:v>Navegador + HTTP + persistencia; proveedor doble salvo variante Real DEMO explícita</x:v>
      </x:c>
      <x:c r="G812" s="20" t="str">
        <x:v>Pendiente</x:v>
      </x:c>
      <x:c r="H812" s="20" t="str"/>
      <x:c r="I812" s="20" t="str"/>
      <x:c r="J812" s="20" t="str"/>
      <x:c r="K812" s="20" t="str"/>
      <x:c r="L812" s="21" t="str"/>
      <x:c r="M812" s="22" t="str"/>
      <x:c r="N812" s="20" t="str"/>
    </x:row>
    <x:row r="813" ht="48" customHeight="1">
      <x:c r="A813" s="9" t="str">
        <x:v>QA-SPE-029</x:v>
      </x:c>
      <x:c r="B813" s="9" t="str">
        <x:v>SPE</x:v>
      </x:c>
      <x:c r="C813" s="9" t="str">
        <x:v>Excepción IGTF incompleta o vendedor</x:v>
      </x:c>
      <x:c r="D813" s="9" t="str">
        <x:v>P0</x:v>
      </x:c>
      <x:c r="E813" s="9" t="str">
        <x:v>Positiva</x:v>
      </x:c>
      <x:c r="F813" s="9" t="str">
        <x:v>Navegador + HTTP + persistencia; proveedor doble salvo variante Real DEMO explícita</x:v>
      </x:c>
      <x:c r="G813" s="20" t="str">
        <x:v>Pendiente</x:v>
      </x:c>
      <x:c r="H813" s="20" t="str"/>
      <x:c r="I813" s="20" t="str"/>
      <x:c r="J813" s="20" t="str"/>
      <x:c r="K813" s="20" t="str"/>
      <x:c r="L813" s="21" t="str"/>
      <x:c r="M813" s="22" t="str"/>
      <x:c r="N813" s="20" t="str"/>
    </x:row>
    <x:row r="814" ht="48" customHeight="1">
      <x:c r="A814" s="9" t="str">
        <x:v>QA-SPE-030</x:v>
      </x:c>
      <x:c r="B814" s="9" t="str">
        <x:v>SPE</x:v>
      </x:c>
      <x:c r="C814" s="9" t="str">
        <x:v>Clasificación IGTF adulterada</x:v>
      </x:c>
      <x:c r="D814" s="9" t="str">
        <x:v>P0</x:v>
      </x:c>
      <x:c r="E814" s="9" t="str">
        <x:v>Positiva</x:v>
      </x:c>
      <x:c r="F814" s="9" t="str">
        <x:v>Navegador + HTTP + persistencia; proveedor doble salvo variante Real DEMO explícita</x:v>
      </x:c>
      <x:c r="G814" s="20" t="str">
        <x:v>Pendiente</x:v>
      </x:c>
      <x:c r="H814" s="20" t="str"/>
      <x:c r="I814" s="20" t="str"/>
      <x:c r="J814" s="20" t="str"/>
      <x:c r="K814" s="20" t="str"/>
      <x:c r="L814" s="21" t="str"/>
      <x:c r="M814" s="22" t="str"/>
      <x:c r="N814" s="20" t="str"/>
    </x:row>
    <x:row r="815" ht="48" customHeight="1">
      <x:c r="A815" s="9" t="str">
        <x:v>QA-SPE-031</x:v>
      </x:c>
      <x:c r="B815" s="9" t="str">
        <x:v>SPE</x:v>
      </x:c>
      <x:c r="C815" s="9" t="str">
        <x:v>UUID de pago y contexto fiscal</x:v>
      </x:c>
      <x:c r="D815" s="9" t="str">
        <x:v>P0</x:v>
      </x:c>
      <x:c r="E815" s="9" t="str">
        <x:v>Positiva</x:v>
      </x:c>
      <x:c r="F815" s="9" t="str">
        <x:v>Navegador + HTTP + persistencia; proveedor doble salvo variante Real DEMO explícita</x:v>
      </x:c>
      <x:c r="G815" s="20" t="str">
        <x:v>Pendiente</x:v>
      </x:c>
      <x:c r="H815" s="20" t="str"/>
      <x:c r="I815" s="20" t="str"/>
      <x:c r="J815" s="20" t="str"/>
      <x:c r="K815" s="20" t="str"/>
      <x:c r="L815" s="21" t="str"/>
      <x:c r="M815" s="22" t="str"/>
      <x:c r="N815" s="20" t="str"/>
    </x:row>
    <x:row r="816" ht="48" customHeight="1">
      <x:c r="A816" s="9" t="str">
        <x:v>QA-SPE-032</x:v>
      </x:c>
      <x:c r="B816" s="9" t="str">
        <x:v>SPE</x:v>
      </x:c>
      <x:c r="C816" s="9" t="str">
        <x:v>IGTF deshabilitado con cobro sujeto</x:v>
      </x:c>
      <x:c r="D816" s="9" t="str">
        <x:v>P0</x:v>
      </x:c>
      <x:c r="E816" s="9" t="str">
        <x:v>Positiva</x:v>
      </x:c>
      <x:c r="F816" s="9" t="str">
        <x:v>Navegador + HTTP + persistencia; proveedor doble salvo variante Real DEMO explícita</x:v>
      </x:c>
      <x:c r="G816" s="20" t="str">
        <x:v>Pendiente</x:v>
      </x:c>
      <x:c r="H816" s="20" t="str"/>
      <x:c r="I816" s="20" t="str"/>
      <x:c r="J816" s="20" t="str"/>
      <x:c r="K816" s="20" t="str"/>
      <x:c r="L816" s="21" t="str"/>
      <x:c r="M816" s="22" t="str"/>
      <x:c r="N816" s="20" t="str"/>
    </x:row>
    <x:row r="817" ht="48" customHeight="1">
      <x:c r="A817" s="9" t="str">
        <x:v>QA-SPE-033</x:v>
      </x:c>
      <x:c r="B817" s="9" t="str">
        <x:v>SPE</x:v>
      </x:c>
      <x:c r="C817" s="9" t="str">
        <x:v>Aislamiento de perfiles</x:v>
      </x:c>
      <x:c r="D817" s="9" t="str">
        <x:v>P0</x:v>
      </x:c>
      <x:c r="E817" s="9" t="str">
        <x:v>Positiva</x:v>
      </x:c>
      <x:c r="F817" s="9" t="str">
        <x:v>Navegador + HTTP + persistencia; proveedor doble salvo variante Real DEMO explícita</x:v>
      </x:c>
      <x:c r="G817" s="20" t="str">
        <x:v>Pendiente</x:v>
      </x:c>
      <x:c r="H817" s="20" t="str"/>
      <x:c r="I817" s="20" t="str"/>
      <x:c r="J817" s="20" t="str"/>
      <x:c r="K817" s="20" t="str"/>
      <x:c r="L817" s="21" t="str"/>
      <x:c r="M817" s="22" t="str"/>
      <x:c r="N817" s="20" t="str"/>
    </x:row>
    <x:row r="818" ht="48" customHeight="1">
      <x:c r="A818" s="9" t="str">
        <x:v>QA-SPE-034</x:v>
      </x:c>
      <x:c r="B818" s="9" t="str">
        <x:v>SPE</x:v>
      </x:c>
      <x:c r="C818" s="9" t="str">
        <x:v>Concurrencia de versiones y pago</x:v>
      </x:c>
      <x:c r="D818" s="9" t="str">
        <x:v>P0</x:v>
      </x:c>
      <x:c r="E818" s="9" t="str">
        <x:v>Positiva</x:v>
      </x:c>
      <x:c r="F818" s="9" t="str">
        <x:v>Navegador + HTTP + persistencia; proveedor doble salvo variante Real DEMO explícita</x:v>
      </x:c>
      <x:c r="G818" s="20" t="str">
        <x:v>Pendiente</x:v>
      </x:c>
      <x:c r="H818" s="20" t="str"/>
      <x:c r="I818" s="20" t="str"/>
      <x:c r="J818" s="20" t="str"/>
      <x:c r="K818" s="20" t="str"/>
      <x:c r="L818" s="21" t="str"/>
      <x:c r="M818" s="22" t="str"/>
      <x:c r="N818" s="20" t="str"/>
    </x:row>
    <x:row r="819" ht="48" customHeight="1">
      <x:c r="A819" s="9" t="str">
        <x:v>QA-SPE-035</x:v>
      </x:c>
      <x:c r="B819" s="9" t="str">
        <x:v>SPE</x:v>
      </x:c>
      <x:c r="C819" s="9" t="str">
        <x:v>Evidencia DEMO con emisor formal</x:v>
      </x:c>
      <x:c r="D819" s="9" t="str">
        <x:v>P0</x:v>
      </x:c>
      <x:c r="E819" s="9" t="str">
        <x:v>Positiva</x:v>
      </x:c>
      <x:c r="F819" s="9" t="str">
        <x:v>Navegador + HTTP + persistencia; proveedor doble salvo variante Real DEMO explícita</x:v>
      </x:c>
      <x:c r="G819" s="20" t="str">
        <x:v>Pendiente</x:v>
      </x:c>
      <x:c r="H819" s="20" t="str"/>
      <x:c r="I819" s="20" t="str"/>
      <x:c r="J819" s="20" t="str"/>
      <x:c r="K819" s="20" t="str"/>
      <x:c r="L819" s="21" t="str"/>
      <x:c r="M819" s="22" t="str"/>
      <x:c r="N819" s="20" t="str"/>
    </x:row>
    <x:row r="820" ht="48" customHeight="1">
      <x:c r="A820" s="9" t="str">
        <x:v>QA-SPE-036</x:v>
      </x:c>
      <x:c r="B820" s="9" t="str">
        <x:v>SPE</x:v>
      </x:c>
      <x:c r="C820" s="9" t="str">
        <x:v>Naturaleza natural, firma false, clase ninguna</x:v>
      </x:c>
      <x:c r="D820" s="9" t="str">
        <x:v>P0</x:v>
      </x:c>
      <x:c r="E820" s="9" t="str">
        <x:v>Positiva</x:v>
      </x:c>
      <x:c r="F820" s="9" t="str">
        <x:v>Navegador + HTTP + persistencia; proveedor doble salvo variante Real DEMO explícita</x:v>
      </x:c>
      <x:c r="G820" s="20" t="str">
        <x:v>Pendiente</x:v>
      </x:c>
      <x:c r="H820" s="20" t="str"/>
      <x:c r="I820" s="20" t="str"/>
      <x:c r="J820" s="20" t="str"/>
      <x:c r="K820" s="20" t="str"/>
      <x:c r="L820" s="21" t="str"/>
      <x:c r="M820" s="22" t="str"/>
      <x:c r="N820" s="20" t="str"/>
    </x:row>
    <x:row r="821" ht="48" customHeight="1">
      <x:c r="A821" s="9" t="str">
        <x:v>QA-SPE-037</x:v>
      </x:c>
      <x:c r="B821" s="9" t="str">
        <x:v>SPE</x:v>
      </x:c>
      <x:c r="C821" s="9" t="str">
        <x:v>Naturaleza natural, firma true, clase ninguna</x:v>
      </x:c>
      <x:c r="D821" s="9" t="str">
        <x:v>P0</x:v>
      </x:c>
      <x:c r="E821" s="9" t="str">
        <x:v>Positiva</x:v>
      </x:c>
      <x:c r="F821" s="9" t="str">
        <x:v>Navegador + HTTP + persistencia; proveedor doble salvo variante Real DEMO explícita</x:v>
      </x:c>
      <x:c r="G821" s="20" t="str">
        <x:v>Pendiente</x:v>
      </x:c>
      <x:c r="H821" s="20" t="str"/>
      <x:c r="I821" s="20" t="str"/>
      <x:c r="J821" s="20" t="str"/>
      <x:c r="K821" s="20" t="str"/>
      <x:c r="L821" s="21" t="str"/>
      <x:c r="M821" s="22" t="str"/>
      <x:c r="N821" s="20" t="str"/>
    </x:row>
    <x:row r="822" ht="48" customHeight="1">
      <x:c r="A822" s="9" t="str">
        <x:v>QA-SPE-038</x:v>
      </x:c>
      <x:c r="B822" s="9" t="str">
        <x:v>SPE</x:v>
      </x:c>
      <x:c r="C822" s="9" t="str">
        <x:v>Naturaleza legal, firma false, clase ninguna</x:v>
      </x:c>
      <x:c r="D822" s="9" t="str">
        <x:v>P0</x:v>
      </x:c>
      <x:c r="E822" s="9" t="str">
        <x:v>Positiva</x:v>
      </x:c>
      <x:c r="F822" s="9" t="str">
        <x:v>Navegador + HTTP + persistencia; proveedor doble salvo variante Real DEMO explícita</x:v>
      </x:c>
      <x:c r="G822" s="20" t="str">
        <x:v>Pendiente</x:v>
      </x:c>
      <x:c r="H822" s="20" t="str"/>
      <x:c r="I822" s="20" t="str"/>
      <x:c r="J822" s="20" t="str"/>
      <x:c r="K822" s="20" t="str"/>
      <x:c r="L822" s="21" t="str"/>
      <x:c r="M822" s="22" t="str"/>
      <x:c r="N822" s="20" t="str"/>
    </x:row>
    <x:row r="823" ht="48" customHeight="1">
      <x:c r="A823" s="9" t="str">
        <x:v>QA-SPE-039</x:v>
      </x:c>
      <x:c r="B823" s="9" t="str">
        <x:v>SPE</x:v>
      </x:c>
      <x:c r="C823" s="9" t="str">
        <x:v>Naturaleza public, firma false, clase national</x:v>
      </x:c>
      <x:c r="D823" s="9" t="str">
        <x:v>P0</x:v>
      </x:c>
      <x:c r="E823" s="9" t="str">
        <x:v>Positiva</x:v>
      </x:c>
      <x:c r="F823" s="9" t="str">
        <x:v>Navegador + HTTP + persistencia; proveedor doble salvo variante Real DEMO explícita</x:v>
      </x:c>
      <x:c r="G823" s="20" t="str">
        <x:v>Pendiente</x:v>
      </x:c>
      <x:c r="H823" s="20" t="str"/>
      <x:c r="I823" s="20" t="str"/>
      <x:c r="J823" s="20" t="str"/>
      <x:c r="K823" s="20" t="str"/>
      <x:c r="L823" s="21" t="str"/>
      <x:c r="M823" s="22" t="str"/>
      <x:c r="N823" s="20" t="str"/>
    </x:row>
    <x:row r="824" ht="48" customHeight="1">
      <x:c r="A824" s="9" t="str">
        <x:v>QA-SPE-040</x:v>
      </x:c>
      <x:c r="B824" s="9" t="str">
        <x:v>SPE</x:v>
      </x:c>
      <x:c r="C824" s="9" t="str">
        <x:v>Naturaleza public, firma false, clase state</x:v>
      </x:c>
      <x:c r="D824" s="9" t="str">
        <x:v>P0</x:v>
      </x:c>
      <x:c r="E824" s="9" t="str">
        <x:v>Positiva</x:v>
      </x:c>
      <x:c r="F824" s="9" t="str">
        <x:v>Navegador + HTTP + persistencia; proveedor doble salvo variante Real DEMO explícita</x:v>
      </x:c>
      <x:c r="G824" s="20" t="str">
        <x:v>Pendiente</x:v>
      </x:c>
      <x:c r="H824" s="20" t="str"/>
      <x:c r="I824" s="20" t="str"/>
      <x:c r="J824" s="20" t="str"/>
      <x:c r="K824" s="20" t="str"/>
      <x:c r="L824" s="21" t="str"/>
      <x:c r="M824" s="22" t="str"/>
      <x:c r="N824" s="20" t="str"/>
    </x:row>
    <x:row r="825" ht="48" customHeight="1">
      <x:c r="A825" s="9" t="str">
        <x:v>QA-SPE-041</x:v>
      </x:c>
      <x:c r="B825" s="9" t="str">
        <x:v>SPE</x:v>
      </x:c>
      <x:c r="C825" s="9" t="str">
        <x:v>Naturaleza public, firma false, clase municipal</x:v>
      </x:c>
      <x:c r="D825" s="9" t="str">
        <x:v>P0</x:v>
      </x:c>
      <x:c r="E825" s="9" t="str">
        <x:v>Positiva</x:v>
      </x:c>
      <x:c r="F825" s="9" t="str">
        <x:v>Navegador + HTTP + persistencia; proveedor doble salvo variante Real DEMO explícita</x:v>
      </x:c>
      <x:c r="G825" s="20" t="str">
        <x:v>Pendiente</x:v>
      </x:c>
      <x:c r="H825" s="20" t="str"/>
      <x:c r="I825" s="20" t="str"/>
      <x:c r="J825" s="20" t="str"/>
      <x:c r="K825" s="20" t="str"/>
      <x:c r="L825" s="21" t="str"/>
      <x:c r="M825" s="22" t="str"/>
      <x:c r="N825" s="20" t="str"/>
    </x:row>
    <x:row r="826" ht="48" customHeight="1">
      <x:c r="A826" s="9" t="str">
        <x:v>QA-SPE-042</x:v>
      </x:c>
      <x:c r="B826" s="9" t="str">
        <x:v>SPE</x:v>
      </x:c>
      <x:c r="C826" s="9" t="str">
        <x:v>Naturaleza public, firma false, claseautonomous_institute</x:v>
      </x:c>
      <x:c r="D826" s="9" t="str">
        <x:v>P0</x:v>
      </x:c>
      <x:c r="E826" s="9" t="str">
        <x:v>Positiva</x:v>
      </x:c>
      <x:c r="F826" s="9" t="str">
        <x:v>Navegador + HTTP + persistencia; proveedor doble salvo variante Real DEMO explícita</x:v>
      </x:c>
      <x:c r="G826" s="20" t="str">
        <x:v>Pendiente</x:v>
      </x:c>
      <x:c r="H826" s="20" t="str"/>
      <x:c r="I826" s="20" t="str"/>
      <x:c r="J826" s="20" t="str"/>
      <x:c r="K826" s="20" t="str"/>
      <x:c r="L826" s="21" t="str"/>
      <x:c r="M826" s="22" t="str"/>
      <x:c r="N826" s="20" t="str"/>
    </x:row>
    <x:row r="827" ht="48" customHeight="1">
      <x:c r="A827" s="9" t="str">
        <x:v>QA-SPE-043</x:v>
      </x:c>
      <x:c r="B827" s="9" t="str">
        <x:v>SPE</x:v>
      </x:c>
      <x:c r="C827" s="9" t="str">
        <x:v>Naturaleza public, firma false, clasedecentralized_non_business</x:v>
      </x:c>
      <x:c r="D827" s="9" t="str">
        <x:v>P0</x:v>
      </x:c>
      <x:c r="E827" s="9" t="str">
        <x:v>Positiva</x:v>
      </x:c>
      <x:c r="F827" s="9" t="str">
        <x:v>Navegador + HTTP + persistencia; proveedor doble salvo variante Real DEMO explícita</x:v>
      </x:c>
      <x:c r="G827" s="20" t="str">
        <x:v>Pendiente</x:v>
      </x:c>
      <x:c r="H827" s="20" t="str"/>
      <x:c r="I827" s="20" t="str"/>
      <x:c r="J827" s="20" t="str"/>
      <x:c r="K827" s="20" t="str"/>
      <x:c r="L827" s="21" t="str"/>
      <x:c r="M827" s="22" t="str"/>
      <x:c r="N827" s="20" t="str"/>
    </x:row>
    <x:row r="828" ht="48" customHeight="1">
      <x:c r="A828" s="9" t="str">
        <x:v>QA-SPE-044</x:v>
      </x:c>
      <x:c r="B828" s="9" t="str">
        <x:v>SPE</x:v>
      </x:c>
      <x:c r="C828" s="9" t="str">
        <x:v>Naturaleza public, firma false, clasedecentralized_business</x:v>
      </x:c>
      <x:c r="D828" s="9" t="str">
        <x:v>P0</x:v>
      </x:c>
      <x:c r="E828" s="9" t="str">
        <x:v>Positiva</x:v>
      </x:c>
      <x:c r="F828" s="9" t="str">
        <x:v>Navegador + HTTP + persistencia; proveedor doble salvo variante Real DEMO explícita</x:v>
      </x:c>
      <x:c r="G828" s="20" t="str">
        <x:v>Pendiente</x:v>
      </x:c>
      <x:c r="H828" s="20" t="str"/>
      <x:c r="I828" s="20" t="str"/>
      <x:c r="J828" s="20" t="str"/>
      <x:c r="K828" s="20" t="str"/>
      <x:c r="L828" s="21" t="str"/>
      <x:c r="M828" s="22" t="str"/>
      <x:c r="N828" s="20" t="str"/>
    </x:row>
    <x:row r="829" ht="48" customHeight="1">
      <x:c r="A829" s="9" t="str">
        <x:v>QA-SPE-045</x:v>
      </x:c>
      <x:c r="B829" s="9" t="str">
        <x:v>SPE</x:v>
      </x:c>
      <x:c r="C829" s="9" t="str">
        <x:v>Estado IVA del emisor: ordinary</x:v>
      </x:c>
      <x:c r="D829" s="9" t="str">
        <x:v>P0</x:v>
      </x:c>
      <x:c r="E829" s="9" t="str">
        <x:v>Positiva</x:v>
      </x:c>
      <x:c r="F829" s="9" t="str">
        <x:v>Navegador + HTTP + persistencia; proveedor doble salvo variante Real DEMO explícita</x:v>
      </x:c>
      <x:c r="G829" s="20" t="str">
        <x:v>Pendiente</x:v>
      </x:c>
      <x:c r="H829" s="20" t="str"/>
      <x:c r="I829" s="20" t="str"/>
      <x:c r="J829" s="20" t="str"/>
      <x:c r="K829" s="20" t="str"/>
      <x:c r="L829" s="21" t="str"/>
      <x:c r="M829" s="22" t="str"/>
      <x:c r="N829" s="20" t="str"/>
    </x:row>
    <x:row r="830" ht="48" customHeight="1">
      <x:c r="A830" s="9" t="str">
        <x:v>QA-SPE-046</x:v>
      </x:c>
      <x:c r="B830" s="9" t="str">
        <x:v>SPE</x:v>
      </x:c>
      <x:c r="C830" s="9" t="str">
        <x:v>Estado IVA del emisor: formal</x:v>
      </x:c>
      <x:c r="D830" s="9" t="str">
        <x:v>P0</x:v>
      </x:c>
      <x:c r="E830" s="9" t="str">
        <x:v>Positiva</x:v>
      </x:c>
      <x:c r="F830" s="9" t="str">
        <x:v>Navegador + HTTP + persistencia; proveedor doble salvo variante Real DEMO explícita</x:v>
      </x:c>
      <x:c r="G830" s="20" t="str">
        <x:v>Pendiente</x:v>
      </x:c>
      <x:c r="H830" s="20" t="str"/>
      <x:c r="I830" s="20" t="str"/>
      <x:c r="J830" s="20" t="str"/>
      <x:c r="K830" s="20" t="str"/>
      <x:c r="L830" s="21" t="str"/>
      <x:c r="M830" s="22" t="str"/>
      <x:c r="N830" s="20" t="str"/>
    </x:row>
    <x:row r="831" ht="48" customHeight="1">
      <x:c r="A831" s="9" t="str">
        <x:v>QA-SPE-047</x:v>
      </x:c>
      <x:c r="B831" s="9" t="str">
        <x:v>SPE</x:v>
      </x:c>
      <x:c r="C831" s="9" t="str">
        <x:v>Estado IVA del emisor: not_subject</x:v>
      </x:c>
      <x:c r="D831" s="9" t="str">
        <x:v>P0</x:v>
      </x:c>
      <x:c r="E831" s="9" t="str">
        <x:v>Positiva</x:v>
      </x:c>
      <x:c r="F831" s="9" t="str">
        <x:v>Navegador + HTTP + persistencia; proveedor doble salvo variante Real DEMO explícita</x:v>
      </x:c>
      <x:c r="G831" s="20" t="str">
        <x:v>Pendiente</x:v>
      </x:c>
      <x:c r="H831" s="20" t="str"/>
      <x:c r="I831" s="20" t="str"/>
      <x:c r="J831" s="20" t="str"/>
      <x:c r="K831" s="20" t="str"/>
      <x:c r="L831" s="21" t="str"/>
      <x:c r="M831" s="22" t="str"/>
      <x:c r="N831" s="20" t="str"/>
    </x:row>
    <x:row r="832" ht="48" customHeight="1">
      <x:c r="A832" s="9" t="str">
        <x:v>QA-SPE-048</x:v>
      </x:c>
      <x:c r="B832" s="9" t="str">
        <x:v>SPE</x:v>
      </x:c>
      <x:c r="C832" s="9" t="str">
        <x:v>Fundamento IVA 100: undisclosed_iva</x:v>
      </x:c>
      <x:c r="D832" s="9" t="str">
        <x:v>P0</x:v>
      </x:c>
      <x:c r="E832" s="9" t="str">
        <x:v>Positiva</x:v>
      </x:c>
      <x:c r="F832" s="9" t="str">
        <x:v>Navegador + HTTP + persistencia; proveedor doble salvo variante Real DEMO explícita</x:v>
      </x:c>
      <x:c r="G832" s="20" t="str">
        <x:v>Pendiente</x:v>
      </x:c>
      <x:c r="H832" s="20" t="str"/>
      <x:c r="I832" s="20" t="str"/>
      <x:c r="J832" s="20" t="str"/>
      <x:c r="K832" s="20" t="str"/>
      <x:c r="L832" s="21" t="str"/>
      <x:c r="M832" s="22" t="str"/>
      <x:c r="N832" s="20" t="str"/>
    </x:row>
    <x:row r="833" ht="48" customHeight="1">
      <x:c r="A833" s="9" t="str">
        <x:v>QA-SPE-049</x:v>
      </x:c>
      <x:c r="B833" s="9" t="str">
        <x:v>SPE</x:v>
      </x:c>
      <x:c r="C833" s="9" t="str">
        <x:v>Fundamento IVA 100: invoice_formalities</x:v>
      </x:c>
      <x:c r="D833" s="9" t="str">
        <x:v>P0</x:v>
      </x:c>
      <x:c r="E833" s="9" t="str">
        <x:v>Positiva</x:v>
      </x:c>
      <x:c r="F833" s="9" t="str">
        <x:v>Navegador + HTTP + persistencia; proveedor doble salvo variante Real DEMO explícita</x:v>
      </x:c>
      <x:c r="G833" s="20" t="str">
        <x:v>Pendiente</x:v>
      </x:c>
      <x:c r="H833" s="20" t="str"/>
      <x:c r="I833" s="20" t="str"/>
      <x:c r="J833" s="20" t="str"/>
      <x:c r="K833" s="20" t="str"/>
      <x:c r="L833" s="21" t="str"/>
      <x:c r="M833" s="22" t="str"/>
      <x:c r="N833" s="20" t="str"/>
    </x:row>
    <x:row r="834" ht="48" customHeight="1">
      <x:c r="A834" s="9" t="str">
        <x:v>QA-SPE-050</x:v>
      </x:c>
      <x:c r="B834" s="9" t="str">
        <x:v>SPE</x:v>
      </x:c>
      <x:c r="C834" s="9" t="str">
        <x:v>Fundamento IVA 100: portal_100</x:v>
      </x:c>
      <x:c r="D834" s="9" t="str">
        <x:v>P0</x:v>
      </x:c>
      <x:c r="E834" s="9" t="str">
        <x:v>Positiva</x:v>
      </x:c>
      <x:c r="F834" s="9" t="str">
        <x:v>Navegador + HTTP + persistencia; proveedor doble salvo variante Real DEMO explícita</x:v>
      </x:c>
      <x:c r="G834" s="20" t="str">
        <x:v>Pendiente</x:v>
      </x:c>
      <x:c r="H834" s="20" t="str"/>
      <x:c r="I834" s="20" t="str"/>
      <x:c r="J834" s="20" t="str"/>
      <x:c r="K834" s="20" t="str"/>
      <x:c r="L834" s="21" t="str"/>
      <x:c r="M834" s="22" t="str"/>
      <x:c r="N834" s="20" t="str"/>
    </x:row>
    <x:row r="835" ht="48" customHeight="1">
      <x:c r="A835" s="9" t="str">
        <x:v>QA-SPE-051</x:v>
      </x:c>
      <x:c r="B835" s="9" t="str">
        <x:v>SPE</x:v>
      </x:c>
      <x:c r="C835" s="9" t="str">
        <x:v>Fundamento IVA 100: unregistered_rif</x:v>
      </x:c>
      <x:c r="D835" s="9" t="str">
        <x:v>P0</x:v>
      </x:c>
      <x:c r="E835" s="9" t="str">
        <x:v>Positiva</x:v>
      </x:c>
      <x:c r="F835" s="9" t="str">
        <x:v>Navegador + HTTP + persistencia; proveedor doble salvo variante Real DEMO explícita</x:v>
      </x:c>
      <x:c r="G835" s="20" t="str">
        <x:v>Pendiente</x:v>
      </x:c>
      <x:c r="H835" s="20" t="str"/>
      <x:c r="I835" s="20" t="str"/>
      <x:c r="J835" s="20" t="str"/>
      <x:c r="K835" s="20" t="str"/>
      <x:c r="L835" s="21" t="str"/>
      <x:c r="M835" s="22" t="str"/>
      <x:c r="N835" s="20" t="str"/>
    </x:row>
    <x:row r="836" ht="48" customHeight="1">
      <x:c r="A836" s="9" t="str">
        <x:v>QA-SPE-052</x:v>
      </x:c>
      <x:c r="B836" s="9" t="str">
        <x:v>SPE</x:v>
      </x:c>
      <x:c r="C836" s="9" t="str">
        <x:v>Fundamento IVA 100: precious_metals</x:v>
      </x:c>
      <x:c r="D836" s="9" t="str">
        <x:v>P0</x:v>
      </x:c>
      <x:c r="E836" s="9" t="str">
        <x:v>Positiva</x:v>
      </x:c>
      <x:c r="F836" s="9" t="str">
        <x:v>Navegador + HTTP + persistencia; proveedor doble salvo variante Real DEMO explícita</x:v>
      </x:c>
      <x:c r="G836" s="20" t="str">
        <x:v>Pendiente</x:v>
      </x:c>
      <x:c r="H836" s="20" t="str"/>
      <x:c r="I836" s="20" t="str"/>
      <x:c r="J836" s="20" t="str"/>
      <x:c r="K836" s="20" t="str"/>
      <x:c r="L836" s="21" t="str"/>
      <x:c r="M836" s="22" t="str"/>
      <x:c r="N836" s="20" t="str"/>
    </x:row>
    <x:row r="837" ht="48" customHeight="1">
      <x:c r="A837" s="9" t="str">
        <x:v>QA-SPE-053</x:v>
      </x:c>
      <x:c r="B837" s="9" t="str">
        <x:v>SPE</x:v>
      </x:c>
      <x:c r="C837" s="9" t="str">
        <x:v>IGTF emisor SPE=False / recibe VES / intermediación omitida</x:v>
      </x:c>
      <x:c r="D837" s="9" t="str">
        <x:v>P0</x:v>
      </x:c>
      <x:c r="E837" s="9" t="str">
        <x:v>Positiva</x:v>
      </x:c>
      <x:c r="F837" s="9" t="str">
        <x:v>Navegador + HTTP + persistencia; proveedor doble salvo variante Real DEMO explícita</x:v>
      </x:c>
      <x:c r="G837" s="20" t="str">
        <x:v>Pendiente</x:v>
      </x:c>
      <x:c r="H837" s="20" t="str"/>
      <x:c r="I837" s="20" t="str"/>
      <x:c r="J837" s="20" t="str"/>
      <x:c r="K837" s="20" t="str"/>
      <x:c r="L837" s="21" t="str"/>
      <x:c r="M837" s="22" t="str"/>
      <x:c r="N837" s="20" t="str"/>
    </x:row>
    <x:row r="838" ht="48" customHeight="1">
      <x:c r="A838" s="9" t="str">
        <x:v>QA-SPE-054</x:v>
      </x:c>
      <x:c r="B838" s="9" t="str">
        <x:v>SPE</x:v>
      </x:c>
      <x:c r="C838" s="9" t="str">
        <x:v>IGTF emisor SPE=False / recibe VES / intermediación none</x:v>
      </x:c>
      <x:c r="D838" s="9" t="str">
        <x:v>P0</x:v>
      </x:c>
      <x:c r="E838" s="9" t="str">
        <x:v>Positiva</x:v>
      </x:c>
      <x:c r="F838" s="9" t="str">
        <x:v>Navegador + HTTP + persistencia; proveedor doble salvo variante Real DEMO explícita</x:v>
      </x:c>
      <x:c r="G838" s="20" t="str">
        <x:v>Pendiente</x:v>
      </x:c>
      <x:c r="H838" s="20" t="str"/>
      <x:c r="I838" s="20" t="str"/>
      <x:c r="J838" s="20" t="str"/>
      <x:c r="K838" s="20" t="str"/>
      <x:c r="L838" s="21" t="str"/>
      <x:c r="M838" s="22" t="str"/>
      <x:c r="N838" s="20" t="str"/>
    </x:row>
    <x:row r="839" ht="48" customHeight="1">
      <x:c r="A839" s="9" t="str">
        <x:v>QA-SPE-055</x:v>
      </x:c>
      <x:c r="B839" s="9" t="str">
        <x:v>SPE</x:v>
      </x:c>
      <x:c r="C839" s="9" t="str">
        <x:v>IGTF emisor SPE=False / recibe VES / intermediación financial_institution </x:v>
      </x:c>
      <x:c r="D839" s="9" t="str">
        <x:v>P0</x:v>
      </x:c>
      <x:c r="E839" s="9" t="str">
        <x:v>Positiva</x:v>
      </x:c>
      <x:c r="F839" s="9" t="str">
        <x:v>Navegador + HTTP + persistencia; proveedor doble salvo variante Real DEMO explícita</x:v>
      </x:c>
      <x:c r="G839" s="20" t="str">
        <x:v>Pendiente</x:v>
      </x:c>
      <x:c r="H839" s="20" t="str"/>
      <x:c r="I839" s="20" t="str"/>
      <x:c r="J839" s="20" t="str"/>
      <x:c r="K839" s="20" t="str"/>
      <x:c r="L839" s="21" t="str"/>
      <x:c r="M839" s="22" t="str"/>
      <x:c r="N839" s="20" t="str"/>
    </x:row>
    <x:row r="840" ht="48" customHeight="1">
      <x:c r="A840" s="9" t="str">
        <x:v>QA-SPE-056</x:v>
      </x:c>
      <x:c r="B840" s="9" t="str">
        <x:v>SPE</x:v>
      </x:c>
      <x:c r="C840" s="9" t="str">
        <x:v>IGTF emisor SPE=False / recibe USD / intermediación omitida</x:v>
      </x:c>
      <x:c r="D840" s="9" t="str">
        <x:v>P0</x:v>
      </x:c>
      <x:c r="E840" s="9" t="str">
        <x:v>Positiva</x:v>
      </x:c>
      <x:c r="F840" s="9" t="str">
        <x:v>Navegador + HTTP + persistencia; proveedor doble salvo variante Real DEMO explícita</x:v>
      </x:c>
      <x:c r="G840" s="20" t="str">
        <x:v>Pendiente</x:v>
      </x:c>
      <x:c r="H840" s="20" t="str"/>
      <x:c r="I840" s="20" t="str"/>
      <x:c r="J840" s="20" t="str"/>
      <x:c r="K840" s="20" t="str"/>
      <x:c r="L840" s="21" t="str"/>
      <x:c r="M840" s="22" t="str"/>
      <x:c r="N840" s="20" t="str"/>
    </x:row>
    <x:row r="841" ht="48" customHeight="1">
      <x:c r="A841" s="9" t="str">
        <x:v>QA-SPE-057</x:v>
      </x:c>
      <x:c r="B841" s="9" t="str">
        <x:v>SPE</x:v>
      </x:c>
      <x:c r="C841" s="9" t="str">
        <x:v>IGTF emisor SPE=False / recibe USD / intermediación none</x:v>
      </x:c>
      <x:c r="D841" s="9" t="str">
        <x:v>P0</x:v>
      </x:c>
      <x:c r="E841" s="9" t="str">
        <x:v>Positiva</x:v>
      </x:c>
      <x:c r="F841" s="9" t="str">
        <x:v>Navegador + HTTP + persistencia; proveedor doble salvo variante Real DEMO explícita</x:v>
      </x:c>
      <x:c r="G841" s="20" t="str">
        <x:v>Pendiente</x:v>
      </x:c>
      <x:c r="H841" s="20" t="str"/>
      <x:c r="I841" s="20" t="str"/>
      <x:c r="J841" s="20" t="str"/>
      <x:c r="K841" s="20" t="str"/>
      <x:c r="L841" s="21" t="str"/>
      <x:c r="M841" s="22" t="str"/>
      <x:c r="N841" s="20" t="str"/>
    </x:row>
    <x:row r="842" ht="48" customHeight="1">
      <x:c r="A842" s="9" t="str">
        <x:v>QA-SPE-058</x:v>
      </x:c>
      <x:c r="B842" s="9" t="str">
        <x:v>SPE</x:v>
      </x:c>
      <x:c r="C842" s="9" t="str">
        <x:v>IGTF emisor SPE=False / recibe USD / intermediación financial_institution </x:v>
      </x:c>
      <x:c r="D842" s="9" t="str">
        <x:v>P0</x:v>
      </x:c>
      <x:c r="E842" s="9" t="str">
        <x:v>Positiva</x:v>
      </x:c>
      <x:c r="F842" s="9" t="str">
        <x:v>Navegador + HTTP + persistencia; proveedor doble salvo variante Real DEMO explícita</x:v>
      </x:c>
      <x:c r="G842" s="20" t="str">
        <x:v>Pendiente</x:v>
      </x:c>
      <x:c r="H842" s="20" t="str"/>
      <x:c r="I842" s="20" t="str"/>
      <x:c r="J842" s="20" t="str"/>
      <x:c r="K842" s="20" t="str"/>
      <x:c r="L842" s="21" t="str"/>
      <x:c r="M842" s="22" t="str"/>
      <x:c r="N842" s="20" t="str"/>
    </x:row>
    <x:row r="843" ht="48" customHeight="1">
      <x:c r="A843" s="9" t="str">
        <x:v>QA-SPE-059</x:v>
      </x:c>
      <x:c r="B843" s="9" t="str">
        <x:v>SPE</x:v>
      </x:c>
      <x:c r="C843" s="9" t="str">
        <x:v>IGTF emisor SPE=True / recibe VES / intermediación omitida</x:v>
      </x:c>
      <x:c r="D843" s="9" t="str">
        <x:v>P0</x:v>
      </x:c>
      <x:c r="E843" s="9" t="str">
        <x:v>Positiva</x:v>
      </x:c>
      <x:c r="F843" s="9" t="str">
        <x:v>Navegador + HTTP + persistencia; proveedor doble salvo variante Real DEMO explícita</x:v>
      </x:c>
      <x:c r="G843" s="20" t="str">
        <x:v>Pendiente</x:v>
      </x:c>
      <x:c r="H843" s="20" t="str"/>
      <x:c r="I843" s="20" t="str"/>
      <x:c r="J843" s="20" t="str"/>
      <x:c r="K843" s="20" t="str"/>
      <x:c r="L843" s="21" t="str"/>
      <x:c r="M843" s="22" t="str"/>
      <x:c r="N843" s="20" t="str"/>
    </x:row>
    <x:row r="844" ht="48" customHeight="1">
      <x:c r="A844" s="9" t="str">
        <x:v>QA-SPE-060</x:v>
      </x:c>
      <x:c r="B844" s="9" t="str">
        <x:v>SPE</x:v>
      </x:c>
      <x:c r="C844" s="9" t="str">
        <x:v>IGTF emisor SPE=True / recibe VES / intermediación none</x:v>
      </x:c>
      <x:c r="D844" s="9" t="str">
        <x:v>P0</x:v>
      </x:c>
      <x:c r="E844" s="9" t="str">
        <x:v>Positiva</x:v>
      </x:c>
      <x:c r="F844" s="9" t="str">
        <x:v>Navegador + HTTP + persistencia; proveedor doble salvo variante Real DEMO explícita</x:v>
      </x:c>
      <x:c r="G844" s="20" t="str">
        <x:v>Pendiente</x:v>
      </x:c>
      <x:c r="H844" s="20" t="str"/>
      <x:c r="I844" s="20" t="str"/>
      <x:c r="J844" s="20" t="str"/>
      <x:c r="K844" s="20" t="str"/>
      <x:c r="L844" s="21" t="str"/>
      <x:c r="M844" s="22" t="str"/>
      <x:c r="N844" s="20" t="str"/>
    </x:row>
    <x:row r="845" ht="48" customHeight="1">
      <x:c r="A845" s="9" t="str">
        <x:v>QA-SPE-061</x:v>
      </x:c>
      <x:c r="B845" s="9" t="str">
        <x:v>SPE</x:v>
      </x:c>
      <x:c r="C845" s="9" t="str">
        <x:v>IGTF emisor SPE=True / recibe VES / intermediación financial_institution </x:v>
      </x:c>
      <x:c r="D845" s="9" t="str">
        <x:v>P0</x:v>
      </x:c>
      <x:c r="E845" s="9" t="str">
        <x:v>Positiva</x:v>
      </x:c>
      <x:c r="F845" s="9" t="str">
        <x:v>Navegador + HTTP + persistencia; proveedor doble salvo variante Real DEMO explícita</x:v>
      </x:c>
      <x:c r="G845" s="20" t="str">
        <x:v>Pendiente</x:v>
      </x:c>
      <x:c r="H845" s="20" t="str"/>
      <x:c r="I845" s="20" t="str"/>
      <x:c r="J845" s="20" t="str"/>
      <x:c r="K845" s="20" t="str"/>
      <x:c r="L845" s="21" t="str"/>
      <x:c r="M845" s="22" t="str"/>
      <x:c r="N845" s="20" t="str"/>
    </x:row>
    <x:row r="846" ht="48" customHeight="1">
      <x:c r="A846" s="9" t="str">
        <x:v>QA-SPE-062</x:v>
      </x:c>
      <x:c r="B846" s="9" t="str">
        <x:v>SPE</x:v>
      </x:c>
      <x:c r="C846" s="9" t="str">
        <x:v>IGTF emisor SPE=True / recibe USD / intermediación omitida</x:v>
      </x:c>
      <x:c r="D846" s="9" t="str">
        <x:v>P0</x:v>
      </x:c>
      <x:c r="E846" s="9" t="str">
        <x:v>Negativa</x:v>
      </x:c>
      <x:c r="F846" s="9" t="str">
        <x:v>Navegador + HTTP + persistencia; proveedor doble salvo variante Real DEMO explícita</x:v>
      </x:c>
      <x:c r="G846" s="20" t="str">
        <x:v>Pendiente</x:v>
      </x:c>
      <x:c r="H846" s="20" t="str"/>
      <x:c r="I846" s="20" t="str"/>
      <x:c r="J846" s="20" t="str"/>
      <x:c r="K846" s="20" t="str"/>
      <x:c r="L846" s="21" t="str"/>
      <x:c r="M846" s="22" t="str"/>
      <x:c r="N846" s="20" t="str"/>
    </x:row>
    <x:row r="847" ht="48" customHeight="1">
      <x:c r="A847" s="9" t="str">
        <x:v>QA-SPE-063</x:v>
      </x:c>
      <x:c r="B847" s="9" t="str">
        <x:v>SPE</x:v>
      </x:c>
      <x:c r="C847" s="9" t="str">
        <x:v>IGTF emisor SPE=True / recibe USD / intermediación none</x:v>
      </x:c>
      <x:c r="D847" s="9" t="str">
        <x:v>P0</x:v>
      </x:c>
      <x:c r="E847" s="9" t="str">
        <x:v>Positiva</x:v>
      </x:c>
      <x:c r="F847" s="9" t="str">
        <x:v>Navegador + HTTP + persistencia; proveedor doble salvo variante Real DEMO explícita</x:v>
      </x:c>
      <x:c r="G847" s="20" t="str">
        <x:v>Pendiente</x:v>
      </x:c>
      <x:c r="H847" s="20" t="str"/>
      <x:c r="I847" s="20" t="str"/>
      <x:c r="J847" s="20" t="str"/>
      <x:c r="K847" s="20" t="str"/>
      <x:c r="L847" s="21" t="str"/>
      <x:c r="M847" s="22" t="str"/>
      <x:c r="N847" s="20" t="str"/>
    </x:row>
    <x:row r="848" ht="48" customHeight="1">
      <x:c r="A848" s="9" t="str">
        <x:v>QA-SPE-064</x:v>
      </x:c>
      <x:c r="B848" s="9" t="str">
        <x:v>SPE</x:v>
      </x:c>
      <x:c r="C848" s="9" t="str">
        <x:v>IGTF emisor SPE=True / recibe USD / intermediación financial_institution </x:v>
      </x:c>
      <x:c r="D848" s="9" t="str">
        <x:v>P0</x:v>
      </x:c>
      <x:c r="E848" s="9" t="str">
        <x:v>Positiva</x:v>
      </x:c>
      <x:c r="F848" s="9" t="str">
        <x:v>Navegador + HTTP + persistencia; proveedor doble salvo variante Real DEMO explícita</x:v>
      </x:c>
      <x:c r="G848" s="20" t="str">
        <x:v>Pendiente</x:v>
      </x:c>
      <x:c r="H848" s="20" t="str"/>
      <x:c r="I848" s="20" t="str"/>
      <x:c r="J848" s="20" t="str"/>
      <x:c r="K848" s="20" t="str"/>
      <x:c r="L848" s="21" t="str"/>
      <x:c r="M848" s="22" t="str"/>
      <x:c r="N848" s="20" t="str"/>
    </x:row>
    <x:row r="849" ht="48" customHeight="1">
      <x:c r="A849" s="9" t="str">
        <x:v>QA-RIVA-001</x:v>
      </x:c>
      <x:c r="B849" s="9" t="str">
        <x:v>RIVA</x:v>
      </x:c>
      <x:c r="C849" s="9" t="str">
        <x:v>Propuesta IVA 75 informativa</x:v>
      </x:c>
      <x:c r="D849" s="9" t="str">
        <x:v>P0</x:v>
      </x:c>
      <x:c r="E849" s="9" t="str">
        <x:v>Positiva</x:v>
      </x:c>
      <x:c r="F849" s="9" t="str">
        <x:v>Navegador + HTTP + persistencia; proveedor doble salvo variante Real DEMO explícita</x:v>
      </x:c>
      <x:c r="G849" s="20" t="str">
        <x:v>Pendiente</x:v>
      </x:c>
      <x:c r="H849" s="20" t="str"/>
      <x:c r="I849" s="20" t="str"/>
      <x:c r="J849" s="20" t="str"/>
      <x:c r="K849" s="20" t="str"/>
      <x:c r="L849" s="21" t="str"/>
      <x:c r="M849" s="22" t="str"/>
      <x:c r="N849" s="20" t="str"/>
    </x:row>
    <x:row r="850" ht="48" customHeight="1">
      <x:c r="A850" s="9" t="str">
        <x:v>QA-RIVA-002</x:v>
      </x:c>
      <x:c r="B850" s="9" t="str">
        <x:v>RIVA</x:v>
      </x:c>
      <x:c r="C850" s="9" t="str">
        <x:v>Cobro neto con previsión sin aplicación</x:v>
      </x:c>
      <x:c r="D850" s="9" t="str">
        <x:v>P0</x:v>
      </x:c>
      <x:c r="E850" s="9" t="str">
        <x:v>Positiva</x:v>
      </x:c>
      <x:c r="F850" s="9" t="str">
        <x:v>Navegador + HTTP + persistencia; proveedor doble salvo variante Real DEMO explícita</x:v>
      </x:c>
      <x:c r="G850" s="20" t="str">
        <x:v>Pendiente</x:v>
      </x:c>
      <x:c r="H850" s="20" t="str"/>
      <x:c r="I850" s="20" t="str"/>
      <x:c r="J850" s="20" t="str"/>
      <x:c r="K850" s="20" t="str"/>
      <x:c r="L850" s="21" t="str"/>
      <x:c r="M850" s="22" t="str"/>
      <x:c r="N850" s="20" t="str"/>
    </x:row>
    <x:row r="851" ht="48" customHeight="1">
      <x:c r="A851" s="9" t="str">
        <x:v>QA-RIVA-003</x:v>
      </x:c>
      <x:c r="B851" s="9" t="str">
        <x:v>RIVA</x:v>
      </x:c>
      <x:c r="C851" s="9" t="str">
        <x:v>Desactivar previsión</x:v>
      </x:c>
      <x:c r="D851" s="9" t="str">
        <x:v>P0</x:v>
      </x:c>
      <x:c r="E851" s="9" t="str">
        <x:v>Positiva</x:v>
      </x:c>
      <x:c r="F851" s="9" t="str">
        <x:v>Navegador + HTTP + persistencia; proveedor doble salvo variante Real DEMO explícita</x:v>
      </x:c>
      <x:c r="G851" s="20" t="str">
        <x:v>Pendiente</x:v>
      </x:c>
      <x:c r="H851" s="20" t="str"/>
      <x:c r="I851" s="20" t="str"/>
      <x:c r="J851" s="20" t="str"/>
      <x:c r="K851" s="20" t="str"/>
      <x:c r="L851" s="21" t="str"/>
      <x:c r="M851" s="22" t="str"/>
      <x:c r="N851" s="20" t="str"/>
    </x:row>
    <x:row r="852" ht="48" customHeight="1">
      <x:c r="A852" s="9" t="str">
        <x:v>QA-RIVA-004</x:v>
      </x:c>
      <x:c r="B852" s="9" t="str">
        <x:v>RIVA</x:v>
      </x:c>
      <x:c r="C852" s="9" t="str">
        <x:v>Recalcular por cliente fecha y líneas</x:v>
      </x:c>
      <x:c r="D852" s="9" t="str">
        <x:v>P0</x:v>
      </x:c>
      <x:c r="E852" s="9" t="str">
        <x:v>Positiva</x:v>
      </x:c>
      <x:c r="F852" s="9" t="str">
        <x:v>Navegador + HTTP + persistencia; proveedor doble salvo variante Real DEMO explícita</x:v>
      </x:c>
      <x:c r="G852" s="20" t="str">
        <x:v>Pendiente</x:v>
      </x:c>
      <x:c r="H852" s="20" t="str"/>
      <x:c r="I852" s="20" t="str"/>
      <x:c r="J852" s="20" t="str"/>
      <x:c r="K852" s="20" t="str"/>
      <x:c r="L852" s="21" t="str"/>
      <x:c r="M852" s="22" t="str"/>
      <x:c r="N852" s="20" t="str"/>
    </x:row>
    <x:row r="853" ht="48" customHeight="1">
      <x:c r="A853" s="9" t="str">
        <x:v>QA-RIVA-005</x:v>
      </x:c>
      <x:c r="B853" s="9" t="str">
        <x:v>RIVA</x:v>
      </x:c>
      <x:c r="C853" s="9" t="str">
        <x:v>IVA inexistente no elegible</x:v>
      </x:c>
      <x:c r="D853" s="9" t="str">
        <x:v>P0</x:v>
      </x:c>
      <x:c r="E853" s="9" t="str">
        <x:v>Positiva</x:v>
      </x:c>
      <x:c r="F853" s="9" t="str">
        <x:v>Navegador + HTTP + persistencia; proveedor doble salvo variante Real DEMO explícita</x:v>
      </x:c>
      <x:c r="G853" s="20" t="str">
        <x:v>Pendiente</x:v>
      </x:c>
      <x:c r="H853" s="20" t="str"/>
      <x:c r="I853" s="20" t="str"/>
      <x:c r="J853" s="20" t="str"/>
      <x:c r="K853" s="20" t="str"/>
      <x:c r="L853" s="21" t="str"/>
      <x:c r="M853" s="22" t="str"/>
      <x:c r="N853" s="20" t="str"/>
    </x:row>
    <x:row r="854" ht="48" customHeight="1">
      <x:c r="A854" s="9" t="str">
        <x:v>QA-RIVA-006</x:v>
      </x:c>
      <x:c r="B854" s="9" t="str">
        <x:v>RIVA</x:v>
      </x:c>
      <x:c r="C854" s="9" t="str">
        <x:v>Emisor excluido o formal</x:v>
      </x:c>
      <x:c r="D854" s="9" t="str">
        <x:v>P0</x:v>
      </x:c>
      <x:c r="E854" s="9" t="str">
        <x:v>Positiva</x:v>
      </x:c>
      <x:c r="F854" s="9" t="str">
        <x:v>Navegador + HTTP + persistencia; proveedor doble salvo variante Real DEMO explícita</x:v>
      </x:c>
      <x:c r="G854" s="20" t="str">
        <x:v>Pendiente</x:v>
      </x:c>
      <x:c r="H854" s="20" t="str"/>
      <x:c r="I854" s="20" t="str"/>
      <x:c r="J854" s="20" t="str"/>
      <x:c r="K854" s="20" t="str"/>
      <x:c r="L854" s="21" t="str"/>
      <x:c r="M854" s="22" t="str"/>
      <x:c r="N854" s="20" t="str"/>
    </x:row>
    <x:row r="855" ht="48" customHeight="1">
      <x:c r="A855" s="9" t="str">
        <x:v>QA-RIVA-007</x:v>
      </x:c>
      <x:c r="B855" s="9" t="str">
        <x:v>RIVA</x:v>
      </x:c>
      <x:c r="C855" s="9" t="str">
        <x:v>Número IVA y fecha del comprobante</x:v>
      </x:c>
      <x:c r="D855" s="9" t="str">
        <x:v>P0</x:v>
      </x:c>
      <x:c r="E855" s="9" t="str">
        <x:v>Positiva</x:v>
      </x:c>
      <x:c r="F855" s="9" t="str">
        <x:v>Navegador + HTTP + persistencia; proveedor doble salvo variante Real DEMO explícita</x:v>
      </x:c>
      <x:c r="G855" s="20" t="str">
        <x:v>Pendiente</x:v>
      </x:c>
      <x:c r="H855" s="20" t="str"/>
      <x:c r="I855" s="20" t="str"/>
      <x:c r="J855" s="20" t="str"/>
      <x:c r="K855" s="20" t="str"/>
      <x:c r="L855" s="21" t="str"/>
      <x:c r="M855" s="22" t="str"/>
      <x:c r="N855" s="20" t="str"/>
    </x:row>
    <x:row r="856" ht="48" customHeight="1">
      <x:c r="A856" s="9" t="str">
        <x:v>QA-RIVA-008</x:v>
      </x:c>
      <x:c r="B856" s="9" t="str">
        <x:v>RIVA</x:v>
      </x:c>
      <x:c r="C856" s="9" t="str">
        <x:v>Fecha anterior futura o formato inválido</x:v>
      </x:c>
      <x:c r="D856" s="9" t="str">
        <x:v>P0</x:v>
      </x:c>
      <x:c r="E856" s="9" t="str">
        <x:v>Positiva</x:v>
      </x:c>
      <x:c r="F856" s="9" t="str">
        <x:v>Navegador + HTTP + persistencia; proveedor doble salvo variante Real DEMO explícita</x:v>
      </x:c>
      <x:c r="G856" s="20" t="str">
        <x:v>Pendiente</x:v>
      </x:c>
      <x:c r="H856" s="20" t="str"/>
      <x:c r="I856" s="20" t="str"/>
      <x:c r="J856" s="20" t="str"/>
      <x:c r="K856" s="20" t="str"/>
      <x:c r="L856" s="21" t="str"/>
      <x:c r="M856" s="22" t="str"/>
      <x:c r="N856" s="20" t="str"/>
    </x:row>
    <x:row r="857" ht="48" customHeight="1">
      <x:c r="A857" s="9" t="str">
        <x:v>QA-RIVA-009</x:v>
      </x:c>
      <x:c r="B857" s="9" t="str">
        <x:v>RIVA</x:v>
      </x:c>
      <x:c r="C857" s="9" t="str">
        <x:v>Registro previo a confirmación</x:v>
      </x:c>
      <x:c r="D857" s="9" t="str">
        <x:v>P0</x:v>
      </x:c>
      <x:c r="E857" s="9" t="str">
        <x:v>Positiva</x:v>
      </x:c>
      <x:c r="F857" s="9" t="str">
        <x:v>Navegador + HTTP + persistencia; proveedor doble salvo variante Real DEMO explícita</x:v>
      </x:c>
      <x:c r="G857" s="20" t="str">
        <x:v>Pendiente</x:v>
      </x:c>
      <x:c r="H857" s="20" t="str"/>
      <x:c r="I857" s="20" t="str"/>
      <x:c r="J857" s="20" t="str"/>
      <x:c r="K857" s="20" t="str"/>
      <x:c r="L857" s="21" t="str"/>
      <x:c r="M857" s="22" t="str"/>
      <x:c r="N857" s="20" t="str"/>
    </x:row>
    <x:row r="858" ht="48" customHeight="1">
      <x:c r="A858" s="9" t="str">
        <x:v>QA-RIVA-010</x:v>
      </x:c>
      <x:c r="B858" s="9" t="str">
        <x:v>RIVA</x:v>
      </x:c>
      <x:c r="C858" s="9" t="str">
        <x:v>Aplicación local tras confirmación coincidente</x:v>
      </x:c>
      <x:c r="D858" s="9" t="str">
        <x:v>P0</x:v>
      </x:c>
      <x:c r="E858" s="9" t="str">
        <x:v>Positiva</x:v>
      </x:c>
      <x:c r="F858" s="9" t="str">
        <x:v>Navegador + HTTP + persistencia; proveedor doble salvo variante Real DEMO explícita</x:v>
      </x:c>
      <x:c r="G858" s="20" t="str">
        <x:v>Pendiente</x:v>
      </x:c>
      <x:c r="H858" s="20" t="str"/>
      <x:c r="I858" s="20" t="str"/>
      <x:c r="J858" s="20" t="str"/>
      <x:c r="K858" s="20" t="str"/>
      <x:c r="L858" s="21" t="str"/>
      <x:c r="M858" s="22" t="str"/>
      <x:c r="N858" s="20" t="str"/>
    </x:row>
    <x:row r="859" ht="48" customHeight="1">
      <x:c r="A859" s="9" t="str">
        <x:v>QA-RIVA-011</x:v>
      </x:c>
      <x:c r="B859" s="9" t="str">
        <x:v>RIVA</x:v>
      </x:c>
      <x:c r="C859" s="9" t="str">
        <x:v>Referencia fiscal diferente queda inválida</x:v>
      </x:c>
      <x:c r="D859" s="9" t="str">
        <x:v>P0</x:v>
      </x:c>
      <x:c r="E859" s="9" t="str">
        <x:v>Positiva</x:v>
      </x:c>
      <x:c r="F859" s="9" t="str">
        <x:v>Navegador + HTTP + persistencia; proveedor doble salvo variante Real DEMO explícita</x:v>
      </x:c>
      <x:c r="G859" s="20" t="str">
        <x:v>Pendiente</x:v>
      </x:c>
      <x:c r="H859" s="20" t="str"/>
      <x:c r="I859" s="20" t="str"/>
      <x:c r="J859" s="20" t="str"/>
      <x:c r="K859" s="20" t="str"/>
      <x:c r="L859" s="21" t="str"/>
      <x:c r="M859" s="22" t="str"/>
      <x:c r="N859" s="20" t="str"/>
    </x:row>
    <x:row r="860" ht="48" customHeight="1">
      <x:c r="A860" s="9" t="str">
        <x:v>QA-RIVA-012</x:v>
      </x:c>
      <x:c r="B860" s="9" t="str">
        <x:v>RIVA</x:v>
      </x:c>
      <x:c r="C860" s="9" t="str">
        <x:v>Control sin confirmed no aplica</x:v>
      </x:c>
      <x:c r="D860" s="9" t="str">
        <x:v>P0</x:v>
      </x:c>
      <x:c r="E860" s="9" t="str">
        <x:v>Positiva</x:v>
      </x:c>
      <x:c r="F860" s="9" t="str">
        <x:v>Navegador + HTTP + persistencia; proveedor doble salvo variante Real DEMO explícita</x:v>
      </x:c>
      <x:c r="G860" s="20" t="str">
        <x:v>Pendiente</x:v>
      </x:c>
      <x:c r="H860" s="20" t="str"/>
      <x:c r="I860" s="20" t="str"/>
      <x:c r="J860" s="20" t="str"/>
      <x:c r="K860" s="20" t="str"/>
      <x:c r="L860" s="21" t="str"/>
      <x:c r="M860" s="22" t="str"/>
      <x:c r="N860" s="20" t="str"/>
    </x:row>
    <x:row r="861" ht="48" customHeight="1">
      <x:c r="A861" s="9" t="str">
        <x:v>QA-RIVA-013</x:v>
      </x:c>
      <x:c r="B861" s="9" t="str">
        <x:v>RIVA</x:v>
      </x:c>
      <x:c r="C861" s="9" t="str">
        <x:v>Falla durante activación y savepoint</x:v>
      </x:c>
      <x:c r="D861" s="9" t="str">
        <x:v>P0</x:v>
      </x:c>
      <x:c r="E861" s="9" t="str">
        <x:v>Positiva</x:v>
      </x:c>
      <x:c r="F861" s="9" t="str">
        <x:v>Navegador + HTTP + persistencia; proveedor doble salvo variante Real DEMO explícita</x:v>
      </x:c>
      <x:c r="G861" s="20" t="str">
        <x:v>Pendiente</x:v>
      </x:c>
      <x:c r="H861" s="20" t="str"/>
      <x:c r="I861" s="20" t="str"/>
      <x:c r="J861" s="20" t="str"/>
      <x:c r="K861" s="20" t="str"/>
      <x:c r="L861" s="21" t="str"/>
      <x:c r="M861" s="22" t="str"/>
      <x:c r="N861" s="20" t="str"/>
    </x:row>
    <x:row r="862" ht="48" customHeight="1">
      <x:c r="A862" s="9" t="str">
        <x:v>QA-RIVA-014</x:v>
      </x:c>
      <x:c r="B862" s="9" t="str">
        <x:v>RIVA</x:v>
      </x:c>
      <x:c r="C862" s="9" t="str">
        <x:v>Segundo activo del mismo impuesto</x:v>
      </x:c>
      <x:c r="D862" s="9" t="str">
        <x:v>P0</x:v>
      </x:c>
      <x:c r="E862" s="9" t="str">
        <x:v>Positiva</x:v>
      </x:c>
      <x:c r="F862" s="9" t="str">
        <x:v>Navegador + HTTP + persistencia; proveedor doble salvo variante Real DEMO explícita</x:v>
      </x:c>
      <x:c r="G862" s="20" t="str">
        <x:v>Pendiente</x:v>
      </x:c>
      <x:c r="H862" s="20" t="str"/>
      <x:c r="I862" s="20" t="str"/>
      <x:c r="J862" s="20" t="str"/>
      <x:c r="K862" s="20" t="str"/>
      <x:c r="L862" s="21" t="str"/>
      <x:c r="M862" s="22" t="str"/>
      <x:c r="N862" s="20" t="str"/>
    </x:row>
    <x:row r="863" ht="48" customHeight="1">
      <x:c r="A863" s="9" t="str">
        <x:v>QA-RIVA-015</x:v>
      </x:c>
      <x:c r="B863" s="9" t="str">
        <x:v>RIVA</x:v>
      </x:c>
      <x:c r="C863" s="9" t="str">
        <x:v>Reemplazo con historial</x:v>
      </x:c>
      <x:c r="D863" s="9" t="str">
        <x:v>P0</x:v>
      </x:c>
      <x:c r="E863" s="9" t="str">
        <x:v>Positiva</x:v>
      </x:c>
      <x:c r="F863" s="9" t="str">
        <x:v>Navegador + HTTP + persistencia; proveedor doble salvo variante Real DEMO explícita</x:v>
      </x:c>
      <x:c r="G863" s="20" t="str">
        <x:v>Pendiente</x:v>
      </x:c>
      <x:c r="H863" s="20" t="str"/>
      <x:c r="I863" s="20" t="str"/>
      <x:c r="J863" s="20" t="str"/>
      <x:c r="K863" s="20" t="str"/>
      <x:c r="L863" s="21" t="str"/>
      <x:c r="M863" s="22" t="str"/>
      <x:c r="N863" s="20" t="str"/>
    </x:row>
    <x:row r="864" ht="48" customHeight="1">
      <x:c r="A864" s="9" t="str">
        <x:v>QA-RIVA-016</x:v>
      </x:c>
      <x:c r="B864" s="9" t="str">
        <x:v>RIVA</x:v>
      </x:c>
      <x:c r="C864" s="9" t="str">
        <x:v>UUID obligatorio y replay de registro</x:v>
      </x:c>
      <x:c r="D864" s="9" t="str">
        <x:v>P0</x:v>
      </x:c>
      <x:c r="E864" s="9" t="str">
        <x:v>Positiva</x:v>
      </x:c>
      <x:c r="F864" s="9" t="str">
        <x:v>Navegador + HTTP + persistencia; proveedor doble salvo variante Real DEMO explícita</x:v>
      </x:c>
      <x:c r="G864" s="20" t="str">
        <x:v>Pendiente</x:v>
      </x:c>
      <x:c r="H864" s="20" t="str"/>
      <x:c r="I864" s="20" t="str"/>
      <x:c r="J864" s="20" t="str"/>
      <x:c r="K864" s="20" t="str"/>
      <x:c r="L864" s="21" t="str"/>
      <x:c r="M864" s="22" t="str"/>
      <x:c r="N864" s="20" t="str"/>
    </x:row>
    <x:row r="865" ht="48" customHeight="1">
      <x:c r="A865" s="9" t="str">
        <x:v>QA-RIVA-017</x:v>
      </x:c>
      <x:c r="B865" s="9" t="str">
        <x:v>RIVA</x:v>
      </x:c>
      <x:c r="C865" s="9" t="str">
        <x:v>Carrera de dos comprobantes</x:v>
      </x:c>
      <x:c r="D865" s="9" t="str">
        <x:v>P0</x:v>
      </x:c>
      <x:c r="E865" s="9" t="str">
        <x:v>Positiva</x:v>
      </x:c>
      <x:c r="F865" s="9" t="str">
        <x:v>Navegador + HTTP + persistencia; proveedor doble salvo variante Real DEMO explícita</x:v>
      </x:c>
      <x:c r="G865" s="20" t="str">
        <x:v>Pendiente</x:v>
      </x:c>
      <x:c r="H865" s="20" t="str"/>
      <x:c r="I865" s="20" t="str"/>
      <x:c r="J865" s="20" t="str"/>
      <x:c r="K865" s="20" t="str"/>
      <x:c r="L865" s="21" t="str"/>
      <x:c r="M865" s="22" t="str"/>
      <x:c r="N865" s="20" t="str"/>
    </x:row>
    <x:row r="866" ht="48" customHeight="1">
      <x:c r="A866" s="9" t="str">
        <x:v>QA-RIVA-018</x:v>
      </x:c>
      <x:c r="B866" s="9" t="str">
        <x:v>RIVA</x:v>
      </x:c>
      <x:c r="C866" s="9" t="str">
        <x:v>Agente y facultad a fecha propia</x:v>
      </x:c>
      <x:c r="D866" s="9" t="str">
        <x:v>P0</x:v>
      </x:c>
      <x:c r="E866" s="9" t="str">
        <x:v>Positiva</x:v>
      </x:c>
      <x:c r="F866" s="9" t="str">
        <x:v>Navegador + HTTP + persistencia; proveedor doble salvo variante Real DEMO explícita</x:v>
      </x:c>
      <x:c r="G866" s="20" t="str">
        <x:v>Pendiente</x:v>
      </x:c>
      <x:c r="H866" s="20" t="str"/>
      <x:c r="I866" s="20" t="str"/>
      <x:c r="J866" s="20" t="str"/>
      <x:c r="K866" s="20" t="str"/>
      <x:c r="L866" s="21" t="str"/>
      <x:c r="M866" s="22" t="str"/>
      <x:c r="N866" s="20" t="str"/>
    </x:row>
    <x:row r="867" ht="48" customHeight="1">
      <x:c r="A867" s="9" t="str">
        <x:v>QA-RIVA-019</x:v>
      </x:c>
      <x:c r="B867" s="9" t="str">
        <x:v>RIVA</x:v>
      </x:c>
      <x:c r="C867" s="9" t="str">
        <x:v>IVA y base imponible son distintos</x:v>
      </x:c>
      <x:c r="D867" s="9" t="str">
        <x:v>P0</x:v>
      </x:c>
      <x:c r="E867" s="9" t="str">
        <x:v>Positiva</x:v>
      </x:c>
      <x:c r="F867" s="9" t="str">
        <x:v>Navegador + HTTP + persistencia; proveedor doble salvo variante Real DEMO explícita</x:v>
      </x:c>
      <x:c r="G867" s="20" t="str">
        <x:v>Pendiente</x:v>
      </x:c>
      <x:c r="H867" s="20" t="str"/>
      <x:c r="I867" s="20" t="str"/>
      <x:c r="J867" s="20" t="str"/>
      <x:c r="K867" s="20" t="str"/>
      <x:c r="L867" s="21" t="str"/>
      <x:c r="M867" s="22" t="str"/>
      <x:c r="N867" s="20" t="str"/>
    </x:row>
    <x:row r="868" ht="48" customHeight="1">
      <x:c r="A868" s="9" t="str">
        <x:v>QA-RIVA-020</x:v>
      </x:c>
      <x:c r="B868" s="9" t="str">
        <x:v>RIVA</x:v>
      </x:c>
      <x:c r="C868" s="9" t="str">
        <x:v>IVA parcial en una alícuota</x:v>
      </x:c>
      <x:c r="D868" s="9" t="str">
        <x:v>P0</x:v>
      </x:c>
      <x:c r="E868" s="9" t="str">
        <x:v>Positiva</x:v>
      </x:c>
      <x:c r="F868" s="9" t="str">
        <x:v>Navegador + HTTP + persistencia; proveedor doble salvo variante Real DEMO explícita</x:v>
      </x:c>
      <x:c r="G868" s="20" t="str">
        <x:v>Pendiente</x:v>
      </x:c>
      <x:c r="H868" s="20" t="str"/>
      <x:c r="I868" s="20" t="str"/>
      <x:c r="J868" s="20" t="str"/>
      <x:c r="K868" s="20" t="str"/>
      <x:c r="L868" s="21" t="str"/>
      <x:c r="M868" s="22" t="str"/>
      <x:c r="N868" s="20" t="str"/>
    </x:row>
    <x:row r="869" ht="48" customHeight="1">
      <x:c r="A869" s="9" t="str">
        <x:v>QA-RIVA-021</x:v>
      </x:c>
      <x:c r="B869" s="9" t="str">
        <x:v>RIVA</x:v>
      </x:c>
      <x:c r="C869" s="9" t="str">
        <x:v>Alícuotas mixtas completas</x:v>
      </x:c>
      <x:c r="D869" s="9" t="str">
        <x:v>P0</x:v>
      </x:c>
      <x:c r="E869" s="9" t="str">
        <x:v>Positiva</x:v>
      </x:c>
      <x:c r="F869" s="9" t="str">
        <x:v>Navegador + HTTP + persistencia; proveedor doble salvo variante Real DEMO explícita</x:v>
      </x:c>
      <x:c r="G869" s="20" t="str">
        <x:v>Pendiente</x:v>
      </x:c>
      <x:c r="H869" s="20" t="str"/>
      <x:c r="I869" s="20" t="str"/>
      <x:c r="J869" s="20" t="str"/>
      <x:c r="K869" s="20" t="str"/>
      <x:c r="L869" s="21" t="str"/>
      <x:c r="M869" s="22" t="str"/>
      <x:c r="N869" s="20" t="str"/>
    </x:row>
    <x:row r="870" ht="48" customHeight="1">
      <x:c r="A870" s="9" t="str">
        <x:v>QA-RIVA-022</x:v>
      </x:c>
      <x:c r="B870" s="9" t="str">
        <x:v>RIVA</x:v>
      </x:c>
      <x:c r="C870" s="9" t="str">
        <x:v>Alícuotas mixtas parciales sin desglose</x:v>
      </x:c>
      <x:c r="D870" s="9" t="str">
        <x:v>P0</x:v>
      </x:c>
      <x:c r="E870" s="9" t="str">
        <x:v>Positiva</x:v>
      </x:c>
      <x:c r="F870" s="9" t="str">
        <x:v>Navegador + HTTP + persistencia; proveedor doble salvo variante Real DEMO explícita</x:v>
      </x:c>
      <x:c r="G870" s="20" t="str">
        <x:v>Pendiente</x:v>
      </x:c>
      <x:c r="H870" s="20" t="str"/>
      <x:c r="I870" s="20" t="str"/>
      <x:c r="J870" s="20" t="str"/>
      <x:c r="K870" s="20" t="str"/>
      <x:c r="L870" s="21" t="str"/>
      <x:c r="M870" s="22" t="str"/>
      <x:c r="N870" s="20" t="str"/>
    </x:row>
    <x:row r="871" ht="48" customHeight="1">
      <x:c r="A871" s="9" t="str">
        <x:v>QA-RIVA-023</x:v>
      </x:c>
      <x:c r="B871" s="9" t="str">
        <x:v>RIVA</x:v>
      </x:c>
      <x:c r="C871" s="9" t="str">
        <x:v>Límites fiscales y saldo</x:v>
      </x:c>
      <x:c r="D871" s="9" t="str">
        <x:v>P0</x:v>
      </x:c>
      <x:c r="E871" s="9" t="str">
        <x:v>Positiva</x:v>
      </x:c>
      <x:c r="F871" s="9" t="str">
        <x:v>Navegador + HTTP + persistencia; proveedor doble salvo variante Real DEMO explícita</x:v>
      </x:c>
      <x:c r="G871" s="20" t="str">
        <x:v>Pendiente</x:v>
      </x:c>
      <x:c r="H871" s="20" t="str"/>
      <x:c r="I871" s="20" t="str"/>
      <x:c r="J871" s="20" t="str"/>
      <x:c r="K871" s="20" t="str"/>
      <x:c r="L871" s="21" t="str"/>
      <x:c r="M871" s="22" t="str"/>
      <x:c r="N871" s="20" t="str"/>
    </x:row>
    <x:row r="872" ht="48" customHeight="1">
      <x:c r="A872" s="9" t="str">
        <x:v>QA-RIVA-024</x:v>
      </x:c>
      <x:c r="B872" s="9" t="str">
        <x:v>RIVA</x:v>
      </x:c>
      <x:c r="C872" s="9" t="str">
        <x:v>Porcentaje y sustraendo inválidos</x:v>
      </x:c>
      <x:c r="D872" s="9" t="str">
        <x:v>P0</x:v>
      </x:c>
      <x:c r="E872" s="9" t="str">
        <x:v>Positiva</x:v>
      </x:c>
      <x:c r="F872" s="9" t="str">
        <x:v>Navegador + HTTP + persistencia; proveedor doble salvo variante Real DEMO explícita</x:v>
      </x:c>
      <x:c r="G872" s="20" t="str">
        <x:v>Pendiente</x:v>
      </x:c>
      <x:c r="H872" s="20" t="str"/>
      <x:c r="I872" s="20" t="str"/>
      <x:c r="J872" s="20" t="str"/>
      <x:c r="K872" s="20" t="str"/>
      <x:c r="L872" s="21" t="str"/>
      <x:c r="M872" s="22" t="str"/>
      <x:c r="N872" s="20" t="str"/>
    </x:row>
    <x:row r="873" ht="48" customHeight="1">
      <x:c r="A873" s="9" t="str">
        <x:v>QA-RIVA-025</x:v>
      </x:c>
      <x:c r="B873" s="9" t="str">
        <x:v>RIVA</x:v>
      </x:c>
      <x:c r="C873" s="9" t="str">
        <x:v>Conversión conserva cap fiscal VES</x:v>
      </x:c>
      <x:c r="D873" s="9" t="str">
        <x:v>P0</x:v>
      </x:c>
      <x:c r="E873" s="9" t="str">
        <x:v>Positiva</x:v>
      </x:c>
      <x:c r="F873" s="9" t="str">
        <x:v>Navegador + HTTP + persistencia; proveedor doble salvo variante Real DEMO explícita</x:v>
      </x:c>
      <x:c r="G873" s="20" t="str">
        <x:v>Pendiente</x:v>
      </x:c>
      <x:c r="H873" s="20" t="str"/>
      <x:c r="I873" s="20" t="str"/>
      <x:c r="J873" s="20" t="str"/>
      <x:c r="K873" s="20" t="str"/>
      <x:c r="L873" s="21" t="str"/>
      <x:c r="M873" s="22" t="str"/>
      <x:c r="N873" s="20" t="str"/>
    </x:row>
    <x:row r="874" ht="48" customHeight="1">
      <x:c r="A874" s="9" t="str">
        <x:v>QA-RIVA-026</x:v>
      </x:c>
      <x:c r="B874" s="9" t="str">
        <x:v>RIVA</x:v>
      </x:c>
      <x:c r="C874" s="9" t="str">
        <x:v>Conversión directa del payload</x:v>
      </x:c>
      <x:c r="D874" s="9" t="str">
        <x:v>P0</x:v>
      </x:c>
      <x:c r="E874" s="9" t="str">
        <x:v>Positiva</x:v>
      </x:c>
      <x:c r="F874" s="9" t="str">
        <x:v>Navegador + HTTP + persistencia; proveedor doble salvo variante Real DEMO explícita</x:v>
      </x:c>
      <x:c r="G874" s="20" t="str">
        <x:v>Pendiente</x:v>
      </x:c>
      <x:c r="H874" s="20" t="str"/>
      <x:c r="I874" s="20" t="str"/>
      <x:c r="J874" s="20" t="str"/>
      <x:c r="K874" s="20" t="str"/>
      <x:c r="L874" s="21" t="str"/>
      <x:c r="M874" s="22" t="str"/>
      <x:c r="N874" s="20" t="str"/>
    </x:row>
    <x:row r="875" ht="48" customHeight="1">
      <x:c r="A875" s="9" t="str">
        <x:v>QA-RIVA-027</x:v>
      </x:c>
      <x:c r="B875" s="9" t="str">
        <x:v>RIVA</x:v>
      </x:c>
      <x:c r="C875" s="9" t="str">
        <x:v>Rollback comercial no transmite retención</x:v>
      </x:c>
      <x:c r="D875" s="9" t="str">
        <x:v>P0</x:v>
      </x:c>
      <x:c r="E875" s="9" t="str">
        <x:v>Positiva</x:v>
      </x:c>
      <x:c r="F875" s="9" t="str">
        <x:v>Navegador + HTTP + persistencia; proveedor doble salvo variante Real DEMO explícita</x:v>
      </x:c>
      <x:c r="G875" s="20" t="str">
        <x:v>Pendiente</x:v>
      </x:c>
      <x:c r="H875" s="20" t="str"/>
      <x:c r="I875" s="20" t="str"/>
      <x:c r="J875" s="20" t="str"/>
      <x:c r="K875" s="20" t="str"/>
      <x:c r="L875" s="21" t="str"/>
      <x:c r="M875" s="22" t="str"/>
      <x:c r="N875" s="20" t="str"/>
    </x:row>
    <x:row r="876" ht="48" customHeight="1">
      <x:c r="A876" s="9" t="str">
        <x:v>QA-RIVA-028</x:v>
      </x:c>
      <x:c r="B876" s="9" t="str">
        <x:v>RIVA</x:v>
      </x:c>
      <x:c r="C876" s="9" t="str">
        <x:v>GET antes y después de POST</x:v>
      </x:c>
      <x:c r="D876" s="9" t="str">
        <x:v>P0</x:v>
      </x:c>
      <x:c r="E876" s="9" t="str">
        <x:v>Positiva</x:v>
      </x:c>
      <x:c r="F876" s="9" t="str">
        <x:v>Navegador + HTTP + persistencia; proveedor doble salvo variante Real DEMO explícita</x:v>
      </x:c>
      <x:c r="G876" s="20" t="str">
        <x:v>Pendiente</x:v>
      </x:c>
      <x:c r="H876" s="20" t="str"/>
      <x:c r="I876" s="20" t="str"/>
      <x:c r="J876" s="20" t="str"/>
      <x:c r="K876" s="20" t="str"/>
      <x:c r="L876" s="21" t="str"/>
      <x:c r="M876" s="22" t="str"/>
      <x:c r="N876" s="20" t="str"/>
    </x:row>
    <x:row r="877" ht="48" customHeight="1">
      <x:c r="A877" s="9" t="str">
        <x:v>QA-RIVA-029</x:v>
      </x:c>
      <x:c r="B877" s="9" t="str">
        <x:v>RIVA</x:v>
      </x:c>
      <x:c r="C877" s="9" t="str">
        <x:v>Adoptar retención remota exacta</x:v>
      </x:c>
      <x:c r="D877" s="9" t="str">
        <x:v>P0</x:v>
      </x:c>
      <x:c r="E877" s="9" t="str">
        <x:v>Positiva</x:v>
      </x:c>
      <x:c r="F877" s="9" t="str">
        <x:v>Navegador + HTTP + persistencia; proveedor doble salvo variante Real DEMO explícita</x:v>
      </x:c>
      <x:c r="G877" s="20" t="str">
        <x:v>Pendiente</x:v>
      </x:c>
      <x:c r="H877" s="20" t="str"/>
      <x:c r="I877" s="20" t="str"/>
      <x:c r="J877" s="20" t="str"/>
      <x:c r="K877" s="20" t="str"/>
      <x:c r="L877" s="21" t="str"/>
      <x:c r="M877" s="22" t="str"/>
      <x:c r="N877" s="20" t="str"/>
    </x:row>
    <x:row r="878" ht="48" customHeight="1">
      <x:c r="A878" s="9" t="str">
        <x:v>QA-RIVA-030</x:v>
      </x:c>
      <x:c r="B878" s="9" t="str">
        <x:v>RIVA</x:v>
      </x:c>
      <x:c r="C878" s="9" t="str">
        <x:v>Conflicto remoto no se sobrescribe</x:v>
      </x:c>
      <x:c r="D878" s="9" t="str">
        <x:v>P0</x:v>
      </x:c>
      <x:c r="E878" s="9" t="str">
        <x:v>Positiva</x:v>
      </x:c>
      <x:c r="F878" s="9" t="str">
        <x:v>Navegador + HTTP + persistencia; proveedor doble salvo variante Real DEMO explícita</x:v>
      </x:c>
      <x:c r="G878" s="20" t="str">
        <x:v>Pendiente</x:v>
      </x:c>
      <x:c r="H878" s="20" t="str"/>
      <x:c r="I878" s="20" t="str"/>
      <x:c r="J878" s="20" t="str"/>
      <x:c r="K878" s="20" t="str"/>
      <x:c r="L878" s="21" t="str"/>
      <x:c r="M878" s="22" t="str"/>
      <x:c r="N878" s="20" t="str"/>
    </x:row>
    <x:row r="879" ht="48" customHeight="1">
      <x:c r="A879" s="9" t="str">
        <x:v>QA-RIVA-031</x:v>
      </x:c>
      <x:c r="B879" s="9" t="str">
        <x:v>RIVA</x:v>
      </x:c>
      <x:c r="C879" s="9" t="str">
        <x:v>Respuesta parcial es incertidumbre</x:v>
      </x:c>
      <x:c r="D879" s="9" t="str">
        <x:v>P0</x:v>
      </x:c>
      <x:c r="E879" s="9" t="str">
        <x:v>Positiva</x:v>
      </x:c>
      <x:c r="F879" s="9" t="str">
        <x:v>Navegador + HTTP + persistencia; proveedor doble salvo variante Real DEMO explícita</x:v>
      </x:c>
      <x:c r="G879" s="20" t="str">
        <x:v>Pendiente</x:v>
      </x:c>
      <x:c r="H879" s="20" t="str"/>
      <x:c r="I879" s="20" t="str"/>
      <x:c r="J879" s="20" t="str"/>
      <x:c r="K879" s="20" t="str"/>
      <x:c r="L879" s="21" t="str"/>
      <x:c r="M879" s="22" t="str"/>
      <x:c r="N879" s="20" t="str"/>
    </x:row>
    <x:row r="880" ht="48" customHeight="1">
      <x:c r="A880" s="9" t="str">
        <x:v>QA-RIVA-032</x:v>
      </x:c>
      <x:c r="B880" s="9" t="str">
        <x:v>RIVA</x:v>
      </x:c>
      <x:c r="C880" s="9" t="str">
        <x:v>Ausencia IVA exacta 203</x:v>
      </x:c>
      <x:c r="D880" s="9" t="str">
        <x:v>P0</x:v>
      </x:c>
      <x:c r="E880" s="9" t="str">
        <x:v>Positiva</x:v>
      </x:c>
      <x:c r="F880" s="9" t="str">
        <x:v>Navegador + HTTP + persistencia; proveedor doble salvo variante Real DEMO explícita</x:v>
      </x:c>
      <x:c r="G880" s="20" t="str">
        <x:v>Pendiente</x:v>
      </x:c>
      <x:c r="H880" s="20" t="str"/>
      <x:c r="I880" s="20" t="str"/>
      <x:c r="J880" s="20" t="str"/>
      <x:c r="K880" s="20" t="str"/>
      <x:c r="L880" s="21" t="str"/>
      <x:c r="M880" s="22" t="str"/>
      <x:c r="N880" s="20" t="str"/>
    </x:row>
    <x:row r="881" ht="48" customHeight="1">
      <x:c r="A881" s="9" t="str">
        <x:v>QA-RIVA-033</x:v>
      </x:c>
      <x:c r="B881" s="9" t="str">
        <x:v>RIVA</x:v>
      </x:c>
      <x:c r="C881" s="9" t="str">
        <x:v>Ausencia IVA vacía coherente</x:v>
      </x:c>
      <x:c r="D881" s="9" t="str">
        <x:v>P0</x:v>
      </x:c>
      <x:c r="E881" s="9" t="str">
        <x:v>Positiva</x:v>
      </x:c>
      <x:c r="F881" s="9" t="str">
        <x:v>Navegador + HTTP + persistencia; proveedor doble salvo variante Real DEMO explícita</x:v>
      </x:c>
      <x:c r="G881" s="20" t="str">
        <x:v>Pendiente</x:v>
      </x:c>
      <x:c r="H881" s="20" t="str"/>
      <x:c r="I881" s="20" t="str"/>
      <x:c r="J881" s="20" t="str"/>
      <x:c r="K881" s="20" t="str"/>
      <x:c r="L881" s="21" t="str"/>
      <x:c r="M881" s="22" t="str"/>
      <x:c r="N881" s="20" t="str"/>
    </x:row>
    <x:row r="882" ht="48" customHeight="1">
      <x:c r="A882" s="9" t="str">
        <x:v>QA-RIVA-034</x:v>
      </x:c>
      <x:c r="B882" s="9" t="str">
        <x:v>RIVA</x:v>
      </x:c>
      <x:c r="C882" s="9" t="str">
        <x:v>Identidad HKA congelada</x:v>
      </x:c>
      <x:c r="D882" s="9" t="str">
        <x:v>P0</x:v>
      </x:c>
      <x:c r="E882" s="9" t="str">
        <x:v>Positiva</x:v>
      </x:c>
      <x:c r="F882" s="9" t="str">
        <x:v>Navegador + HTTP + persistencia; proveedor doble salvo variante Real DEMO explícita</x:v>
      </x:c>
      <x:c r="G882" s="20" t="str">
        <x:v>Pendiente</x:v>
      </x:c>
      <x:c r="H882" s="20" t="str"/>
      <x:c r="I882" s="20" t="str"/>
      <x:c r="J882" s="20" t="str"/>
      <x:c r="K882" s="20" t="str"/>
      <x:c r="L882" s="21" t="str"/>
      <x:c r="M882" s="22" t="str"/>
      <x:c r="N882" s="20" t="str"/>
    </x:row>
    <x:row r="883" ht="48" customHeight="1">
      <x:c r="A883" s="9" t="str">
        <x:v>QA-RIVA-035</x:v>
      </x:c>
      <x:c r="B883" s="9" t="str">
        <x:v>RIVA</x:v>
      </x:c>
      <x:c r="C883" s="9" t="str">
        <x:v>Ventana propia 90 segundos</x:v>
      </x:c>
      <x:c r="D883" s="9" t="str">
        <x:v>P0</x:v>
      </x:c>
      <x:c r="E883" s="9" t="str">
        <x:v>Positiva</x:v>
      </x:c>
      <x:c r="F883" s="9" t="str">
        <x:v>Navegador + HTTP + persistencia; proveedor doble salvo variante Real DEMO explícita</x:v>
      </x:c>
      <x:c r="G883" s="20" t="str">
        <x:v>Pendiente</x:v>
      </x:c>
      <x:c r="H883" s="20" t="str"/>
      <x:c r="I883" s="20" t="str"/>
      <x:c r="J883" s="20" t="str"/>
      <x:c r="K883" s="20" t="str"/>
      <x:c r="L883" s="21" t="str"/>
      <x:c r="M883" s="22" t="str"/>
      <x:c r="N883" s="20" t="str"/>
    </x:row>
    <x:row r="884" ht="48" customHeight="1">
      <x:c r="A884" s="9" t="str">
        <x:v>QA-RIVA-036</x:v>
      </x:c>
      <x:c r="B884" s="9" t="str">
        <x:v>RIVA</x:v>
      </x:c>
      <x:c r="C884" s="9" t="str">
        <x:v>Recuperación programada por tenant</x:v>
      </x:c>
      <x:c r="D884" s="9" t="str">
        <x:v>P0</x:v>
      </x:c>
      <x:c r="E884" s="9" t="str">
        <x:v>Positiva</x:v>
      </x:c>
      <x:c r="F884" s="9" t="str">
        <x:v>Navegador + HTTP + persistencia; proveedor doble salvo variante Real DEMO explícita</x:v>
      </x:c>
      <x:c r="G884" s="20" t="str">
        <x:v>Pendiente</x:v>
      </x:c>
      <x:c r="H884" s="20" t="str"/>
      <x:c r="I884" s="20" t="str"/>
      <x:c r="J884" s="20" t="str"/>
      <x:c r="K884" s="20" t="str"/>
      <x:c r="L884" s="21" t="str"/>
      <x:c r="M884" s="22" t="str"/>
      <x:c r="N884" s="20" t="str"/>
    </x:row>
    <x:row r="885" ht="48" customHeight="1">
      <x:c r="A885" s="9" t="str">
        <x:v>QA-RIVA-037</x:v>
      </x:c>
      <x:c r="B885" s="9" t="str">
        <x:v>RIVA</x:v>
      </x:c>
      <x:c r="C885" s="9" t="str">
        <x:v>Reversión sin remoto observado</x:v>
      </x:c>
      <x:c r="D885" s="9" t="str">
        <x:v>P0</x:v>
      </x:c>
      <x:c r="E885" s="9" t="str">
        <x:v>Positiva</x:v>
      </x:c>
      <x:c r="F885" s="9" t="str">
        <x:v>Navegador + HTTP + persistencia; proveedor doble salvo variante Real DEMO explícita</x:v>
      </x:c>
      <x:c r="G885" s="20" t="str">
        <x:v>Pendiente</x:v>
      </x:c>
      <x:c r="H885" s="20" t="str"/>
      <x:c r="I885" s="20" t="str"/>
      <x:c r="J885" s="20" t="str"/>
      <x:c r="K885" s="20" t="str"/>
      <x:c r="L885" s="21" t="str"/>
      <x:c r="M885" s="22" t="str"/>
      <x:c r="N885" s="20" t="str"/>
    </x:row>
    <x:row r="886" ht="48" customHeight="1">
      <x:c r="A886" s="9" t="str">
        <x:v>QA-RIVA-038</x:v>
      </x:c>
      <x:c r="B886" s="9" t="str">
        <x:v>RIVA</x:v>
      </x:c>
      <x:c r="C886" s="9" t="str">
        <x:v>Reversión remota con prueba de ausencia</x:v>
      </x:c>
      <x:c r="D886" s="9" t="str">
        <x:v>P0</x:v>
      </x:c>
      <x:c r="E886" s="9" t="str">
        <x:v>Positiva</x:v>
      </x:c>
      <x:c r="F886" s="9" t="str">
        <x:v>Navegador + HTTP + persistencia; proveedor doble salvo variante Real DEMO explícita</x:v>
      </x:c>
      <x:c r="G886" s="20" t="str">
        <x:v>Pendiente</x:v>
      </x:c>
      <x:c r="H886" s="20" t="str"/>
      <x:c r="I886" s="20" t="str"/>
      <x:c r="J886" s="20" t="str"/>
      <x:c r="K886" s="20" t="str"/>
      <x:c r="L886" s="21" t="str"/>
      <x:c r="M886" s="22" t="str"/>
      <x:c r="N886" s="20" t="str"/>
    </x:row>
    <x:row r="887" ht="48" customHeight="1">
      <x:c r="A887" s="9" t="str">
        <x:v>QA-RIVA-039</x:v>
      </x:c>
      <x:c r="B887" s="9" t="str">
        <x:v>RIVA</x:v>
      </x:c>
      <x:c r="C887" s="9" t="str">
        <x:v>Reversión remota timeout/conflicto</x:v>
      </x:c>
      <x:c r="D887" s="9" t="str">
        <x:v>P0</x:v>
      </x:c>
      <x:c r="E887" s="9" t="str">
        <x:v>Positiva</x:v>
      </x:c>
      <x:c r="F887" s="9" t="str">
        <x:v>Navegador + HTTP + persistencia; proveedor doble salvo variante Real DEMO explícita</x:v>
      </x:c>
      <x:c r="G887" s="20" t="str">
        <x:v>Pendiente</x:v>
      </x:c>
      <x:c r="H887" s="20" t="str"/>
      <x:c r="I887" s="20" t="str"/>
      <x:c r="J887" s="20" t="str"/>
      <x:c r="K887" s="20" t="str"/>
      <x:c r="L887" s="21" t="str"/>
      <x:c r="M887" s="22" t="str"/>
      <x:c r="N887" s="20" t="str"/>
    </x:row>
    <x:row r="888" ht="48" customHeight="1">
      <x:c r="A888" s="9" t="str">
        <x:v>QA-RIVA-040</x:v>
      </x:c>
      <x:c r="B888" s="9" t="str">
        <x:v>RIVA</x:v>
      </x:c>
      <x:c r="C888" s="9" t="str">
        <x:v>Reversión idempotente y permisos</x:v>
      </x:c>
      <x:c r="D888" s="9" t="str">
        <x:v>P0</x:v>
      </x:c>
      <x:c r="E888" s="9" t="str">
        <x:v>Positiva</x:v>
      </x:c>
      <x:c r="F888" s="9" t="str">
        <x:v>Navegador + HTTP + persistencia; proveedor doble salvo variante Real DEMO explícita</x:v>
      </x:c>
      <x:c r="G888" s="20" t="str">
        <x:v>Pendiente</x:v>
      </x:c>
      <x:c r="H888" s="20" t="str"/>
      <x:c r="I888" s="20" t="str"/>
      <x:c r="J888" s="20" t="str"/>
      <x:c r="K888" s="20" t="str"/>
      <x:c r="L888" s="21" t="str"/>
      <x:c r="M888" s="22" t="str"/>
      <x:c r="N888" s="20" t="str"/>
    </x:row>
    <x:row r="889" ht="48" customHeight="1">
      <x:c r="A889" s="9" t="str">
        <x:v>QA-RIVA-041</x:v>
      </x:c>
      <x:c r="B889" s="9" t="str">
        <x:v>RIVA</x:v>
      </x:c>
      <x:c r="C889" s="9" t="str">
        <x:v>Respuesta de intento antiguo ignorada</x:v>
      </x:c>
      <x:c r="D889" s="9" t="str">
        <x:v>P0</x:v>
      </x:c>
      <x:c r="E889" s="9" t="str">
        <x:v>Positiva</x:v>
      </x:c>
      <x:c r="F889" s="9" t="str">
        <x:v>Navegador + HTTP + persistencia; proveedor doble salvo variante Real DEMO explícita</x:v>
      </x:c>
      <x:c r="G889" s="20" t="str">
        <x:v>Pendiente</x:v>
      </x:c>
      <x:c r="H889" s="20" t="str"/>
      <x:c r="I889" s="20" t="str"/>
      <x:c r="J889" s="20" t="str"/>
      <x:c r="K889" s="20" t="str"/>
      <x:c r="L889" s="21" t="str"/>
      <x:c r="M889" s="22" t="str"/>
      <x:c r="N889" s="20" t="str"/>
    </x:row>
    <x:row r="890" ht="48" customHeight="1">
      <x:c r="A890" s="9" t="str">
        <x:v>QA-RIVA-042</x:v>
      </x:c>
      <x:c r="B890" s="9" t="str">
        <x:v>RIVA</x:v>
      </x:c>
      <x:c r="C890" s="9" t="str">
        <x:v>DTO limpio y controles por estado</x:v>
      </x:c>
      <x:c r="D890" s="9" t="str">
        <x:v>P0</x:v>
      </x:c>
      <x:c r="E890" s="9" t="str">
        <x:v>Positiva</x:v>
      </x:c>
      <x:c r="F890" s="9" t="str">
        <x:v>Navegador + HTTP + persistencia; proveedor doble salvo variante Real DEMO explícita</x:v>
      </x:c>
      <x:c r="G890" s="20" t="str">
        <x:v>Pendiente</x:v>
      </x:c>
      <x:c r="H890" s="20" t="str"/>
      <x:c r="I890" s="20" t="str"/>
      <x:c r="J890" s="20" t="str"/>
      <x:c r="K890" s="20" t="str"/>
      <x:c r="L890" s="21" t="str"/>
      <x:c r="M890" s="22" t="str"/>
      <x:c r="N890" s="20" t="str"/>
    </x:row>
    <x:row r="891" ht="48" customHeight="1">
      <x:c r="A891" s="9" t="str">
        <x:v>QA-RIVA-043</x:v>
      </x:c>
      <x:c r="B891" s="9" t="str">
        <x:v>RIVA</x:v>
      </x:c>
      <x:c r="C891" s="9" t="str">
        <x:v>Reportes y crédito tras aplicación/reversión</x:v>
      </x:c>
      <x:c r="D891" s="9" t="str">
        <x:v>P0</x:v>
      </x:c>
      <x:c r="E891" s="9" t="str">
        <x:v>Positiva</x:v>
      </x:c>
      <x:c r="F891" s="9" t="str">
        <x:v>Navegador + HTTP + persistencia; proveedor doble salvo variante Real DEMO explícita</x:v>
      </x:c>
      <x:c r="G891" s="20" t="str">
        <x:v>Pendiente</x:v>
      </x:c>
      <x:c r="H891" s="20" t="str"/>
      <x:c r="I891" s="20" t="str"/>
      <x:c r="J891" s="20" t="str"/>
      <x:c r="K891" s="20" t="str"/>
      <x:c r="L891" s="21" t="str"/>
      <x:c r="M891" s="22" t="str"/>
      <x:c r="N891" s="20" t="str"/>
    </x:row>
    <x:row r="892" ht="48" customHeight="1">
      <x:c r="A892" s="9" t="str">
        <x:v>QA-RIVA-044</x:v>
      </x:c>
      <x:c r="B892" s="9" t="str">
        <x:v>RIVA</x:v>
      </x:c>
      <x:c r="C892" s="9" t="str">
        <x:v>Aplicación 100 % con fundamento undisclosed_iva</x:v>
      </x:c>
      <x:c r="D892" s="9" t="str">
        <x:v>P0</x:v>
      </x:c>
      <x:c r="E892" s="9" t="str">
        <x:v>Positiva</x:v>
      </x:c>
      <x:c r="F892" s="9" t="str">
        <x:v>Navegador + HTTP + persistencia; proveedor doble salvo variante Real DEMO explícita</x:v>
      </x:c>
      <x:c r="G892" s="20" t="str">
        <x:v>Pendiente</x:v>
      </x:c>
      <x:c r="H892" s="20" t="str"/>
      <x:c r="I892" s="20" t="str"/>
      <x:c r="J892" s="20" t="str"/>
      <x:c r="K892" s="20" t="str"/>
      <x:c r="L892" s="21" t="str"/>
      <x:c r="M892" s="22" t="str"/>
      <x:c r="N892" s="20" t="str"/>
    </x:row>
    <x:row r="893" ht="48" customHeight="1">
      <x:c r="A893" s="9" t="str">
        <x:v>QA-RIVA-045</x:v>
      </x:c>
      <x:c r="B893" s="9" t="str">
        <x:v>RIVA</x:v>
      </x:c>
      <x:c r="C893" s="9" t="str">
        <x:v>Aplicación 100 % con fundamento invoice_formalities</x:v>
      </x:c>
      <x:c r="D893" s="9" t="str">
        <x:v>P0</x:v>
      </x:c>
      <x:c r="E893" s="9" t="str">
        <x:v>Positiva</x:v>
      </x:c>
      <x:c r="F893" s="9" t="str">
        <x:v>Navegador + HTTP + persistencia; proveedor doble salvo variante Real DEMO explícita</x:v>
      </x:c>
      <x:c r="G893" s="20" t="str">
        <x:v>Pendiente</x:v>
      </x:c>
      <x:c r="H893" s="20" t="str"/>
      <x:c r="I893" s="20" t="str"/>
      <x:c r="J893" s="20" t="str"/>
      <x:c r="K893" s="20" t="str"/>
      <x:c r="L893" s="21" t="str"/>
      <x:c r="M893" s="22" t="str"/>
      <x:c r="N893" s="20" t="str"/>
    </x:row>
    <x:row r="894" ht="48" customHeight="1">
      <x:c r="A894" s="9" t="str">
        <x:v>QA-RIVA-046</x:v>
      </x:c>
      <x:c r="B894" s="9" t="str">
        <x:v>RIVA</x:v>
      </x:c>
      <x:c r="C894" s="9" t="str">
        <x:v>Aplicación 100 % con fundamento portal_100</x:v>
      </x:c>
      <x:c r="D894" s="9" t="str">
        <x:v>P0</x:v>
      </x:c>
      <x:c r="E894" s="9" t="str">
        <x:v>Positiva</x:v>
      </x:c>
      <x:c r="F894" s="9" t="str">
        <x:v>Navegador + HTTP + persistencia; proveedor doble salvo variante Real DEMO explícita</x:v>
      </x:c>
      <x:c r="G894" s="20" t="str">
        <x:v>Pendiente</x:v>
      </x:c>
      <x:c r="H894" s="20" t="str"/>
      <x:c r="I894" s="20" t="str"/>
      <x:c r="J894" s="20" t="str"/>
      <x:c r="K894" s="20" t="str"/>
      <x:c r="L894" s="21" t="str"/>
      <x:c r="M894" s="22" t="str"/>
      <x:c r="N894" s="20" t="str"/>
    </x:row>
    <x:row r="895" ht="48" customHeight="1">
      <x:c r="A895" s="9" t="str">
        <x:v>QA-RIVA-047</x:v>
      </x:c>
      <x:c r="B895" s="9" t="str">
        <x:v>RIVA</x:v>
      </x:c>
      <x:c r="C895" s="9" t="str">
        <x:v>Aplicación 100 % con fundamento unregistered_rif</x:v>
      </x:c>
      <x:c r="D895" s="9" t="str">
        <x:v>P0</x:v>
      </x:c>
      <x:c r="E895" s="9" t="str">
        <x:v>Positiva</x:v>
      </x:c>
      <x:c r="F895" s="9" t="str">
        <x:v>Navegador + HTTP + persistencia; proveedor doble salvo variante Real DEMO explícita</x:v>
      </x:c>
      <x:c r="G895" s="20" t="str">
        <x:v>Pendiente</x:v>
      </x:c>
      <x:c r="H895" s="20" t="str"/>
      <x:c r="I895" s="20" t="str"/>
      <x:c r="J895" s="20" t="str"/>
      <x:c r="K895" s="20" t="str"/>
      <x:c r="L895" s="21" t="str"/>
      <x:c r="M895" s="22" t="str"/>
      <x:c r="N895" s="20" t="str"/>
    </x:row>
    <x:row r="896" ht="48" customHeight="1">
      <x:c r="A896" s="9" t="str">
        <x:v>QA-RIVA-048</x:v>
      </x:c>
      <x:c r="B896" s="9" t="str">
        <x:v>RIVA</x:v>
      </x:c>
      <x:c r="C896" s="9" t="str">
        <x:v>Aplicación 100 % con fundamento precious_metals</x:v>
      </x:c>
      <x:c r="D896" s="9" t="str">
        <x:v>P0</x:v>
      </x:c>
      <x:c r="E896" s="9" t="str">
        <x:v>Positiva</x:v>
      </x:c>
      <x:c r="F896" s="9" t="str">
        <x:v>Navegador + HTTP + persistencia; proveedor doble salvo variante Real DEMO explícita</x:v>
      </x:c>
      <x:c r="G896" s="20" t="str">
        <x:v>Pendiente</x:v>
      </x:c>
      <x:c r="H896" s="20" t="str"/>
      <x:c r="I896" s="20" t="str"/>
      <x:c r="J896" s="20" t="str"/>
      <x:c r="K896" s="20" t="str"/>
      <x:c r="L896" s="21" t="str"/>
      <x:c r="M896" s="22" t="str"/>
      <x:c r="N896" s="20" t="str"/>
    </x:row>
    <x:row r="897" ht="48" customHeight="1">
      <x:c r="A897" s="9" t="str">
        <x:v>QA-RISLR-001</x:v>
      </x:c>
      <x:c r="B897" s="9" t="str">
        <x:v>RISLR</x:v>
      </x:c>
      <x:c r="C897" s="9" t="str">
        <x:v>Catálogo no salarial completo</x:v>
      </x:c>
      <x:c r="D897" s="9" t="str">
        <x:v>P0</x:v>
      </x:c>
      <x:c r="E897" s="9" t="str">
        <x:v>Positiva</x:v>
      </x:c>
      <x:c r="F897" s="9" t="str">
        <x:v>Navegador + HTTP + persistencia; proveedor doble salvo variante Real DEMO explícita</x:v>
      </x:c>
      <x:c r="G897" s="20" t="str">
        <x:v>Pendiente</x:v>
      </x:c>
      <x:c r="H897" s="20" t="str"/>
      <x:c r="I897" s="20" t="str"/>
      <x:c r="J897" s="20" t="str"/>
      <x:c r="K897" s="20" t="str"/>
      <x:c r="L897" s="21" t="str"/>
      <x:c r="M897" s="22" t="str"/>
      <x:c r="N897" s="20" t="str"/>
    </x:row>
    <x:row r="898" ht="48" customHeight="1">
      <x:c r="A898" s="9" t="str">
        <x:v>QA-RISLR-002</x:v>
      </x:c>
      <x:c r="B898" s="9" t="str">
        <x:v>RISLR</x:v>
      </x:c>
      <x:c r="C898" s="9" t="str">
        <x:v>Concepto salarial 001 excluido</x:v>
      </x:c>
      <x:c r="D898" s="9" t="str">
        <x:v>P0</x:v>
      </x:c>
      <x:c r="E898" s="9" t="str">
        <x:v>Positiva</x:v>
      </x:c>
      <x:c r="F898" s="9" t="str">
        <x:v>Navegador + HTTP + persistencia; proveedor doble salvo variante Real DEMO explícita</x:v>
      </x:c>
      <x:c r="G898" s="20" t="str">
        <x:v>Pendiente</x:v>
      </x:c>
      <x:c r="H898" s="20" t="str"/>
      <x:c r="I898" s="20" t="str"/>
      <x:c r="J898" s="20" t="str"/>
      <x:c r="K898" s="20" t="str"/>
      <x:c r="L898" s="21" t="str"/>
      <x:c r="M898" s="22" t="str"/>
      <x:c r="N898" s="20" t="str"/>
    </x:row>
    <x:row r="899" ht="48" customHeight="1">
      <x:c r="A899" s="9" t="str">
        <x:v>QA-RISLR-003</x:v>
      </x:c>
      <x:c r="B899" s="9" t="str">
        <x:v>RISLR</x:v>
      </x:c>
      <x:c r="C899" s="9" t="str">
        <x:v>Concepto inválido o varios</x:v>
      </x:c>
      <x:c r="D899" s="9" t="str">
        <x:v>P0</x:v>
      </x:c>
      <x:c r="E899" s="9" t="str">
        <x:v>Positiva</x:v>
      </x:c>
      <x:c r="F899" s="9" t="str">
        <x:v>Navegador + HTTP + persistencia; proveedor doble salvo variante Real DEMO explícita</x:v>
      </x:c>
      <x:c r="G899" s="20" t="str">
        <x:v>Pendiente</x:v>
      </x:c>
      <x:c r="H899" s="20" t="str"/>
      <x:c r="I899" s="20" t="str"/>
      <x:c r="J899" s="20" t="str"/>
      <x:c r="K899" s="20" t="str"/>
      <x:c r="L899" s="21" t="str"/>
      <x:c r="M899" s="22" t="str"/>
      <x:c r="N899" s="20" t="str"/>
    </x:row>
    <x:row r="900" ht="48" customHeight="1">
      <x:c r="A900" s="9" t="str">
        <x:v>QA-RISLR-004</x:v>
      </x:c>
      <x:c r="B900" s="9" t="str">
        <x:v>RISLR</x:v>
      </x:c>
      <x:c r="C900" s="9" t="str">
        <x:v>Previsión ISLR 3 sin aplicación</x:v>
      </x:c>
      <x:c r="D900" s="9" t="str">
        <x:v>P0</x:v>
      </x:c>
      <x:c r="E900" s="9" t="str">
        <x:v>Positiva</x:v>
      </x:c>
      <x:c r="F900" s="9" t="str">
        <x:v>Navegador + HTTP + persistencia; proveedor doble salvo variante Real DEMO explícita</x:v>
      </x:c>
      <x:c r="G900" s="20" t="str">
        <x:v>Pendiente</x:v>
      </x:c>
      <x:c r="H900" s="20" t="str"/>
      <x:c r="I900" s="20" t="str"/>
      <x:c r="J900" s="20" t="str"/>
      <x:c r="K900" s="20" t="str"/>
      <x:c r="L900" s="21" t="str"/>
      <x:c r="M900" s="22" t="str"/>
      <x:c r="N900" s="20" t="str"/>
    </x:row>
    <x:row r="901" ht="48" customHeight="1">
      <x:c r="A901" s="9" t="str">
        <x:v>QA-RISLR-005</x:v>
      </x:c>
      <x:c r="B901" s="9" t="str">
        <x:v>RISLR</x:v>
      </x:c>
      <x:c r="C901" s="9" t="str">
        <x:v>Previsión con sustraendo declarado</x:v>
      </x:c>
      <x:c r="D901" s="9" t="str">
        <x:v>P0</x:v>
      </x:c>
      <x:c r="E901" s="9" t="str">
        <x:v>Positiva</x:v>
      </x:c>
      <x:c r="F901" s="9" t="str">
        <x:v>Navegador + HTTP + persistencia; proveedor doble salvo variante Real DEMO explícita</x:v>
      </x:c>
      <x:c r="G901" s="20" t="str">
        <x:v>Pendiente</x:v>
      </x:c>
      <x:c r="H901" s="20" t="str"/>
      <x:c r="I901" s="20" t="str"/>
      <x:c r="J901" s="20" t="str"/>
      <x:c r="K901" s="20" t="str"/>
      <x:c r="L901" s="21" t="str"/>
      <x:c r="M901" s="22" t="str"/>
      <x:c r="N901" s="20" t="str"/>
    </x:row>
    <x:row r="902" ht="48" customHeight="1">
      <x:c r="A902" s="9" t="str">
        <x:v>QA-RISLR-006</x:v>
      </x:c>
      <x:c r="B902" s="9" t="str">
        <x:v>RISLR</x:v>
      </x:c>
      <x:c r="C902" s="9" t="str">
        <x:v>Modo full_net y declared</x:v>
      </x:c>
      <x:c r="D902" s="9" t="str">
        <x:v>P0</x:v>
      </x:c>
      <x:c r="E902" s="9" t="str">
        <x:v>Positiva</x:v>
      </x:c>
      <x:c r="F902" s="9" t="str">
        <x:v>Navegador + HTTP + persistencia; proveedor doble salvo variante Real DEMO explícita</x:v>
      </x:c>
      <x:c r="G902" s="20" t="str">
        <x:v>Pendiente</x:v>
      </x:c>
      <x:c r="H902" s="20" t="str"/>
      <x:c r="I902" s="20" t="str"/>
      <x:c r="J902" s="20" t="str"/>
      <x:c r="K902" s="20" t="str"/>
      <x:c r="L902" s="21" t="str"/>
      <x:c r="M902" s="22" t="str"/>
      <x:c r="N902" s="20" t="str"/>
    </x:row>
    <x:row r="903" ht="48" customHeight="1">
      <x:c r="A903" s="9" t="str">
        <x:v>QA-RISLR-007</x:v>
      </x:c>
      <x:c r="B903" s="9" t="str">
        <x:v>RISLR</x:v>
      </x:c>
      <x:c r="C903" s="9" t="str">
        <x:v>Declared sin base y modo inválido</x:v>
      </x:c>
      <x:c r="D903" s="9" t="str">
        <x:v>P0</x:v>
      </x:c>
      <x:c r="E903" s="9" t="str">
        <x:v>Positiva</x:v>
      </x:c>
      <x:c r="F903" s="9" t="str">
        <x:v>Navegador + HTTP + persistencia; proveedor doble salvo variante Real DEMO explícita</x:v>
      </x:c>
      <x:c r="G903" s="20" t="str">
        <x:v>Pendiente</x:v>
      </x:c>
      <x:c r="H903" s="20" t="str"/>
      <x:c r="I903" s="20" t="str"/>
      <x:c r="J903" s="20" t="str"/>
      <x:c r="K903" s="20" t="str"/>
      <x:c r="L903" s="21" t="str"/>
      <x:c r="M903" s="22" t="str"/>
      <x:c r="N903" s="20" t="str"/>
    </x:row>
    <x:row r="904" ht="48" customHeight="1">
      <x:c r="A904" s="9" t="str">
        <x:v>QA-RISLR-008</x:v>
      </x:c>
      <x:c r="B904" s="9" t="str">
        <x:v>RISLR</x:v>
      </x:c>
      <x:c r="C904" s="9" t="str">
        <x:v>Fundamento y evidencia obligatorios</x:v>
      </x:c>
      <x:c r="D904" s="9" t="str">
        <x:v>P0</x:v>
      </x:c>
      <x:c r="E904" s="9" t="str">
        <x:v>Positiva</x:v>
      </x:c>
      <x:c r="F904" s="9" t="str">
        <x:v>Navegador + HTTP + persistencia; proveedor doble salvo variante Real DEMO explícita</x:v>
      </x:c>
      <x:c r="G904" s="20" t="str">
        <x:v>Pendiente</x:v>
      </x:c>
      <x:c r="H904" s="20" t="str"/>
      <x:c r="I904" s="20" t="str"/>
      <x:c r="J904" s="20" t="str"/>
      <x:c r="K904" s="20" t="str"/>
      <x:c r="L904" s="21" t="str"/>
      <x:c r="M904" s="22" t="str"/>
      <x:c r="N904" s="20" t="str"/>
    </x:row>
    <x:row r="905" ht="48" customHeight="1">
      <x:c r="A905" s="9" t="str">
        <x:v>QA-RISLR-009</x:v>
      </x:c>
      <x:c r="B905" s="9" t="str">
        <x:v>RISLR</x:v>
      </x:c>
      <x:c r="C905" s="9" t="str">
        <x:v>Número ISLR textual</x:v>
      </x:c>
      <x:c r="D905" s="9" t="str">
        <x:v>P0</x:v>
      </x:c>
      <x:c r="E905" s="9" t="str">
        <x:v>Positiva</x:v>
      </x:c>
      <x:c r="F905" s="9" t="str">
        <x:v>Navegador + HTTP + persistencia; proveedor doble salvo variante Real DEMO explícita</x:v>
      </x:c>
      <x:c r="G905" s="20" t="str">
        <x:v>Pendiente</x:v>
      </x:c>
      <x:c r="H905" s="20" t="str"/>
      <x:c r="I905" s="20" t="str"/>
      <x:c r="J905" s="20" t="str"/>
      <x:c r="K905" s="20" t="str"/>
      <x:c r="L905" s="21" t="str"/>
      <x:c r="M905" s="22" t="str"/>
      <x:c r="N905" s="20" t="str"/>
    </x:row>
    <x:row r="906" ht="48" customHeight="1">
      <x:c r="A906" s="9" t="str">
        <x:v>QA-RISLR-010</x:v>
      </x:c>
      <x:c r="B906" s="9" t="str">
        <x:v>RISLR</x:v>
      </x:c>
      <x:c r="C906" s="9" t="str">
        <x:v>Número ISLR inválido</x:v>
      </x:c>
      <x:c r="D906" s="9" t="str">
        <x:v>P0</x:v>
      </x:c>
      <x:c r="E906" s="9" t="str">
        <x:v>Positiva</x:v>
      </x:c>
      <x:c r="F906" s="9" t="str">
        <x:v>Navegador + HTTP + persistencia; proveedor doble salvo variante Real DEMO explícita</x:v>
      </x:c>
      <x:c r="G906" s="20" t="str">
        <x:v>Pendiente</x:v>
      </x:c>
      <x:c r="H906" s="20" t="str"/>
      <x:c r="I906" s="20" t="str"/>
      <x:c r="J906" s="20" t="str"/>
      <x:c r="K906" s="20" t="str"/>
      <x:c r="L906" s="21" t="str"/>
      <x:c r="M906" s="22" t="str"/>
      <x:c r="N906" s="20" t="str"/>
    </x:row>
    <x:row r="907" ht="48" customHeight="1">
      <x:c r="A907" s="9" t="str">
        <x:v>QA-RISLR-011</x:v>
      </x:c>
      <x:c r="B907" s="9" t="str">
        <x:v>RISLR</x:v>
      </x:c>
      <x:c r="C907" s="9" t="str">
        <x:v>Porcentaje declarado y bordes</x:v>
      </x:c>
      <x:c r="D907" s="9" t="str">
        <x:v>P0</x:v>
      </x:c>
      <x:c r="E907" s="9" t="str">
        <x:v>Positiva</x:v>
      </x:c>
      <x:c r="F907" s="9" t="str">
        <x:v>Navegador + HTTP + persistencia; proveedor doble salvo variante Real DEMO explícita</x:v>
      </x:c>
      <x:c r="G907" s="20" t="str">
        <x:v>Pendiente</x:v>
      </x:c>
      <x:c r="H907" s="20" t="str"/>
      <x:c r="I907" s="20" t="str"/>
      <x:c r="J907" s="20" t="str"/>
      <x:c r="K907" s="20" t="str"/>
      <x:c r="L907" s="21" t="str"/>
      <x:c r="M907" s="22" t="str"/>
      <x:c r="N907" s="20" t="str"/>
    </x:row>
    <x:row r="908" ht="48" customHeight="1">
      <x:c r="A908" s="9" t="str">
        <x:v>QA-RISLR-012</x:v>
      </x:c>
      <x:c r="B908" s="9" t="str">
        <x:v>RISLR</x:v>
      </x:c>
      <x:c r="C908" s="9" t="str">
        <x:v>Sustraendo y fórmula cero</x:v>
      </x:c>
      <x:c r="D908" s="9" t="str">
        <x:v>P0</x:v>
      </x:c>
      <x:c r="E908" s="9" t="str">
        <x:v>Positiva</x:v>
      </x:c>
      <x:c r="F908" s="9" t="str">
        <x:v>Navegador + HTTP + persistencia; proveedor doble salvo variante Real DEMO explícita</x:v>
      </x:c>
      <x:c r="G908" s="20" t="str">
        <x:v>Pendiente</x:v>
      </x:c>
      <x:c r="H908" s="20" t="str"/>
      <x:c r="I908" s="20" t="str"/>
      <x:c r="J908" s="20" t="str"/>
      <x:c r="K908" s="20" t="str"/>
      <x:c r="L908" s="21" t="str"/>
      <x:c r="M908" s="22" t="str"/>
      <x:c r="N908" s="20" t="str"/>
    </x:row>
    <x:row r="909" ht="48" customHeight="1">
      <x:c r="A909" s="9" t="str">
        <x:v>QA-RISLR-013</x:v>
      </x:c>
      <x:c r="B909" s="9" t="str">
        <x:v>RISLR</x:v>
      </x:c>
      <x:c r="C909" s="9" t="str">
        <x:v>Importe declarado distinto a fórmula</x:v>
      </x:c>
      <x:c r="D909" s="9" t="str">
        <x:v>P0</x:v>
      </x:c>
      <x:c r="E909" s="9" t="str">
        <x:v>Positiva</x:v>
      </x:c>
      <x:c r="F909" s="9" t="str">
        <x:v>Navegador + HTTP + persistencia; proveedor doble salvo variante Real DEMO explícita</x:v>
      </x:c>
      <x:c r="G909" s="20" t="str">
        <x:v>Pendiente</x:v>
      </x:c>
      <x:c r="H909" s="20" t="str"/>
      <x:c r="I909" s="20" t="str"/>
      <x:c r="J909" s="20" t="str"/>
      <x:c r="K909" s="20" t="str"/>
      <x:c r="L909" s="21" t="str"/>
      <x:c r="M909" s="22" t="str"/>
      <x:c r="N909" s="20" t="str"/>
    </x:row>
    <x:row r="910" ht="48" customHeight="1">
      <x:c r="A910" s="9" t="str">
        <x:v>QA-RISLR-014</x:v>
      </x:c>
      <x:c r="B910" s="9" t="str">
        <x:v>RISLR</x:v>
      </x:c>
      <x:c r="C910" s="9" t="str">
        <x:v>Base mayor al neto fiscal</x:v>
      </x:c>
      <x:c r="D910" s="9" t="str">
        <x:v>P0</x:v>
      </x:c>
      <x:c r="E910" s="9" t="str">
        <x:v>Positiva</x:v>
      </x:c>
      <x:c r="F910" s="9" t="str">
        <x:v>Navegador + HTTP + persistencia; proveedor doble salvo variante Real DEMO explícita</x:v>
      </x:c>
      <x:c r="G910" s="20" t="str">
        <x:v>Pendiente</x:v>
      </x:c>
      <x:c r="H910" s="20" t="str"/>
      <x:c r="I910" s="20" t="str"/>
      <x:c r="J910" s="20" t="str"/>
      <x:c r="K910" s="20" t="str"/>
      <x:c r="L910" s="21" t="str"/>
      <x:c r="M910" s="22" t="str"/>
      <x:c r="N910" s="20" t="str"/>
    </x:row>
    <x:row r="911" ht="48" customHeight="1">
      <x:c r="A911" s="9" t="str">
        <x:v>QA-RISLR-015</x:v>
      </x:c>
      <x:c r="B911" s="9" t="str">
        <x:v>RISLR</x:v>
      </x:c>
      <x:c r="C911" s="9" t="str">
        <x:v>Saldo insuficiente</x:v>
      </x:c>
      <x:c r="D911" s="9" t="str">
        <x:v>P0</x:v>
      </x:c>
      <x:c r="E911" s="9" t="str">
        <x:v>Positiva</x:v>
      </x:c>
      <x:c r="F911" s="9" t="str">
        <x:v>Navegador + HTTP + persistencia; proveedor doble salvo variante Real DEMO explícita</x:v>
      </x:c>
      <x:c r="G911" s="20" t="str">
        <x:v>Pendiente</x:v>
      </x:c>
      <x:c r="H911" s="20" t="str"/>
      <x:c r="I911" s="20" t="str"/>
      <x:c r="J911" s="20" t="str"/>
      <x:c r="K911" s="20" t="str"/>
      <x:c r="L911" s="21" t="str"/>
      <x:c r="M911" s="22" t="str"/>
      <x:c r="N911" s="20" t="str"/>
    </x:row>
    <x:row r="912" ht="48" customHeight="1">
      <x:c r="A912" s="9" t="str">
        <x:v>QA-RISLR-016</x:v>
      </x:c>
      <x:c r="B912" s="9" t="str">
        <x:v>RISLR</x:v>
      </x:c>
      <x:c r="C912" s="9" t="str">
        <x:v>Conversión full_net con tasa propia</x:v>
      </x:c>
      <x:c r="D912" s="9" t="str">
        <x:v>P0</x:v>
      </x:c>
      <x:c r="E912" s="9" t="str">
        <x:v>Positiva</x:v>
      </x:c>
      <x:c r="F912" s="9" t="str">
        <x:v>Navegador + HTTP + persistencia; proveedor doble salvo variante Real DEMO explícita</x:v>
      </x:c>
      <x:c r="G912" s="20" t="str">
        <x:v>Pendiente</x:v>
      </x:c>
      <x:c r="H912" s="20" t="str"/>
      <x:c r="I912" s="20" t="str"/>
      <x:c r="J912" s="20" t="str"/>
      <x:c r="K912" s="20" t="str"/>
      <x:c r="L912" s="21" t="str"/>
      <x:c r="M912" s="22" t="str"/>
      <x:c r="N912" s="20" t="str"/>
    </x:row>
    <x:row r="913" ht="48" customHeight="1">
      <x:c r="A913" s="9" t="str">
        <x:v>QA-RISLR-017</x:v>
      </x:c>
      <x:c r="B913" s="9" t="str">
        <x:v>RISLR</x:v>
      </x:c>
      <x:c r="C913" s="9" t="str">
        <x:v>Registro pendiente antes de confirmación</x:v>
      </x:c>
      <x:c r="D913" s="9" t="str">
        <x:v>P0</x:v>
      </x:c>
      <x:c r="E913" s="9" t="str">
        <x:v>Positiva</x:v>
      </x:c>
      <x:c r="F913" s="9" t="str">
        <x:v>Navegador + HTTP + persistencia; proveedor doble salvo variante Real DEMO explícita</x:v>
      </x:c>
      <x:c r="G913" s="20" t="str">
        <x:v>Pendiente</x:v>
      </x:c>
      <x:c r="H913" s="20" t="str"/>
      <x:c r="I913" s="20" t="str"/>
      <x:c r="J913" s="20" t="str"/>
      <x:c r="K913" s="20" t="str"/>
      <x:c r="L913" s="21" t="str"/>
      <x:c r="M913" s="22" t="str"/>
      <x:c r="N913" s="20" t="str"/>
    </x:row>
    <x:row r="914" ht="48" customHeight="1">
      <x:c r="A914" s="9" t="str">
        <x:v>QA-RISLR-018</x:v>
      </x:c>
      <x:c r="B914" s="9" t="str">
        <x:v>RISLR</x:v>
      </x:c>
      <x:c r="C914" s="9" t="str">
        <x:v>Activación coincidente independiente de IVA</x:v>
      </x:c>
      <x:c r="D914" s="9" t="str">
        <x:v>P0</x:v>
      </x:c>
      <x:c r="E914" s="9" t="str">
        <x:v>Positiva</x:v>
      </x:c>
      <x:c r="F914" s="9" t="str">
        <x:v>Navegador + HTTP + persistencia; proveedor doble salvo variante Real DEMO explícita</x:v>
      </x:c>
      <x:c r="G914" s="20" t="str">
        <x:v>Pendiente</x:v>
      </x:c>
      <x:c r="H914" s="20" t="str"/>
      <x:c r="I914" s="20" t="str"/>
      <x:c r="J914" s="20" t="str"/>
      <x:c r="K914" s="20" t="str"/>
      <x:c r="L914" s="21" t="str"/>
      <x:c r="M914" s="22" t="str"/>
      <x:c r="N914" s="20" t="str"/>
    </x:row>
    <x:row r="915" ht="48" customHeight="1">
      <x:c r="A915" s="9" t="str">
        <x:v>QA-RISLR-019</x:v>
      </x:c>
      <x:c r="B915" s="9" t="str">
        <x:v>RISLR</x:v>
      </x:c>
      <x:c r="C915" s="9" t="str">
        <x:v>Referencia inválida y savepoint</x:v>
      </x:c>
      <x:c r="D915" s="9" t="str">
        <x:v>P0</x:v>
      </x:c>
      <x:c r="E915" s="9" t="str">
        <x:v>Positiva</x:v>
      </x:c>
      <x:c r="F915" s="9" t="str">
        <x:v>Navegador + HTTP + persistencia; proveedor doble salvo variante Real DEMO explícita</x:v>
      </x:c>
      <x:c r="G915" s="20" t="str">
        <x:v>Pendiente</x:v>
      </x:c>
      <x:c r="H915" s="20" t="str"/>
      <x:c r="I915" s="20" t="str"/>
      <x:c r="J915" s="20" t="str"/>
      <x:c r="K915" s="20" t="str"/>
      <x:c r="L915" s="21" t="str"/>
      <x:c r="M915" s="22" t="str"/>
      <x:c r="N915" s="20" t="str"/>
    </x:row>
    <x:row r="916" ht="48" customHeight="1">
      <x:c r="A916" s="9" t="str">
        <x:v>QA-RISLR-020</x:v>
      </x:c>
      <x:c r="B916" s="9" t="str">
        <x:v>RISLR</x:v>
      </x:c>
      <x:c r="C916" s="9" t="str">
        <x:v>Un activo ISLR y reemplazo</x:v>
      </x:c>
      <x:c r="D916" s="9" t="str">
        <x:v>P0</x:v>
      </x:c>
      <x:c r="E916" s="9" t="str">
        <x:v>Positiva</x:v>
      </x:c>
      <x:c r="F916" s="9" t="str">
        <x:v>Navegador + HTTP + persistencia; proveedor doble salvo variante Real DEMO explícita</x:v>
      </x:c>
      <x:c r="G916" s="20" t="str">
        <x:v>Pendiente</x:v>
      </x:c>
      <x:c r="H916" s="20" t="str"/>
      <x:c r="I916" s="20" t="str"/>
      <x:c r="J916" s="20" t="str"/>
      <x:c r="K916" s="20" t="str"/>
      <x:c r="L916" s="21" t="str"/>
      <x:c r="M916" s="22" t="str"/>
      <x:c r="N916" s="20" t="str"/>
    </x:row>
    <x:row r="917" ht="48" customHeight="1">
      <x:c r="A917" s="9" t="str">
        <x:v>QA-RISLR-021</x:v>
      </x:c>
      <x:c r="B917" s="9" t="str">
        <x:v>RISLR</x:v>
      </x:c>
      <x:c r="C917" s="9" t="str">
        <x:v>UUID de ISLR y reversión</x:v>
      </x:c>
      <x:c r="D917" s="9" t="str">
        <x:v>P0</x:v>
      </x:c>
      <x:c r="E917" s="9" t="str">
        <x:v>Positiva</x:v>
      </x:c>
      <x:c r="F917" s="9" t="str">
        <x:v>Navegador + HTTP + persistencia; proveedor doble salvo variante Real DEMO explícita</x:v>
      </x:c>
      <x:c r="G917" s="20" t="str">
        <x:v>Pendiente</x:v>
      </x:c>
      <x:c r="H917" s="20" t="str"/>
      <x:c r="I917" s="20" t="str"/>
      <x:c r="J917" s="20" t="str"/>
      <x:c r="K917" s="20" t="str"/>
      <x:c r="L917" s="21" t="str"/>
      <x:c r="M917" s="22" t="str"/>
      <x:c r="N917" s="20" t="str"/>
    </x:row>
    <x:row r="918" ht="48" customHeight="1">
      <x:c r="A918" s="9" t="str">
        <x:v>QA-RISLR-022</x:v>
      </x:c>
      <x:c r="B918" s="9" t="str">
        <x:v>RISLR</x:v>
      </x:c>
      <x:c r="C918" s="9" t="str">
        <x:v>Payload ISLR independiente</x:v>
      </x:c>
      <x:c r="D918" s="9" t="str">
        <x:v>P0</x:v>
      </x:c>
      <x:c r="E918" s="9" t="str">
        <x:v>Positiva</x:v>
      </x:c>
      <x:c r="F918" s="9" t="str">
        <x:v>Navegador + HTTP + persistencia; proveedor doble salvo variante Real DEMO explícita</x:v>
      </x:c>
      <x:c r="G918" s="20" t="str">
        <x:v>Pendiente</x:v>
      </x:c>
      <x:c r="H918" s="20" t="str"/>
      <x:c r="I918" s="20" t="str"/>
      <x:c r="J918" s="20" t="str"/>
      <x:c r="K918" s="20" t="str"/>
      <x:c r="L918" s="21" t="str"/>
      <x:c r="M918" s="22" t="str"/>
      <x:c r="N918" s="20" t="str"/>
    </x:row>
    <x:row r="919" ht="48" customHeight="1">
      <x:c r="A919" s="9" t="str">
        <x:v>QA-RISLR-023</x:v>
      </x:c>
      <x:c r="B919" s="9" t="str">
        <x:v>RISLR</x:v>
      </x:c>
      <x:c r="C919" s="9" t="str">
        <x:v>GET verifica sólo campos contratados</x:v>
      </x:c>
      <x:c r="D919" s="9" t="str">
        <x:v>P0</x:v>
      </x:c>
      <x:c r="E919" s="9" t="str">
        <x:v>Positiva</x:v>
      </x:c>
      <x:c r="F919" s="9" t="str">
        <x:v>Navegador + HTTP + persistencia; proveedor doble salvo variante Real DEMO explícita</x:v>
      </x:c>
      <x:c r="G919" s="20" t="str">
        <x:v>Pendiente</x:v>
      </x:c>
      <x:c r="H919" s="20" t="str"/>
      <x:c r="I919" s="20" t="str"/>
      <x:c r="J919" s="20" t="str"/>
      <x:c r="K919" s="20" t="str"/>
      <x:c r="L919" s="21" t="str"/>
      <x:c r="M919" s="22" t="str"/>
      <x:c r="N919" s="20" t="str"/>
    </x:row>
    <x:row r="920" ht="48" customHeight="1">
      <x:c r="A920" s="9" t="str">
        <x:v>QA-RISLR-024</x:v>
      </x:c>
      <x:c r="B920" s="9" t="str">
        <x:v>RISLR</x:v>
      </x:c>
      <x:c r="C920" s="9" t="str">
        <x:v>Conflicto de campos sí verificables</x:v>
      </x:c>
      <x:c r="D920" s="9" t="str">
        <x:v>P0</x:v>
      </x:c>
      <x:c r="E920" s="9" t="str">
        <x:v>Positiva</x:v>
      </x:c>
      <x:c r="F920" s="9" t="str">
        <x:v>Navegador + HTTP + persistencia; proveedor doble salvo variante Real DEMO explícita</x:v>
      </x:c>
      <x:c r="G920" s="20" t="str">
        <x:v>Pendiente</x:v>
      </x:c>
      <x:c r="H920" s="20" t="str"/>
      <x:c r="I920" s="20" t="str"/>
      <x:c r="J920" s="20" t="str"/>
      <x:c r="K920" s="20" t="str"/>
      <x:c r="L920" s="21" t="str"/>
      <x:c r="M920" s="22" t="str"/>
      <x:c r="N920" s="20" t="str"/>
    </x:row>
    <x:row r="921" ht="48" customHeight="1">
      <x:c r="A921" s="9" t="str">
        <x:v>QA-RISLR-025</x:v>
      </x:c>
      <x:c r="B921" s="9" t="str">
        <x:v>RISLR</x:v>
      </x:c>
      <x:c r="C921" s="9" t="str">
        <x:v>Ausencia ISLR exacta 204</x:v>
      </x:c>
      <x:c r="D921" s="9" t="str">
        <x:v>P0</x:v>
      </x:c>
      <x:c r="E921" s="9" t="str">
        <x:v>Positiva</x:v>
      </x:c>
      <x:c r="F921" s="9" t="str">
        <x:v>Navegador + HTTP + persistencia; proveedor doble salvo variante Real DEMO explícita</x:v>
      </x:c>
      <x:c r="G921" s="20" t="str">
        <x:v>Pendiente</x:v>
      </x:c>
      <x:c r="H921" s="20" t="str"/>
      <x:c r="I921" s="20" t="str"/>
      <x:c r="J921" s="20" t="str"/>
      <x:c r="K921" s="20" t="str"/>
      <x:c r="L921" s="21" t="str"/>
      <x:c r="M921" s="22" t="str"/>
      <x:c r="N921" s="20" t="str"/>
    </x:row>
    <x:row r="922" ht="48" customHeight="1">
      <x:c r="A922" s="9" t="str">
        <x:v>QA-RISLR-026</x:v>
      </x:c>
      <x:c r="B922" s="9" t="str">
        <x:v>RISLR</x:v>
      </x:c>
      <x:c r="C922" s="9" t="str">
        <x:v>GET POST GET y DELETE con body</x:v>
      </x:c>
      <x:c r="D922" s="9" t="str">
        <x:v>P0</x:v>
      </x:c>
      <x:c r="E922" s="9" t="str">
        <x:v>Positiva</x:v>
      </x:c>
      <x:c r="F922" s="9" t="str">
        <x:v>Navegador + HTTP + persistencia; proveedor doble salvo variante Real DEMO explícita</x:v>
      </x:c>
      <x:c r="G922" s="20" t="str">
        <x:v>Pendiente</x:v>
      </x:c>
      <x:c r="H922" s="20" t="str"/>
      <x:c r="I922" s="20" t="str"/>
      <x:c r="J922" s="20" t="str"/>
      <x:c r="K922" s="20" t="str"/>
      <x:c r="L922" s="21" t="str"/>
      <x:c r="M922" s="22" t="str"/>
      <x:c r="N922" s="20" t="str"/>
    </x:row>
    <x:row r="923" ht="48" customHeight="1">
      <x:c r="A923" s="9" t="str">
        <x:v>QA-RISLR-027</x:v>
      </x:c>
      <x:c r="B923" s="9" t="str">
        <x:v>RISLR</x:v>
      </x:c>
      <x:c r="C923" s="9" t="str">
        <x:v>Recuperación ISLR 90 s y scheduler</x:v>
      </x:c>
      <x:c r="D923" s="9" t="str">
        <x:v>P0</x:v>
      </x:c>
      <x:c r="E923" s="9" t="str">
        <x:v>Positiva</x:v>
      </x:c>
      <x:c r="F923" s="9" t="str">
        <x:v>Navegador + HTTP + persistencia; proveedor doble salvo variante Real DEMO explícita</x:v>
      </x:c>
      <x:c r="G923" s="20" t="str">
        <x:v>Pendiente</x:v>
      </x:c>
      <x:c r="H923" s="20" t="str"/>
      <x:c r="I923" s="20" t="str"/>
      <x:c r="J923" s="20" t="str"/>
      <x:c r="K923" s="20" t="str"/>
      <x:c r="L923" s="21" t="str"/>
      <x:c r="M923" s="22" t="str"/>
      <x:c r="N923" s="20" t="str"/>
    </x:row>
    <x:row r="924" ht="48" customHeight="1">
      <x:c r="A924" s="9" t="str">
        <x:v>QA-RISLR-028</x:v>
      </x:c>
      <x:c r="B924" s="9" t="str">
        <x:v>RISLR</x:v>
      </x:c>
      <x:c r="C924" s="9" t="str">
        <x:v>Adoptar remoto con cero POST</x:v>
      </x:c>
      <x:c r="D924" s="9" t="str">
        <x:v>P0</x:v>
      </x:c>
      <x:c r="E924" s="9" t="str">
        <x:v>Positiva</x:v>
      </x:c>
      <x:c r="F924" s="9" t="str">
        <x:v>Navegador + HTTP + persistencia; proveedor doble salvo variante Real DEMO explícita</x:v>
      </x:c>
      <x:c r="G924" s="20" t="str">
        <x:v>Pendiente</x:v>
      </x:c>
      <x:c r="H924" s="20" t="str"/>
      <x:c r="I924" s="20" t="str"/>
      <x:c r="J924" s="20" t="str"/>
      <x:c r="K924" s="20" t="str"/>
      <x:c r="L924" s="21" t="str"/>
      <x:c r="M924" s="22" t="str"/>
      <x:c r="N924" s="20" t="str"/>
    </x:row>
    <x:row r="925" ht="48" customHeight="1">
      <x:c r="A925" s="9" t="str">
        <x:v>QA-RISLR-029</x:v>
      </x:c>
      <x:c r="B925" s="9" t="str">
        <x:v>RISLR</x:v>
      </x:c>
      <x:c r="C925" s="9" t="str">
        <x:v>Reversión local sin remoto</x:v>
      </x:c>
      <x:c r="D925" s="9" t="str">
        <x:v>P0</x:v>
      </x:c>
      <x:c r="E925" s="9" t="str">
        <x:v>Positiva</x:v>
      </x:c>
      <x:c r="F925" s="9" t="str">
        <x:v>Navegador + HTTP + persistencia; proveedor doble salvo variante Real DEMO explícita</x:v>
      </x:c>
      <x:c r="G925" s="20" t="str">
        <x:v>Pendiente</x:v>
      </x:c>
      <x:c r="H925" s="20" t="str"/>
      <x:c r="I925" s="20" t="str"/>
      <x:c r="J925" s="20" t="str"/>
      <x:c r="K925" s="20" t="str"/>
      <x:c r="L925" s="21" t="str"/>
      <x:c r="M925" s="22" t="str"/>
      <x:c r="N925" s="20" t="str"/>
    </x:row>
    <x:row r="926" ht="48" customHeight="1">
      <x:c r="A926" s="9" t="str">
        <x:v>QA-RISLR-030</x:v>
      </x:c>
      <x:c r="B926" s="9" t="str">
        <x:v>RISLR</x:v>
      </x:c>
      <x:c r="C926" s="9" t="str">
        <x:v>Reversión remota incierta</x:v>
      </x:c>
      <x:c r="D926" s="9" t="str">
        <x:v>P0</x:v>
      </x:c>
      <x:c r="E926" s="9" t="str">
        <x:v>Positiva</x:v>
      </x:c>
      <x:c r="F926" s="9" t="str">
        <x:v>Navegador + HTTP + persistencia; proveedor doble salvo variante Real DEMO explícita</x:v>
      </x:c>
      <x:c r="G926" s="20" t="str">
        <x:v>Pendiente</x:v>
      </x:c>
      <x:c r="H926" s="20" t="str"/>
      <x:c r="I926" s="20" t="str"/>
      <x:c r="J926" s="20" t="str"/>
      <x:c r="K926" s="20" t="str"/>
      <x:c r="L926" s="21" t="str"/>
      <x:c r="M926" s="22" t="str"/>
      <x:c r="N926" s="20" t="str"/>
    </x:row>
    <x:row r="927" ht="48" customHeight="1">
      <x:c r="A927" s="9" t="str">
        <x:v>QA-RISLR-031</x:v>
      </x:c>
      <x:c r="B927" s="9" t="str">
        <x:v>RISLR</x:v>
      </x:c>
      <x:c r="C927" s="9" t="str">
        <x:v>Respuesta ISLR tardía</x:v>
      </x:c>
      <x:c r="D927" s="9" t="str">
        <x:v>P0</x:v>
      </x:c>
      <x:c r="E927" s="9" t="str">
        <x:v>Positiva</x:v>
      </x:c>
      <x:c r="F927" s="9" t="str">
        <x:v>Navegador + HTTP + persistencia; proveedor doble salvo variante Real DEMO explícita</x:v>
      </x:c>
      <x:c r="G927" s="20" t="str">
        <x:v>Pendiente</x:v>
      </x:c>
      <x:c r="H927" s="20" t="str"/>
      <x:c r="I927" s="20" t="str"/>
      <x:c r="J927" s="20" t="str"/>
      <x:c r="K927" s="20" t="str"/>
      <x:c r="L927" s="21" t="str"/>
      <x:c r="M927" s="22" t="str"/>
      <x:c r="N927" s="20" t="str"/>
    </x:row>
    <x:row r="928" ht="48" customHeight="1">
      <x:c r="A928" s="9" t="str">
        <x:v>QA-RISLR-032</x:v>
      </x:c>
      <x:c r="B928" s="9" t="str">
        <x:v>RISLR</x:v>
      </x:c>
      <x:c r="C928" s="9" t="str">
        <x:v>Histórico VES no habilita capacidad</x:v>
      </x:c>
      <x:c r="D928" s="9" t="str">
        <x:v>P0</x:v>
      </x:c>
      <x:c r="E928" s="9" t="str">
        <x:v>Positiva</x:v>
      </x:c>
      <x:c r="F928" s="9" t="str">
        <x:v>Navegador + HTTP + persistencia; proveedor doble salvo variante Real DEMO explícita</x:v>
      </x:c>
      <x:c r="G928" s="20" t="str">
        <x:v>Pendiente</x:v>
      </x:c>
      <x:c r="H928" s="20" t="str"/>
      <x:c r="I928" s="20" t="str"/>
      <x:c r="J928" s="20" t="str"/>
      <x:c r="K928" s="20" t="str"/>
      <x:c r="L928" s="21" t="str"/>
      <x:c r="M928" s="22" t="str"/>
      <x:c r="N928" s="20" t="str"/>
    </x:row>
    <x:row r="929" ht="48" customHeight="1">
      <x:c r="A929" s="9" t="str">
        <x:v>QA-RISLR-033</x:v>
      </x:c>
      <x:c r="B929" s="9" t="str">
        <x:v>RISLR</x:v>
      </x:c>
      <x:c r="C929" s="9" t="str">
        <x:v>DTO ISLR y permisos propios</x:v>
      </x:c>
      <x:c r="D929" s="9" t="str">
        <x:v>P0</x:v>
      </x:c>
      <x:c r="E929" s="9" t="str">
        <x:v>Positiva</x:v>
      </x:c>
      <x:c r="F929" s="9" t="str">
        <x:v>Navegador + HTTP + persistencia; proveedor doble salvo variante Real DEMO explícita</x:v>
      </x:c>
      <x:c r="G929" s="20" t="str">
        <x:v>Pendiente</x:v>
      </x:c>
      <x:c r="H929" s="20" t="str"/>
      <x:c r="I929" s="20" t="str"/>
      <x:c r="J929" s="20" t="str"/>
      <x:c r="K929" s="20" t="str"/>
      <x:c r="L929" s="21" t="str"/>
      <x:c r="M929" s="22" t="str"/>
      <x:c r="N929" s="20" t="str"/>
    </x:row>
    <x:row r="930" ht="48" customHeight="1">
      <x:c r="A930" s="9" t="str">
        <x:v>QA-RISLR-034</x:v>
      </x:c>
      <x:c r="B930" s="9" t="str">
        <x:v>RISLR</x:v>
      </x:c>
      <x:c r="C930" s="9" t="str">
        <x:v>Previsión ISLR aplicada no se duplica</x:v>
      </x:c>
      <x:c r="D930" s="9" t="str">
        <x:v>P0</x:v>
      </x:c>
      <x:c r="E930" s="9" t="str">
        <x:v>Positiva</x:v>
      </x:c>
      <x:c r="F930" s="9" t="str">
        <x:v>Navegador + HTTP + persistencia; proveedor doble salvo variante Real DEMO explícita</x:v>
      </x:c>
      <x:c r="G930" s="20" t="str">
        <x:v>Pendiente</x:v>
      </x:c>
      <x:c r="H930" s="20" t="str"/>
      <x:c r="I930" s="20" t="str"/>
      <x:c r="J930" s="20" t="str"/>
      <x:c r="K930" s="20" t="str"/>
      <x:c r="L930" s="21" t="str"/>
      <x:c r="M930" s="22" t="str"/>
      <x:c r="N930" s="20" t="str"/>
    </x:row>
    <x:row r="931" ht="48" customHeight="1">
      <x:c r="A931" s="9" t="str">
        <x:v>QA-RISLR-035</x:v>
      </x:c>
      <x:c r="B931" s="9" t="str">
        <x:v>RISLR</x:v>
      </x:c>
      <x:c r="C931" s="9" t="str">
        <x:v>Concurrencia ISLR y aislamiento</x:v>
      </x:c>
      <x:c r="D931" s="9" t="str">
        <x:v>P0</x:v>
      </x:c>
      <x:c r="E931" s="9" t="str">
        <x:v>Positiva</x:v>
      </x:c>
      <x:c r="F931" s="9" t="str">
        <x:v>Navegador + HTTP + persistencia; proveedor doble salvo variante Real DEMO explícita</x:v>
      </x:c>
      <x:c r="G931" s="20" t="str">
        <x:v>Pendiente</x:v>
      </x:c>
      <x:c r="H931" s="20" t="str"/>
      <x:c r="I931" s="20" t="str"/>
      <x:c r="J931" s="20" t="str"/>
      <x:c r="K931" s="20" t="str"/>
      <x:c r="L931" s="21" t="str"/>
      <x:c r="M931" s="22" t="str"/>
      <x:c r="N931" s="20" t="str"/>
    </x:row>
    <x:row r="932" ht="48" customHeight="1">
      <x:c r="A932" s="9" t="str">
        <x:v>QA-RISLR-036</x:v>
      </x:c>
      <x:c r="B932" s="9" t="str">
        <x:v>RISLR</x:v>
      </x:c>
      <x:c r="C932" s="9" t="str">
        <x:v>Concepto no salarial 002: Honorarios profesionales no mercantiles (PNR)</x:v>
      </x:c>
      <x:c r="D932" s="9" t="str">
        <x:v>P1</x:v>
      </x:c>
      <x:c r="E932" s="9" t="str">
        <x:v>Positiva</x:v>
      </x:c>
      <x:c r="F932" s="9" t="str">
        <x:v>Navegador + HTTP + persistencia; proveedor doble salvo variante Real DEMO explícita</x:v>
      </x:c>
      <x:c r="G932" s="20" t="str">
        <x:v>Pendiente</x:v>
      </x:c>
      <x:c r="H932" s="20" t="str"/>
      <x:c r="I932" s="20" t="str"/>
      <x:c r="J932" s="20" t="str"/>
      <x:c r="K932" s="20" t="str"/>
      <x:c r="L932" s="21" t="str"/>
      <x:c r="M932" s="22" t="str"/>
      <x:c r="N932" s="20" t="str"/>
    </x:row>
    <x:row r="933" ht="48" customHeight="1">
      <x:c r="A933" s="9" t="str">
        <x:v>QA-RISLR-037</x:v>
      </x:c>
      <x:c r="B933" s="9" t="str">
        <x:v>RISLR</x:v>
      </x:c>
      <x:c r="C933" s="9" t="str">
        <x:v>Concepto no salarial 003: Honorarios profesionales no mercantiles (PNNR)</x:v>
      </x:c>
      <x:c r="D933" s="9" t="str">
        <x:v>P1</x:v>
      </x:c>
      <x:c r="E933" s="9" t="str">
        <x:v>Positiva</x:v>
      </x:c>
      <x:c r="F933" s="9" t="str">
        <x:v>Navegador + HTTP + persistencia; proveedor doble salvo variante Real DEMO explícita</x:v>
      </x:c>
      <x:c r="G933" s="20" t="str">
        <x:v>Pendiente</x:v>
      </x:c>
      <x:c r="H933" s="20" t="str"/>
      <x:c r="I933" s="20" t="str"/>
      <x:c r="J933" s="20" t="str"/>
      <x:c r="K933" s="20" t="str"/>
      <x:c r="L933" s="21" t="str"/>
      <x:c r="M933" s="22" t="str"/>
      <x:c r="N933" s="20" t="str"/>
    </x:row>
    <x:row r="934" ht="48" customHeight="1">
      <x:c r="A934" s="9" t="str">
        <x:v>QA-RISLR-038</x:v>
      </x:c>
      <x:c r="B934" s="9" t="str">
        <x:v>RISLR</x:v>
      </x:c>
      <x:c r="C934" s="9" t="str">
        <x:v>Concepto no salarial 004: Honorarios profesionales no mercantiles (PJD)</x:v>
      </x:c>
      <x:c r="D934" s="9" t="str">
        <x:v>P1</x:v>
      </x:c>
      <x:c r="E934" s="9" t="str">
        <x:v>Positiva</x:v>
      </x:c>
      <x:c r="F934" s="9" t="str">
        <x:v>Navegador + HTTP + persistencia; proveedor doble salvo variante Real DEMO explícita</x:v>
      </x:c>
      <x:c r="G934" s="20" t="str">
        <x:v>Pendiente</x:v>
      </x:c>
      <x:c r="H934" s="20" t="str"/>
      <x:c r="I934" s="20" t="str"/>
      <x:c r="J934" s="20" t="str"/>
      <x:c r="K934" s="20" t="str"/>
      <x:c r="L934" s="21" t="str"/>
      <x:c r="M934" s="22" t="str"/>
      <x:c r="N934" s="20" t="str"/>
    </x:row>
    <x:row r="935" ht="48" customHeight="1">
      <x:c r="A935" s="9" t="str">
        <x:v>QA-RISLR-039</x:v>
      </x:c>
      <x:c r="B935" s="9" t="str">
        <x:v>RISLR</x:v>
      </x:c>
      <x:c r="C935" s="9" t="str">
        <x:v>Concepto no salarial 005: Honorarios profesionales no mercantiles (PJND)</x:v>
      </x:c>
      <x:c r="D935" s="9" t="str">
        <x:v>P1</x:v>
      </x:c>
      <x:c r="E935" s="9" t="str">
        <x:v>Positiva</x:v>
      </x:c>
      <x:c r="F935" s="9" t="str">
        <x:v>Navegador + HTTP + persistencia; proveedor doble salvo variante Real DEMO explícita</x:v>
      </x:c>
      <x:c r="G935" s="20" t="str">
        <x:v>Pendiente</x:v>
      </x:c>
      <x:c r="H935" s="20" t="str"/>
      <x:c r="I935" s="20" t="str"/>
      <x:c r="J935" s="20" t="str"/>
      <x:c r="K935" s="20" t="str"/>
      <x:c r="L935" s="21" t="str"/>
      <x:c r="M935" s="22" t="str"/>
      <x:c r="N935" s="20" t="str"/>
    </x:row>
    <x:row r="936" ht="48" customHeight="1">
      <x:c r="A936" s="9" t="str">
        <x:v>QA-RISLR-040</x:v>
      </x:c>
      <x:c r="B936" s="9" t="str">
        <x:v>RISLR</x:v>
      </x:c>
      <x:c r="C936" s="9" t="str">
        <x:v>Concepto no salarial 006: Honorarios profesionales mancomunados no mercantiles (PNR)</x:v>
      </x:c>
      <x:c r="D936" s="9" t="str">
        <x:v>P1</x:v>
      </x:c>
      <x:c r="E936" s="9" t="str">
        <x:v>Positiva</x:v>
      </x:c>
      <x:c r="F936" s="9" t="str">
        <x:v>Navegador + HTTP + persistencia; proveedor doble salvo variante Real DEMO explícita</x:v>
      </x:c>
      <x:c r="G936" s="20" t="str">
        <x:v>Pendiente</x:v>
      </x:c>
      <x:c r="H936" s="20" t="str"/>
      <x:c r="I936" s="20" t="str"/>
      <x:c r="J936" s="20" t="str"/>
      <x:c r="K936" s="20" t="str"/>
      <x:c r="L936" s="21" t="str"/>
      <x:c r="M936" s="22" t="str"/>
      <x:c r="N936" s="20" t="str"/>
    </x:row>
    <x:row r="937" ht="48" customHeight="1">
      <x:c r="A937" s="9" t="str">
        <x:v>QA-RISLR-041</x:v>
      </x:c>
      <x:c r="B937" s="9" t="str">
        <x:v>RISLR</x:v>
      </x:c>
      <x:c r="C937" s="9" t="str">
        <x:v>Concepto no salarial 007: Honorarios profesionales mancomunados no mercantiles (PNNR)</x:v>
      </x:c>
      <x:c r="D937" s="9" t="str">
        <x:v>P1</x:v>
      </x:c>
      <x:c r="E937" s="9" t="str">
        <x:v>Positiva</x:v>
      </x:c>
      <x:c r="F937" s="9" t="str">
        <x:v>Navegador + HTTP + persistencia; proveedor doble salvo variante Real DEMO explícita</x:v>
      </x:c>
      <x:c r="G937" s="20" t="str">
        <x:v>Pendiente</x:v>
      </x:c>
      <x:c r="H937" s="20" t="str"/>
      <x:c r="I937" s="20" t="str"/>
      <x:c r="J937" s="20" t="str"/>
      <x:c r="K937" s="20" t="str"/>
      <x:c r="L937" s="21" t="str"/>
      <x:c r="M937" s="22" t="str"/>
      <x:c r="N937" s="20" t="str"/>
    </x:row>
    <x:row r="938" ht="48" customHeight="1">
      <x:c r="A938" s="9" t="str">
        <x:v>QA-RISLR-042</x:v>
      </x:c>
      <x:c r="B938" s="9" t="str">
        <x:v>RISLR</x:v>
      </x:c>
      <x:c r="C938" s="9" t="str">
        <x:v>Concepto no salarial 008: Honorarios profesionales mancomunados no mercantiles (PJD)</x:v>
      </x:c>
      <x:c r="D938" s="9" t="str">
        <x:v>P1</x:v>
      </x:c>
      <x:c r="E938" s="9" t="str">
        <x:v>Positiva</x:v>
      </x:c>
      <x:c r="F938" s="9" t="str">
        <x:v>Navegador + HTTP + persistencia; proveedor doble salvo variante Real DEMO explícita</x:v>
      </x:c>
      <x:c r="G938" s="20" t="str">
        <x:v>Pendiente</x:v>
      </x:c>
      <x:c r="H938" s="20" t="str"/>
      <x:c r="I938" s="20" t="str"/>
      <x:c r="J938" s="20" t="str"/>
      <x:c r="K938" s="20" t="str"/>
      <x:c r="L938" s="21" t="str"/>
      <x:c r="M938" s="22" t="str"/>
      <x:c r="N938" s="20" t="str"/>
    </x:row>
    <x:row r="939" ht="48" customHeight="1">
      <x:c r="A939" s="9" t="str">
        <x:v>QA-RISLR-043</x:v>
      </x:c>
      <x:c r="B939" s="9" t="str">
        <x:v>RISLR</x:v>
      </x:c>
      <x:c r="C939" s="9" t="str">
        <x:v>Concepto no salarial 009: Honorarios profesionales mancomunados no mercantiles (PJND)</x:v>
      </x:c>
      <x:c r="D939" s="9" t="str">
        <x:v>P1</x:v>
      </x:c>
      <x:c r="E939" s="9" t="str">
        <x:v>Positiva</x:v>
      </x:c>
      <x:c r="F939" s="9" t="str">
        <x:v>Navegador + HTTP + persistencia; proveedor doble salvo variante Real DEMO explícita</x:v>
      </x:c>
      <x:c r="G939" s="20" t="str">
        <x:v>Pendiente</x:v>
      </x:c>
      <x:c r="H939" s="20" t="str"/>
      <x:c r="I939" s="20" t="str"/>
      <x:c r="J939" s="20" t="str"/>
      <x:c r="K939" s="20" t="str"/>
      <x:c r="L939" s="21" t="str"/>
      <x:c r="M939" s="22" t="str"/>
      <x:c r="N939" s="20" t="str"/>
    </x:row>
    <x:row r="940" ht="48" customHeight="1">
      <x:c r="A940" s="9" t="str">
        <x:v>QA-RISLR-044</x:v>
      </x:c>
      <x:c r="B940" s="9" t="str">
        <x:v>RISLR</x:v>
      </x:c>
      <x:c r="C940" s="9" t="str">
        <x:v>Concepto no salarial 010: Honorarios profesionales pagados a jinetes, veterinarios, preparadores o entrenadores (PNR)</x:v>
      </x:c>
      <x:c r="D940" s="9" t="str">
        <x:v>P1</x:v>
      </x:c>
      <x:c r="E940" s="9" t="str">
        <x:v>Positiva</x:v>
      </x:c>
      <x:c r="F940" s="9" t="str">
        <x:v>Navegador + HTTP + persistencia; proveedor doble salvo variante Real DEMO explícita</x:v>
      </x:c>
      <x:c r="G940" s="20" t="str">
        <x:v>Pendiente</x:v>
      </x:c>
      <x:c r="H940" s="20" t="str"/>
      <x:c r="I940" s="20" t="str"/>
      <x:c r="J940" s="20" t="str"/>
      <x:c r="K940" s="20" t="str"/>
      <x:c r="L940" s="21" t="str"/>
      <x:c r="M940" s="22" t="str"/>
      <x:c r="N940" s="20" t="str"/>
    </x:row>
    <x:row r="941" ht="48" customHeight="1">
      <x:c r="A941" s="9" t="str">
        <x:v>QA-RISLR-045</x:v>
      </x:c>
      <x:c r="B941" s="9" t="str">
        <x:v>RISLR</x:v>
      </x:c>
      <x:c r="C941" s="9" t="str">
        <x:v>Concepto no salarial 011: Honorarios profesionales pagados a jinetes, veterinarios, preparadores o entrenadores (PNNR)</x:v>
      </x:c>
      <x:c r="D941" s="9" t="str">
        <x:v>P1</x:v>
      </x:c>
      <x:c r="E941" s="9" t="str">
        <x:v>Positiva</x:v>
      </x:c>
      <x:c r="F941" s="9" t="str">
        <x:v>Navegador + HTTP + persistencia; proveedor doble salvo variante Real DEMO explícita</x:v>
      </x:c>
      <x:c r="G941" s="20" t="str">
        <x:v>Pendiente</x:v>
      </x:c>
      <x:c r="H941" s="20" t="str"/>
      <x:c r="I941" s="20" t="str"/>
      <x:c r="J941" s="20" t="str"/>
      <x:c r="K941" s="20" t="str"/>
      <x:c r="L941" s="21" t="str"/>
      <x:c r="M941" s="22" t="str"/>
      <x:c r="N941" s="20" t="str"/>
    </x:row>
    <x:row r="942" ht="60" customHeight="1">
      <x:c r="A942" s="9" t="str">
        <x:v>QA-RISLR-046</x:v>
      </x:c>
      <x:c r="B942" s="9" t="str">
        <x:v>RISLR</x:v>
      </x:c>
      <x:c r="C942" s="9" t="str">
        <x:v>Concepto no salarial 012: Honorarios profesionales pagados por clínicas, hospitales, centros de salud, bufetes, escritorios, oficinas, colegios profesionales u otra institución a profesionales no mercantiles sin relación de dependencia (PNR)</x:v>
      </x:c>
      <x:c r="D942" s="9" t="str">
        <x:v>P1</x:v>
      </x:c>
      <x:c r="E942" s="9" t="str">
        <x:v>Positiva</x:v>
      </x:c>
      <x:c r="F942" s="9" t="str">
        <x:v>Navegador + HTTP + persistencia; proveedor doble salvo variante Real DEMO explícita</x:v>
      </x:c>
      <x:c r="G942" s="20" t="str">
        <x:v>Pendiente</x:v>
      </x:c>
      <x:c r="H942" s="20" t="str"/>
      <x:c r="I942" s="20" t="str"/>
      <x:c r="J942" s="20" t="str"/>
      <x:c r="K942" s="20" t="str"/>
      <x:c r="L942" s="21" t="str"/>
      <x:c r="M942" s="22" t="str"/>
      <x:c r="N942" s="20" t="str"/>
    </x:row>
    <x:row r="943" ht="60" customHeight="1">
      <x:c r="A943" s="9" t="str">
        <x:v>QA-RISLR-047</x:v>
      </x:c>
      <x:c r="B943" s="9" t="str">
        <x:v>RISLR</x:v>
      </x:c>
      <x:c r="C943" s="9" t="str">
        <x:v>Concepto no salarial 013: Honorarios profesionales pagados por clínicas, hospitales, centros de salud, bufetes, escritorios, oficinas, colegios profesionales u otra institución a profesionales no mercantiles sin relación de dependencia (PNNR)</x:v>
      </x:c>
      <x:c r="D943" s="9" t="str">
        <x:v>P1</x:v>
      </x:c>
      <x:c r="E943" s="9" t="str">
        <x:v>Positiva</x:v>
      </x:c>
      <x:c r="F943" s="9" t="str">
        <x:v>Navegador + HTTP + persistencia; proveedor doble salvo variante Real DEMO explícita</x:v>
      </x:c>
      <x:c r="G943" s="20" t="str">
        <x:v>Pendiente</x:v>
      </x:c>
      <x:c r="H943" s="20" t="str"/>
      <x:c r="I943" s="20" t="str"/>
      <x:c r="J943" s="20" t="str"/>
      <x:c r="K943" s="20" t="str"/>
      <x:c r="L943" s="21" t="str"/>
      <x:c r="M943" s="22" t="str"/>
      <x:c r="N943" s="20" t="str"/>
    </x:row>
    <x:row r="944" ht="48" customHeight="1">
      <x:c r="A944" s="9" t="str">
        <x:v>QA-RISLR-048</x:v>
      </x:c>
      <x:c r="B944" s="9" t="str">
        <x:v>RISLR</x:v>
      </x:c>
      <x:c r="C944" s="9" t="str">
        <x:v>Concepto no salarial 014: Comisiones por venta de inmuebles (PNR)</x:v>
      </x:c>
      <x:c r="D944" s="9" t="str">
        <x:v>P1</x:v>
      </x:c>
      <x:c r="E944" s="9" t="str">
        <x:v>Positiva</x:v>
      </x:c>
      <x:c r="F944" s="9" t="str">
        <x:v>Navegador + HTTP + persistencia; proveedor doble salvo variante Real DEMO explícita</x:v>
      </x:c>
      <x:c r="G944" s="20" t="str">
        <x:v>Pendiente</x:v>
      </x:c>
      <x:c r="H944" s="20" t="str"/>
      <x:c r="I944" s="20" t="str"/>
      <x:c r="J944" s="20" t="str"/>
      <x:c r="K944" s="20" t="str"/>
      <x:c r="L944" s="21" t="str"/>
      <x:c r="M944" s="22" t="str"/>
      <x:c r="N944" s="20" t="str"/>
    </x:row>
    <x:row r="945" ht="48" customHeight="1">
      <x:c r="A945" s="9" t="str">
        <x:v>QA-RISLR-049</x:v>
      </x:c>
      <x:c r="B945" s="9" t="str">
        <x:v>RISLR</x:v>
      </x:c>
      <x:c r="C945" s="9" t="str">
        <x:v>Concepto no salarial 015: Comisiones por venta de inmuebles (PNNR)</x:v>
      </x:c>
      <x:c r="D945" s="9" t="str">
        <x:v>P1</x:v>
      </x:c>
      <x:c r="E945" s="9" t="str">
        <x:v>Positiva</x:v>
      </x:c>
      <x:c r="F945" s="9" t="str">
        <x:v>Navegador + HTTP + persistencia; proveedor doble salvo variante Real DEMO explícita</x:v>
      </x:c>
      <x:c r="G945" s="20" t="str">
        <x:v>Pendiente</x:v>
      </x:c>
      <x:c r="H945" s="20" t="str"/>
      <x:c r="I945" s="20" t="str"/>
      <x:c r="J945" s="20" t="str"/>
      <x:c r="K945" s="20" t="str"/>
      <x:c r="L945" s="21" t="str"/>
      <x:c r="M945" s="22" t="str"/>
      <x:c r="N945" s="20" t="str"/>
    </x:row>
    <x:row r="946" ht="48" customHeight="1">
      <x:c r="A946" s="9" t="str">
        <x:v>QA-RISLR-050</x:v>
      </x:c>
      <x:c r="B946" s="9" t="str">
        <x:v>RISLR</x:v>
      </x:c>
      <x:c r="C946" s="9" t="str">
        <x:v>Concepto no salarial 016: Comisiones por venta de inmuebles (PJD)</x:v>
      </x:c>
      <x:c r="D946" s="9" t="str">
        <x:v>P1</x:v>
      </x:c>
      <x:c r="E946" s="9" t="str">
        <x:v>Positiva</x:v>
      </x:c>
      <x:c r="F946" s="9" t="str">
        <x:v>Navegador + HTTP + persistencia; proveedor doble salvo variante Real DEMO explícita</x:v>
      </x:c>
      <x:c r="G946" s="20" t="str">
        <x:v>Pendiente</x:v>
      </x:c>
      <x:c r="H946" s="20" t="str"/>
      <x:c r="I946" s="20" t="str"/>
      <x:c r="J946" s="20" t="str"/>
      <x:c r="K946" s="20" t="str"/>
      <x:c r="L946" s="21" t="str"/>
      <x:c r="M946" s="22" t="str"/>
      <x:c r="N946" s="20" t="str"/>
    </x:row>
    <x:row r="947" ht="48" customHeight="1">
      <x:c r="A947" s="9" t="str">
        <x:v>QA-RISLR-051</x:v>
      </x:c>
      <x:c r="B947" s="9" t="str">
        <x:v>RISLR</x:v>
      </x:c>
      <x:c r="C947" s="9" t="str">
        <x:v>Concepto no salarial 017: Comisiones por venta de inmuebles (PJND)</x:v>
      </x:c>
      <x:c r="D947" s="9" t="str">
        <x:v>P1</x:v>
      </x:c>
      <x:c r="E947" s="9" t="str">
        <x:v>Positiva</x:v>
      </x:c>
      <x:c r="F947" s="9" t="str">
        <x:v>Navegador + HTTP + persistencia; proveedor doble salvo variante Real DEMO explícita</x:v>
      </x:c>
      <x:c r="G947" s="20" t="str">
        <x:v>Pendiente</x:v>
      </x:c>
      <x:c r="H947" s="20" t="str"/>
      <x:c r="I947" s="20" t="str"/>
      <x:c r="J947" s="20" t="str"/>
      <x:c r="K947" s="20" t="str"/>
      <x:c r="L947" s="21" t="str"/>
      <x:c r="M947" s="22" t="str"/>
      <x:c r="N947" s="20" t="str"/>
    </x:row>
    <x:row r="948" ht="48" customHeight="1">
      <x:c r="A948" s="9" t="str">
        <x:v>QA-RISLR-052</x:v>
      </x:c>
      <x:c r="B948" s="9" t="str">
        <x:v>RISLR</x:v>
      </x:c>
      <x:c r="C948" s="9" t="str">
        <x:v>Concepto no salarial 018: Otras comisiones distintas de remuneraciones accesorias de sueldos y similares (PNR)</x:v>
      </x:c>
      <x:c r="D948" s="9" t="str">
        <x:v>P1</x:v>
      </x:c>
      <x:c r="E948" s="9" t="str">
        <x:v>Positiva</x:v>
      </x:c>
      <x:c r="F948" s="9" t="str">
        <x:v>Navegador + HTTP + persistencia; proveedor doble salvo variante Real DEMO explícita</x:v>
      </x:c>
      <x:c r="G948" s="20" t="str">
        <x:v>Pendiente</x:v>
      </x:c>
      <x:c r="H948" s="20" t="str"/>
      <x:c r="I948" s="20" t="str"/>
      <x:c r="J948" s="20" t="str"/>
      <x:c r="K948" s="20" t="str"/>
      <x:c r="L948" s="21" t="str"/>
      <x:c r="M948" s="22" t="str"/>
      <x:c r="N948" s="20" t="str"/>
    </x:row>
    <x:row r="949" ht="48" customHeight="1">
      <x:c r="A949" s="9" t="str">
        <x:v>QA-RISLR-053</x:v>
      </x:c>
      <x:c r="B949" s="9" t="str">
        <x:v>RISLR</x:v>
      </x:c>
      <x:c r="C949" s="9" t="str">
        <x:v>Concepto no salarial 019: Otras comisiones distintas de remuneraciones accesorias de sueldos y similares (PNNR)</x:v>
      </x:c>
      <x:c r="D949" s="9" t="str">
        <x:v>P1</x:v>
      </x:c>
      <x:c r="E949" s="9" t="str">
        <x:v>Positiva</x:v>
      </x:c>
      <x:c r="F949" s="9" t="str">
        <x:v>Navegador + HTTP + persistencia; proveedor doble salvo variante Real DEMO explícita</x:v>
      </x:c>
      <x:c r="G949" s="20" t="str">
        <x:v>Pendiente</x:v>
      </x:c>
      <x:c r="H949" s="20" t="str"/>
      <x:c r="I949" s="20" t="str"/>
      <x:c r="J949" s="20" t="str"/>
      <x:c r="K949" s="20" t="str"/>
      <x:c r="L949" s="21" t="str"/>
      <x:c r="M949" s="22" t="str"/>
      <x:c r="N949" s="20" t="str"/>
    </x:row>
    <x:row r="950" ht="48" customHeight="1">
      <x:c r="A950" s="9" t="str">
        <x:v>QA-RISLR-054</x:v>
      </x:c>
      <x:c r="B950" s="9" t="str">
        <x:v>RISLR</x:v>
      </x:c>
      <x:c r="C950" s="9" t="str">
        <x:v>Concepto no salarial 020: Otras comisiones distintas de remuneraciones accesorias de sueldos y similares (PJD)</x:v>
      </x:c>
      <x:c r="D950" s="9" t="str">
        <x:v>P1</x:v>
      </x:c>
      <x:c r="E950" s="9" t="str">
        <x:v>Positiva</x:v>
      </x:c>
      <x:c r="F950" s="9" t="str">
        <x:v>Navegador + HTTP + persistencia; proveedor doble salvo variante Real DEMO explícita</x:v>
      </x:c>
      <x:c r="G950" s="20" t="str">
        <x:v>Pendiente</x:v>
      </x:c>
      <x:c r="H950" s="20" t="str"/>
      <x:c r="I950" s="20" t="str"/>
      <x:c r="J950" s="20" t="str"/>
      <x:c r="K950" s="20" t="str"/>
      <x:c r="L950" s="21" t="str"/>
      <x:c r="M950" s="22" t="str"/>
      <x:c r="N950" s="20" t="str"/>
    </x:row>
    <x:row r="951" ht="48" customHeight="1">
      <x:c r="A951" s="9" t="str">
        <x:v>QA-RISLR-055</x:v>
      </x:c>
      <x:c r="B951" s="9" t="str">
        <x:v>RISLR</x:v>
      </x:c>
      <x:c r="C951" s="9" t="str">
        <x:v>Concepto no salarial 021: Otras comisiones distintas de remuneraciones accesorias de sueldos y similares (PJND)</x:v>
      </x:c>
      <x:c r="D951" s="9" t="str">
        <x:v>P1</x:v>
      </x:c>
      <x:c r="E951" s="9" t="str">
        <x:v>Positiva</x:v>
      </x:c>
      <x:c r="F951" s="9" t="str">
        <x:v>Navegador + HTTP + persistencia; proveedor doble salvo variante Real DEMO explícita</x:v>
      </x:c>
      <x:c r="G951" s="20" t="str">
        <x:v>Pendiente</x:v>
      </x:c>
      <x:c r="H951" s="20" t="str"/>
      <x:c r="I951" s="20" t="str"/>
      <x:c r="J951" s="20" t="str"/>
      <x:c r="K951" s="20" t="str"/>
      <x:c r="L951" s="21" t="str"/>
      <x:c r="M951" s="22" t="str"/>
      <x:c r="N951" s="20" t="str"/>
    </x:row>
    <x:row r="952" ht="48" customHeight="1">
      <x:c r="A952" s="9" t="str">
        <x:v>QA-RISLR-056</x:v>
      </x:c>
      <x:c r="B952" s="9" t="str">
        <x:v>RISLR</x:v>
      </x:c>
      <x:c r="C952" s="9" t="str">
        <x:v>Concepto no salarial 022: Intereses de capitales tomados en préstamo e invertidos en producción de renta (PNNR)</x:v>
      </x:c>
      <x:c r="D952" s="9" t="str">
        <x:v>P1</x:v>
      </x:c>
      <x:c r="E952" s="9" t="str">
        <x:v>Positiva</x:v>
      </x:c>
      <x:c r="F952" s="9" t="str">
        <x:v>Navegador + HTTP + persistencia; proveedor doble salvo variante Real DEMO explícita</x:v>
      </x:c>
      <x:c r="G952" s="20" t="str">
        <x:v>Pendiente</x:v>
      </x:c>
      <x:c r="H952" s="20" t="str"/>
      <x:c r="I952" s="20" t="str"/>
      <x:c r="J952" s="20" t="str"/>
      <x:c r="K952" s="20" t="str"/>
      <x:c r="L952" s="21" t="str"/>
      <x:c r="M952" s="22" t="str"/>
      <x:c r="N952" s="20" t="str"/>
    </x:row>
    <x:row r="953" ht="48" customHeight="1">
      <x:c r="A953" s="9" t="str">
        <x:v>QA-RISLR-057</x:v>
      </x:c>
      <x:c r="B953" s="9" t="str">
        <x:v>RISLR</x:v>
      </x:c>
      <x:c r="C953" s="9" t="str">
        <x:v>Concepto no salarial 023: Intereses de capitales tomados en préstamo e invertidos en producción de renta (PJND)</x:v>
      </x:c>
      <x:c r="D953" s="9" t="str">
        <x:v>P1</x:v>
      </x:c>
      <x:c r="E953" s="9" t="str">
        <x:v>Positiva</x:v>
      </x:c>
      <x:c r="F953" s="9" t="str">
        <x:v>Navegador + HTTP + persistencia; proveedor doble salvo variante Real DEMO explícita</x:v>
      </x:c>
      <x:c r="G953" s="20" t="str">
        <x:v>Pendiente</x:v>
      </x:c>
      <x:c r="H953" s="20" t="str"/>
      <x:c r="I953" s="20" t="str"/>
      <x:c r="J953" s="20" t="str"/>
      <x:c r="K953" s="20" t="str"/>
      <x:c r="L953" s="21" t="str"/>
      <x:c r="M953" s="22" t="str"/>
      <x:c r="N953" s="20" t="str"/>
    </x:row>
    <x:row r="954" ht="48" customHeight="1">
      <x:c r="A954" s="9" t="str">
        <x:v>QA-RISLR-058</x:v>
      </x:c>
      <x:c r="B954" s="9" t="str">
        <x:v>RISLR</x:v>
      </x:c>
      <x:c r="C954" s="9" t="str">
        <x:v>Concepto no salarial 024: Intereses de préstamos y otros créditos pagaderos a instituciones financieras constituidas en el exterior y no domiciliadas (PJND)</x:v>
      </x:c>
      <x:c r="D954" s="9" t="str">
        <x:v>P1</x:v>
      </x:c>
      <x:c r="E954" s="9" t="str">
        <x:v>Positiva</x:v>
      </x:c>
      <x:c r="F954" s="9" t="str">
        <x:v>Navegador + HTTP + persistencia; proveedor doble salvo variante Real DEMO explícita</x:v>
      </x:c>
      <x:c r="G954" s="20" t="str">
        <x:v>Pendiente</x:v>
      </x:c>
      <x:c r="H954" s="20" t="str"/>
      <x:c r="I954" s="20" t="str"/>
      <x:c r="J954" s="20" t="str"/>
      <x:c r="K954" s="20" t="str"/>
      <x:c r="L954" s="21" t="str"/>
      <x:c r="M954" s="22" t="str"/>
      <x:c r="N954" s="20" t="str"/>
    </x:row>
    <x:row r="955" ht="48" customHeight="1">
      <x:c r="A955" s="9" t="str">
        <x:v>QA-RISLR-059</x:v>
      </x:c>
      <x:c r="B955" s="9" t="str">
        <x:v>RISLR</x:v>
      </x:c>
      <x:c r="C955" s="9" t="str">
        <x:v>Concepto no salarial 025: Intereses pagados por personas jurídicas o comunidades a otras personas o comunidades (PNR)</x:v>
      </x:c>
      <x:c r="D955" s="9" t="str">
        <x:v>P1</x:v>
      </x:c>
      <x:c r="E955" s="9" t="str">
        <x:v>Positiva</x:v>
      </x:c>
      <x:c r="F955" s="9" t="str">
        <x:v>Navegador + HTTP + persistencia; proveedor doble salvo variante Real DEMO explícita</x:v>
      </x:c>
      <x:c r="G955" s="20" t="str">
        <x:v>Pendiente</x:v>
      </x:c>
      <x:c r="H955" s="20" t="str"/>
      <x:c r="I955" s="20" t="str"/>
      <x:c r="J955" s="20" t="str"/>
      <x:c r="K955" s="20" t="str"/>
      <x:c r="L955" s="21" t="str"/>
      <x:c r="M955" s="22" t="str"/>
      <x:c r="N955" s="20" t="str"/>
    </x:row>
    <x:row r="956" ht="48" customHeight="1">
      <x:c r="A956" s="9" t="str">
        <x:v>QA-RISLR-060</x:v>
      </x:c>
      <x:c r="B956" s="9" t="str">
        <x:v>RISLR</x:v>
      </x:c>
      <x:c r="C956" s="9" t="str">
        <x:v>Concepto no salarial 026: Intereses pagados por personas jurídicas o comunidades a otras personas o comunidades (PNNR)</x:v>
      </x:c>
      <x:c r="D956" s="9" t="str">
        <x:v>P1</x:v>
      </x:c>
      <x:c r="E956" s="9" t="str">
        <x:v>Positiva</x:v>
      </x:c>
      <x:c r="F956" s="9" t="str">
        <x:v>Navegador + HTTP + persistencia; proveedor doble salvo variante Real DEMO explícita</x:v>
      </x:c>
      <x:c r="G956" s="20" t="str">
        <x:v>Pendiente</x:v>
      </x:c>
      <x:c r="H956" s="20" t="str"/>
      <x:c r="I956" s="20" t="str"/>
      <x:c r="J956" s="20" t="str"/>
      <x:c r="K956" s="20" t="str"/>
      <x:c r="L956" s="21" t="str"/>
      <x:c r="M956" s="22" t="str"/>
      <x:c r="N956" s="20" t="str"/>
    </x:row>
    <x:row r="957" ht="48" customHeight="1">
      <x:c r="A957" s="9" t="str">
        <x:v>QA-RISLR-061</x:v>
      </x:c>
      <x:c r="B957" s="9" t="str">
        <x:v>RISLR</x:v>
      </x:c>
      <x:c r="C957" s="9" t="str">
        <x:v>Concepto no salarial 027: Intereses pagados por personas jurídicas o comunidades a otras personas o comunidades (PJD)</x:v>
      </x:c>
      <x:c r="D957" s="9" t="str">
        <x:v>P1</x:v>
      </x:c>
      <x:c r="E957" s="9" t="str">
        <x:v>Positiva</x:v>
      </x:c>
      <x:c r="F957" s="9" t="str">
        <x:v>Navegador + HTTP + persistencia; proveedor doble salvo variante Real DEMO explícita</x:v>
      </x:c>
      <x:c r="G957" s="20" t="str">
        <x:v>Pendiente</x:v>
      </x:c>
      <x:c r="H957" s="20" t="str"/>
      <x:c r="I957" s="20" t="str"/>
      <x:c r="J957" s="20" t="str"/>
      <x:c r="K957" s="20" t="str"/>
      <x:c r="L957" s="21" t="str"/>
      <x:c r="M957" s="22" t="str"/>
      <x:c r="N957" s="20" t="str"/>
    </x:row>
    <x:row r="958" ht="48" customHeight="1">
      <x:c r="A958" s="9" t="str">
        <x:v>QA-RISLR-062</x:v>
      </x:c>
      <x:c r="B958" s="9" t="str">
        <x:v>RISLR</x:v>
      </x:c>
      <x:c r="C958" s="9" t="str">
        <x:v>Concepto no salarial 028: Intereses pagados por personas jurídicas o comunidades a otras personas o comunidades (PJND)</x:v>
      </x:c>
      <x:c r="D958" s="9" t="str">
        <x:v>P1</x:v>
      </x:c>
      <x:c r="E958" s="9" t="str">
        <x:v>Positiva</x:v>
      </x:c>
      <x:c r="F958" s="9" t="str">
        <x:v>Navegador + HTTP + persistencia; proveedor doble salvo variante Real DEMO explícita</x:v>
      </x:c>
      <x:c r="G958" s="20" t="str">
        <x:v>Pendiente</x:v>
      </x:c>
      <x:c r="H958" s="20" t="str"/>
      <x:c r="I958" s="20" t="str"/>
      <x:c r="J958" s="20" t="str"/>
      <x:c r="K958" s="20" t="str"/>
      <x:c r="L958" s="21" t="str"/>
      <x:c r="M958" s="22" t="str"/>
      <x:c r="N958" s="20" t="str"/>
    </x:row>
    <x:row r="959" ht="48" customHeight="1">
      <x:c r="A959" s="9" t="str">
        <x:v>QA-RISLR-063</x:v>
      </x:c>
      <x:c r="B959" s="9" t="str">
        <x:v>RISLR</x:v>
      </x:c>
      <x:c r="C959" s="9" t="str">
        <x:v>Concepto no salarial 029: Enriquecimientos netos de agencias internacionales cuando paga una persona jurídica o comunidad domiciliada (PJND)</x:v>
      </x:c>
      <x:c r="D959" s="9" t="str">
        <x:v>P1</x:v>
      </x:c>
      <x:c r="E959" s="9" t="str">
        <x:v>Positiva</x:v>
      </x:c>
      <x:c r="F959" s="9" t="str">
        <x:v>Navegador + HTTP + persistencia; proveedor doble salvo variante Real DEMO explícita</x:v>
      </x:c>
      <x:c r="G959" s="20" t="str">
        <x:v>Pendiente</x:v>
      </x:c>
      <x:c r="H959" s="20" t="str"/>
      <x:c r="I959" s="20" t="str"/>
      <x:c r="J959" s="20" t="str"/>
      <x:c r="K959" s="20" t="str"/>
      <x:c r="L959" s="21" t="str"/>
      <x:c r="M959" s="22" t="str"/>
      <x:c r="N959" s="20" t="str"/>
    </x:row>
    <x:row r="960" ht="48" customHeight="1">
      <x:c r="A960" s="9" t="str">
        <x:v>QA-RISLR-064</x:v>
      </x:c>
      <x:c r="B960" s="9" t="str">
        <x:v>RISLR</x:v>
      </x:c>
      <x:c r="C960" s="9" t="str">
        <x:v>Concepto no salarial 030: Enriquecimientos netos de fletes pagados a agencias o empresas de transporte internacional constituidas y domiciliadas en el exterior (PNNR)</x:v>
      </x:c>
      <x:c r="D960" s="9" t="str">
        <x:v>P1</x:v>
      </x:c>
      <x:c r="E960" s="9" t="str">
        <x:v>Positiva</x:v>
      </x:c>
      <x:c r="F960" s="9" t="str">
        <x:v>Navegador + HTTP + persistencia; proveedor doble salvo variante Real DEMO explícita</x:v>
      </x:c>
      <x:c r="G960" s="20" t="str">
        <x:v>Pendiente</x:v>
      </x:c>
      <x:c r="H960" s="20" t="str"/>
      <x:c r="I960" s="20" t="str"/>
      <x:c r="J960" s="20" t="str"/>
      <x:c r="K960" s="20" t="str"/>
      <x:c r="L960" s="21" t="str"/>
      <x:c r="M960" s="22" t="str"/>
      <x:c r="N960" s="20" t="str"/>
    </x:row>
    <x:row r="961" ht="48" customHeight="1">
      <x:c r="A961" s="9" t="str">
        <x:v>QA-RISLR-065</x:v>
      </x:c>
      <x:c r="B961" s="9" t="str">
        <x:v>RISLR</x:v>
      </x:c>
      <x:c r="C961" s="9" t="str">
        <x:v>Concepto no salarial 031: Enriquecimientos netos de fletes pagados a agencias o empresas de transporte internacional constituidas y domiciliadas en el exterior (PJND)</x:v>
      </x:c>
      <x:c r="D961" s="9" t="str">
        <x:v>P1</x:v>
      </x:c>
      <x:c r="E961" s="9" t="str">
        <x:v>Positiva</x:v>
      </x:c>
      <x:c r="F961" s="9" t="str">
        <x:v>Navegador + HTTP + persistencia; proveedor doble salvo variante Real DEMO explícita</x:v>
      </x:c>
      <x:c r="G961" s="20" t="str">
        <x:v>Pendiente</x:v>
      </x:c>
      <x:c r="H961" s="20" t="str"/>
      <x:c r="I961" s="20" t="str"/>
      <x:c r="J961" s="20" t="str"/>
      <x:c r="K961" s="20" t="str"/>
      <x:c r="L961" s="21" t="str"/>
      <x:c r="M961" s="22" t="str"/>
      <x:c r="N961" s="20" t="str"/>
    </x:row>
    <x:row r="962" ht="48" customHeight="1">
      <x:c r="A962" s="9" t="str">
        <x:v>QA-RISLR-066</x:v>
      </x:c>
      <x:c r="B962" s="9" t="str">
        <x:v>RISLR</x:v>
      </x:c>
      <x:c r="C962" s="9" t="str">
        <x:v>Concepto no salarial 032: Enriquecimientos netos por exhibición de películas, cine o televisión (PNNR)</x:v>
      </x:c>
      <x:c r="D962" s="9" t="str">
        <x:v>P1</x:v>
      </x:c>
      <x:c r="E962" s="9" t="str">
        <x:v>Positiva</x:v>
      </x:c>
      <x:c r="F962" s="9" t="str">
        <x:v>Navegador + HTTP + persistencia; proveedor doble salvo variante Real DEMO explícita</x:v>
      </x:c>
      <x:c r="G962" s="20" t="str">
        <x:v>Pendiente</x:v>
      </x:c>
      <x:c r="H962" s="20" t="str"/>
      <x:c r="I962" s="20" t="str"/>
      <x:c r="J962" s="20" t="str"/>
      <x:c r="K962" s="20" t="str"/>
      <x:c r="L962" s="21" t="str"/>
      <x:c r="M962" s="22" t="str"/>
      <x:c r="N962" s="20" t="str"/>
    </x:row>
    <x:row r="963" ht="48" customHeight="1">
      <x:c r="A963" s="9" t="str">
        <x:v>QA-RISLR-067</x:v>
      </x:c>
      <x:c r="B963" s="9" t="str">
        <x:v>RISLR</x:v>
      </x:c>
      <x:c r="C963" s="9" t="str">
        <x:v>Concepto no salarial 033: Enriquecimientos netos por exhibición de películas, cine o televisión (PJND)</x:v>
      </x:c>
      <x:c r="D963" s="9" t="str">
        <x:v>P1</x:v>
      </x:c>
      <x:c r="E963" s="9" t="str">
        <x:v>Positiva</x:v>
      </x:c>
      <x:c r="F963" s="9" t="str">
        <x:v>Navegador + HTTP + persistencia; proveedor doble salvo variante Real DEMO explícita</x:v>
      </x:c>
      <x:c r="G963" s="20" t="str">
        <x:v>Pendiente</x:v>
      </x:c>
      <x:c r="H963" s="20" t="str"/>
      <x:c r="I963" s="20" t="str"/>
      <x:c r="J963" s="20" t="str"/>
      <x:c r="K963" s="20" t="str"/>
      <x:c r="L963" s="21" t="str"/>
      <x:c r="M963" s="22" t="str"/>
      <x:c r="N963" s="20" t="str"/>
    </x:row>
    <x:row r="964" ht="48" customHeight="1">
      <x:c r="A964" s="9" t="str">
        <x:v>QA-RISLR-068</x:v>
      </x:c>
      <x:c r="B964" s="9" t="str">
        <x:v>RISLR</x:v>
      </x:c>
      <x:c r="C964" s="9" t="str">
        <x:v>Concepto no salarial 034: Enriquecimientos por regalías y participaciones análogas (PNNR)</x:v>
      </x:c>
      <x:c r="D964" s="9" t="str">
        <x:v>P1</x:v>
      </x:c>
      <x:c r="E964" s="9" t="str">
        <x:v>Positiva</x:v>
      </x:c>
      <x:c r="F964" s="9" t="str">
        <x:v>Navegador + HTTP + persistencia; proveedor doble salvo variante Real DEMO explícita</x:v>
      </x:c>
      <x:c r="G964" s="20" t="str">
        <x:v>Pendiente</x:v>
      </x:c>
      <x:c r="H964" s="20" t="str"/>
      <x:c r="I964" s="20" t="str"/>
      <x:c r="J964" s="20" t="str"/>
      <x:c r="K964" s="20" t="str"/>
      <x:c r="L964" s="21" t="str"/>
      <x:c r="M964" s="22" t="str"/>
      <x:c r="N964" s="20" t="str"/>
    </x:row>
    <x:row r="965" ht="48" customHeight="1">
      <x:c r="A965" s="9" t="str">
        <x:v>QA-RISLR-069</x:v>
      </x:c>
      <x:c r="B965" s="9" t="str">
        <x:v>RISLR</x:v>
      </x:c>
      <x:c r="C965" s="9" t="str">
        <x:v>Concepto no salarial 035: Enriquecimientos por regalías y participaciones análogas (PJND)</x:v>
      </x:c>
      <x:c r="D965" s="9" t="str">
        <x:v>P1</x:v>
      </x:c>
      <x:c r="E965" s="9" t="str">
        <x:v>Positiva</x:v>
      </x:c>
      <x:c r="F965" s="9" t="str">
        <x:v>Navegador + HTTP + persistencia; proveedor doble salvo variante Real DEMO explícita</x:v>
      </x:c>
      <x:c r="G965" s="20" t="str">
        <x:v>Pendiente</x:v>
      </x:c>
      <x:c r="H965" s="20" t="str"/>
      <x:c r="I965" s="20" t="str"/>
      <x:c r="J965" s="20" t="str"/>
      <x:c r="K965" s="20" t="str"/>
      <x:c r="L965" s="21" t="str"/>
      <x:c r="M965" s="22" t="str"/>
      <x:c r="N965" s="20" t="str"/>
    </x:row>
    <x:row r="966" ht="48" customHeight="1">
      <x:c r="A966" s="9" t="str">
        <x:v>QA-RISLR-070</x:v>
      </x:c>
      <x:c r="B966" s="9" t="str">
        <x:v>RISLR</x:v>
      </x:c>
      <x:c r="C966" s="9" t="str">
        <x:v>Concepto no salarial 036: Enriquecimientos por remuneraciones, honorarios y pagos análogos de asistencia técnica (PNNR)</x:v>
      </x:c>
      <x:c r="D966" s="9" t="str">
        <x:v>P1</x:v>
      </x:c>
      <x:c r="E966" s="9" t="str">
        <x:v>Positiva</x:v>
      </x:c>
      <x:c r="F966" s="9" t="str">
        <x:v>Navegador + HTTP + persistencia; proveedor doble salvo variante Real DEMO explícita</x:v>
      </x:c>
      <x:c r="G966" s="20" t="str">
        <x:v>Pendiente</x:v>
      </x:c>
      <x:c r="H966" s="20" t="str"/>
      <x:c r="I966" s="20" t="str"/>
      <x:c r="J966" s="20" t="str"/>
      <x:c r="K966" s="20" t="str"/>
      <x:c r="L966" s="21" t="str"/>
      <x:c r="M966" s="22" t="str"/>
      <x:c r="N966" s="20" t="str"/>
    </x:row>
    <x:row r="967" ht="48" customHeight="1">
      <x:c r="A967" s="9" t="str">
        <x:v>QA-RISLR-071</x:v>
      </x:c>
      <x:c r="B967" s="9" t="str">
        <x:v>RISLR</x:v>
      </x:c>
      <x:c r="C967" s="9" t="str">
        <x:v>Concepto no salarial 037: Enriquecimientos por remuneraciones, honorarios y pagos análogos de asistencia técnica (PJND)</x:v>
      </x:c>
      <x:c r="D967" s="9" t="str">
        <x:v>P1</x:v>
      </x:c>
      <x:c r="E967" s="9" t="str">
        <x:v>Positiva</x:v>
      </x:c>
      <x:c r="F967" s="9" t="str">
        <x:v>Navegador + HTTP + persistencia; proveedor doble salvo variante Real DEMO explícita</x:v>
      </x:c>
      <x:c r="G967" s="20" t="str">
        <x:v>Pendiente</x:v>
      </x:c>
      <x:c r="H967" s="20" t="str"/>
      <x:c r="I967" s="20" t="str"/>
      <x:c r="J967" s="20" t="str"/>
      <x:c r="K967" s="20" t="str"/>
      <x:c r="L967" s="21" t="str"/>
      <x:c r="M967" s="22" t="str"/>
      <x:c r="N967" s="20" t="str"/>
    </x:row>
    <x:row r="968" ht="48" customHeight="1">
      <x:c r="A968" s="9" t="str">
        <x:v>QA-RISLR-072</x:v>
      </x:c>
      <x:c r="B968" s="9" t="str">
        <x:v>RISLR</x:v>
      </x:c>
      <x:c r="C968" s="9" t="str">
        <x:v>Concepto no salarial 038: Enriquecimientos por servicios tecnológicos utilizados en el país o cedidos a terceros (PNNR)</x:v>
      </x:c>
      <x:c r="D968" s="9" t="str">
        <x:v>P1</x:v>
      </x:c>
      <x:c r="E968" s="9" t="str">
        <x:v>Positiva</x:v>
      </x:c>
      <x:c r="F968" s="9" t="str">
        <x:v>Navegador + HTTP + persistencia; proveedor doble salvo variante Real DEMO explícita</x:v>
      </x:c>
      <x:c r="G968" s="20" t="str">
        <x:v>Pendiente</x:v>
      </x:c>
      <x:c r="H968" s="20" t="str"/>
      <x:c r="I968" s="20" t="str"/>
      <x:c r="J968" s="20" t="str"/>
      <x:c r="K968" s="20" t="str"/>
      <x:c r="L968" s="21" t="str"/>
      <x:c r="M968" s="22" t="str"/>
      <x:c r="N968" s="20" t="str"/>
    </x:row>
    <x:row r="969" ht="48" customHeight="1">
      <x:c r="A969" s="9" t="str">
        <x:v>QA-RISLR-073</x:v>
      </x:c>
      <x:c r="B969" s="9" t="str">
        <x:v>RISLR</x:v>
      </x:c>
      <x:c r="C969" s="9" t="str">
        <x:v>Concepto no salarial 039: Enriquecimientos por servicios tecnológicos utilizados en el país o cedidos a terceros (PJND)</x:v>
      </x:c>
      <x:c r="D969" s="9" t="str">
        <x:v>P1</x:v>
      </x:c>
      <x:c r="E969" s="9" t="str">
        <x:v>Positiva</x:v>
      </x:c>
      <x:c r="F969" s="9" t="str">
        <x:v>Navegador + HTTP + persistencia; proveedor doble salvo variante Real DEMO explícita</x:v>
      </x:c>
      <x:c r="G969" s="20" t="str">
        <x:v>Pendiente</x:v>
      </x:c>
      <x:c r="H969" s="20" t="str"/>
      <x:c r="I969" s="20" t="str"/>
      <x:c r="J969" s="20" t="str"/>
      <x:c r="K969" s="20" t="str"/>
      <x:c r="L969" s="21" t="str"/>
      <x:c r="M969" s="22" t="str"/>
      <x:c r="N969" s="20" t="str"/>
    </x:row>
    <x:row r="970" ht="48" customHeight="1">
      <x:c r="A970" s="9" t="str">
        <x:v>QA-RISLR-074</x:v>
      </x:c>
      <x:c r="B970" s="9" t="str">
        <x:v>RISLR</x:v>
      </x:c>
      <x:c r="C970" s="9" t="str">
        <x:v>Concepto no salarial 040: Enriquecimientos netos por primas de seguros y reaseguros (PJND)</x:v>
      </x:c>
      <x:c r="D970" s="9" t="str">
        <x:v>P1</x:v>
      </x:c>
      <x:c r="E970" s="9" t="str">
        <x:v>Positiva</x:v>
      </x:c>
      <x:c r="F970" s="9" t="str">
        <x:v>Navegador + HTTP + persistencia; proveedor doble salvo variante Real DEMO explícita</x:v>
      </x:c>
      <x:c r="G970" s="20" t="str">
        <x:v>Pendiente</x:v>
      </x:c>
      <x:c r="H970" s="20" t="str"/>
      <x:c r="I970" s="20" t="str"/>
      <x:c r="J970" s="20" t="str"/>
      <x:c r="K970" s="20" t="str"/>
      <x:c r="L970" s="21" t="str"/>
      <x:c r="M970" s="22" t="str"/>
      <x:c r="N970" s="20" t="str"/>
    </x:row>
    <x:row r="971" ht="48" customHeight="1">
      <x:c r="A971" s="9" t="str">
        <x:v>QA-RISLR-075</x:v>
      </x:c>
      <x:c r="B971" s="9" t="str">
        <x:v>RISLR</x:v>
      </x:c>
      <x:c r="C971" s="9" t="str">
        <x:v>Concepto no salarial 041: Ganancias por juegos y apuestas (PNR)</x:v>
      </x:c>
      <x:c r="D971" s="9" t="str">
        <x:v>P1</x:v>
      </x:c>
      <x:c r="E971" s="9" t="str">
        <x:v>Positiva</x:v>
      </x:c>
      <x:c r="F971" s="9" t="str">
        <x:v>Navegador + HTTP + persistencia; proveedor doble salvo variante Real DEMO explícita</x:v>
      </x:c>
      <x:c r="G971" s="20" t="str">
        <x:v>Pendiente</x:v>
      </x:c>
      <x:c r="H971" s="20" t="str"/>
      <x:c r="I971" s="20" t="str"/>
      <x:c r="J971" s="20" t="str"/>
      <x:c r="K971" s="20" t="str"/>
      <x:c r="L971" s="21" t="str"/>
      <x:c r="M971" s="22" t="str"/>
      <x:c r="N971" s="20" t="str"/>
    </x:row>
    <x:row r="972" ht="48" customHeight="1">
      <x:c r="A972" s="9" t="str">
        <x:v>QA-RISLR-076</x:v>
      </x:c>
      <x:c r="B972" s="9" t="str">
        <x:v>RISLR</x:v>
      </x:c>
      <x:c r="C972" s="9" t="str">
        <x:v>Concepto no salarial 042: Ganancias por juegos y apuestas (PNNR)</x:v>
      </x:c>
      <x:c r="D972" s="9" t="str">
        <x:v>P1</x:v>
      </x:c>
      <x:c r="E972" s="9" t="str">
        <x:v>Positiva</x:v>
      </x:c>
      <x:c r="F972" s="9" t="str">
        <x:v>Navegador + HTTP + persistencia; proveedor doble salvo variante Real DEMO explícita</x:v>
      </x:c>
      <x:c r="G972" s="20" t="str">
        <x:v>Pendiente</x:v>
      </x:c>
      <x:c r="H972" s="20" t="str"/>
      <x:c r="I972" s="20" t="str"/>
      <x:c r="J972" s="20" t="str"/>
      <x:c r="K972" s="20" t="str"/>
      <x:c r="L972" s="21" t="str"/>
      <x:c r="M972" s="22" t="str"/>
      <x:c r="N972" s="20" t="str"/>
    </x:row>
    <x:row r="973" ht="48" customHeight="1">
      <x:c r="A973" s="9" t="str">
        <x:v>QA-RISLR-077</x:v>
      </x:c>
      <x:c r="B973" s="9" t="str">
        <x:v>RISLR</x:v>
      </x:c>
      <x:c r="C973" s="9" t="str">
        <x:v>Concepto no salarial 043: Ganancias por juegos y apuestas (PJD)</x:v>
      </x:c>
      <x:c r="D973" s="9" t="str">
        <x:v>P1</x:v>
      </x:c>
      <x:c r="E973" s="9" t="str">
        <x:v>Positiva</x:v>
      </x:c>
      <x:c r="F973" s="9" t="str">
        <x:v>Navegador + HTTP + persistencia; proveedor doble salvo variante Real DEMO explícita</x:v>
      </x:c>
      <x:c r="G973" s="20" t="str">
        <x:v>Pendiente</x:v>
      </x:c>
      <x:c r="H973" s="20" t="str"/>
      <x:c r="I973" s="20" t="str"/>
      <x:c r="J973" s="20" t="str"/>
      <x:c r="K973" s="20" t="str"/>
      <x:c r="L973" s="21" t="str"/>
      <x:c r="M973" s="22" t="str"/>
      <x:c r="N973" s="20" t="str"/>
    </x:row>
    <x:row r="974" ht="48" customHeight="1">
      <x:c r="A974" s="9" t="str">
        <x:v>QA-RISLR-078</x:v>
      </x:c>
      <x:c r="B974" s="9" t="str">
        <x:v>RISLR</x:v>
      </x:c>
      <x:c r="C974" s="9" t="str">
        <x:v>Concepto no salarial 044: Ganancias por juegos y apuestas (PJND)</x:v>
      </x:c>
      <x:c r="D974" s="9" t="str">
        <x:v>P1</x:v>
      </x:c>
      <x:c r="E974" s="9" t="str">
        <x:v>Positiva</x:v>
      </x:c>
      <x:c r="F974" s="9" t="str">
        <x:v>Navegador + HTTP + persistencia; proveedor doble salvo variante Real DEMO explícita</x:v>
      </x:c>
      <x:c r="G974" s="20" t="str">
        <x:v>Pendiente</x:v>
      </x:c>
      <x:c r="H974" s="20" t="str"/>
      <x:c r="I974" s="20" t="str"/>
      <x:c r="J974" s="20" t="str"/>
      <x:c r="K974" s="20" t="str"/>
      <x:c r="L974" s="21" t="str"/>
      <x:c r="M974" s="22" t="str"/>
      <x:c r="N974" s="20" t="str"/>
    </x:row>
    <x:row r="975" ht="48" customHeight="1">
      <x:c r="A975" s="9" t="str">
        <x:v>QA-RISLR-079</x:v>
      </x:c>
      <x:c r="B975" s="9" t="str">
        <x:v>RISLR</x:v>
      </x:c>
      <x:c r="C975" s="9" t="str">
        <x:v>Concepto no salarial 045: Ganancias por premios de loterías e hipódromos (PNR)</x:v>
      </x:c>
      <x:c r="D975" s="9" t="str">
        <x:v>P1</x:v>
      </x:c>
      <x:c r="E975" s="9" t="str">
        <x:v>Positiva</x:v>
      </x:c>
      <x:c r="F975" s="9" t="str">
        <x:v>Navegador + HTTP + persistencia; proveedor doble salvo variante Real DEMO explícita</x:v>
      </x:c>
      <x:c r="G975" s="20" t="str">
        <x:v>Pendiente</x:v>
      </x:c>
      <x:c r="H975" s="20" t="str"/>
      <x:c r="I975" s="20" t="str"/>
      <x:c r="J975" s="20" t="str"/>
      <x:c r="K975" s="20" t="str"/>
      <x:c r="L975" s="21" t="str"/>
      <x:c r="M975" s="22" t="str"/>
      <x:c r="N975" s="20" t="str"/>
    </x:row>
    <x:row r="976" ht="48" customHeight="1">
      <x:c r="A976" s="9" t="str">
        <x:v>QA-RISLR-080</x:v>
      </x:c>
      <x:c r="B976" s="9" t="str">
        <x:v>RISLR</x:v>
      </x:c>
      <x:c r="C976" s="9" t="str">
        <x:v>Concepto no salarial 046: Ganancias por premios de loterías e hipódromos (PNNR)</x:v>
      </x:c>
      <x:c r="D976" s="9" t="str">
        <x:v>P1</x:v>
      </x:c>
      <x:c r="E976" s="9" t="str">
        <x:v>Positiva</x:v>
      </x:c>
      <x:c r="F976" s="9" t="str">
        <x:v>Navegador + HTTP + persistencia; proveedor doble salvo variante Real DEMO explícita</x:v>
      </x:c>
      <x:c r="G976" s="20" t="str">
        <x:v>Pendiente</x:v>
      </x:c>
      <x:c r="H976" s="20" t="str"/>
      <x:c r="I976" s="20" t="str"/>
      <x:c r="J976" s="20" t="str"/>
      <x:c r="K976" s="20" t="str"/>
      <x:c r="L976" s="21" t="str"/>
      <x:c r="M976" s="22" t="str"/>
      <x:c r="N976" s="20" t="str"/>
    </x:row>
    <x:row r="977" ht="48" customHeight="1">
      <x:c r="A977" s="9" t="str">
        <x:v>QA-RISLR-081</x:v>
      </x:c>
      <x:c r="B977" s="9" t="str">
        <x:v>RISLR</x:v>
      </x:c>
      <x:c r="C977" s="9" t="str">
        <x:v>Concepto no salarial 047: Ganancias por premios de loterías e hipódromos (PJD)</x:v>
      </x:c>
      <x:c r="D977" s="9" t="str">
        <x:v>P1</x:v>
      </x:c>
      <x:c r="E977" s="9" t="str">
        <x:v>Positiva</x:v>
      </x:c>
      <x:c r="F977" s="9" t="str">
        <x:v>Navegador + HTTP + persistencia; proveedor doble salvo variante Real DEMO explícita</x:v>
      </x:c>
      <x:c r="G977" s="20" t="str">
        <x:v>Pendiente</x:v>
      </x:c>
      <x:c r="H977" s="20" t="str"/>
      <x:c r="I977" s="20" t="str"/>
      <x:c r="J977" s="20" t="str"/>
      <x:c r="K977" s="20" t="str"/>
      <x:c r="L977" s="21" t="str"/>
      <x:c r="M977" s="22" t="str"/>
      <x:c r="N977" s="20" t="str"/>
    </x:row>
    <x:row r="978" ht="48" customHeight="1">
      <x:c r="A978" s="9" t="str">
        <x:v>QA-RISLR-082</x:v>
      </x:c>
      <x:c r="B978" s="9" t="str">
        <x:v>RISLR</x:v>
      </x:c>
      <x:c r="C978" s="9" t="str">
        <x:v>Concepto no salarial 048: Ganancias por premios de loterías e hipódromos (PJND)</x:v>
      </x:c>
      <x:c r="D978" s="9" t="str">
        <x:v>P1</x:v>
      </x:c>
      <x:c r="E978" s="9" t="str">
        <x:v>Positiva</x:v>
      </x:c>
      <x:c r="F978" s="9" t="str">
        <x:v>Navegador + HTTP + persistencia; proveedor doble salvo variante Real DEMO explícita</x:v>
      </x:c>
      <x:c r="G978" s="20" t="str">
        <x:v>Pendiente</x:v>
      </x:c>
      <x:c r="H978" s="20" t="str"/>
      <x:c r="I978" s="20" t="str"/>
      <x:c r="J978" s="20" t="str"/>
      <x:c r="K978" s="20" t="str"/>
      <x:c r="L978" s="21" t="str"/>
      <x:c r="M978" s="22" t="str"/>
      <x:c r="N978" s="20" t="str"/>
    </x:row>
    <x:row r="979" ht="48" customHeight="1">
      <x:c r="A979" s="9" t="str">
        <x:v>QA-RISLR-083</x:v>
      </x:c>
      <x:c r="B979" s="9" t="str">
        <x:v>RISLR</x:v>
      </x:c>
      <x:c r="C979" s="9" t="str">
        <x:v>Concepto no salarial 049: Premios pagados a propietarios de animales de carrera (PNR)</x:v>
      </x:c>
      <x:c r="D979" s="9" t="str">
        <x:v>P1</x:v>
      </x:c>
      <x:c r="E979" s="9" t="str">
        <x:v>Positiva</x:v>
      </x:c>
      <x:c r="F979" s="9" t="str">
        <x:v>Navegador + HTTP + persistencia; proveedor doble salvo variante Real DEMO explícita</x:v>
      </x:c>
      <x:c r="G979" s="20" t="str">
        <x:v>Pendiente</x:v>
      </x:c>
      <x:c r="H979" s="20" t="str"/>
      <x:c r="I979" s="20" t="str"/>
      <x:c r="J979" s="20" t="str"/>
      <x:c r="K979" s="20" t="str"/>
      <x:c r="L979" s="21" t="str"/>
      <x:c r="M979" s="22" t="str"/>
      <x:c r="N979" s="20" t="str"/>
    </x:row>
    <x:row r="980" ht="48" customHeight="1">
      <x:c r="A980" s="9" t="str">
        <x:v>QA-RISLR-084</x:v>
      </x:c>
      <x:c r="B980" s="9" t="str">
        <x:v>RISLR</x:v>
      </x:c>
      <x:c r="C980" s="9" t="str">
        <x:v>Concepto no salarial 050: Premios pagados a propietarios de animales de carrera (PNNR)</x:v>
      </x:c>
      <x:c r="D980" s="9" t="str">
        <x:v>P1</x:v>
      </x:c>
      <x:c r="E980" s="9" t="str">
        <x:v>Positiva</x:v>
      </x:c>
      <x:c r="F980" s="9" t="str">
        <x:v>Navegador + HTTP + persistencia; proveedor doble salvo variante Real DEMO explícita</x:v>
      </x:c>
      <x:c r="G980" s="20" t="str">
        <x:v>Pendiente</x:v>
      </x:c>
      <x:c r="H980" s="20" t="str"/>
      <x:c r="I980" s="20" t="str"/>
      <x:c r="J980" s="20" t="str"/>
      <x:c r="K980" s="20" t="str"/>
      <x:c r="L980" s="21" t="str"/>
      <x:c r="M980" s="22" t="str"/>
      <x:c r="N980" s="20" t="str"/>
    </x:row>
    <x:row r="981" ht="48" customHeight="1">
      <x:c r="A981" s="9" t="str">
        <x:v>QA-RISLR-085</x:v>
      </x:c>
      <x:c r="B981" s="9" t="str">
        <x:v>RISLR</x:v>
      </x:c>
      <x:c r="C981" s="9" t="str">
        <x:v>Concepto no salarial 051: Premios pagados a propietarios de animales de carrera (PJD)</x:v>
      </x:c>
      <x:c r="D981" s="9" t="str">
        <x:v>P1</x:v>
      </x:c>
      <x:c r="E981" s="9" t="str">
        <x:v>Positiva</x:v>
      </x:c>
      <x:c r="F981" s="9" t="str">
        <x:v>Navegador + HTTP + persistencia; proveedor doble salvo variante Real DEMO explícita</x:v>
      </x:c>
      <x:c r="G981" s="20" t="str">
        <x:v>Pendiente</x:v>
      </x:c>
      <x:c r="H981" s="20" t="str"/>
      <x:c r="I981" s="20" t="str"/>
      <x:c r="J981" s="20" t="str"/>
      <x:c r="K981" s="20" t="str"/>
      <x:c r="L981" s="21" t="str"/>
      <x:c r="M981" s="22" t="str"/>
      <x:c r="N981" s="20" t="str"/>
    </x:row>
    <x:row r="982" ht="48" customHeight="1">
      <x:c r="A982" s="9" t="str">
        <x:v>QA-RISLR-086</x:v>
      </x:c>
      <x:c r="B982" s="9" t="str">
        <x:v>RISLR</x:v>
      </x:c>
      <x:c r="C982" s="9" t="str">
        <x:v>Concepto no salarial 052: Premios pagados a propietarios de animales de carrera (PJND)</x:v>
      </x:c>
      <x:c r="D982" s="9" t="str">
        <x:v>P1</x:v>
      </x:c>
      <x:c r="E982" s="9" t="str">
        <x:v>Positiva</x:v>
      </x:c>
      <x:c r="F982" s="9" t="str">
        <x:v>Navegador + HTTP + persistencia; proveedor doble salvo variante Real DEMO explícita</x:v>
      </x:c>
      <x:c r="G982" s="20" t="str">
        <x:v>Pendiente</x:v>
      </x:c>
      <x:c r="H982" s="20" t="str"/>
      <x:c r="I982" s="20" t="str"/>
      <x:c r="J982" s="20" t="str"/>
      <x:c r="K982" s="20" t="str"/>
      <x:c r="L982" s="21" t="str"/>
      <x:c r="M982" s="22" t="str"/>
      <x:c r="N982" s="20" t="str"/>
    </x:row>
    <x:row r="983" ht="48" customHeight="1">
      <x:c r="A983" s="9" t="str">
        <x:v>QA-RISLR-087</x:v>
      </x:c>
      <x:c r="B983" s="9" t="str">
        <x:v>RISLR</x:v>
      </x:c>
      <x:c r="C983" s="9" t="str">
        <x:v>Concepto no salarial 053: Pagos a contratistas o subcontratistas por ejecución de obras o servicios mediante valuaciones y órdenes de pago (PNR)</x:v>
      </x:c>
      <x:c r="D983" s="9" t="str">
        <x:v>P1</x:v>
      </x:c>
      <x:c r="E983" s="9" t="str">
        <x:v>Positiva</x:v>
      </x:c>
      <x:c r="F983" s="9" t="str">
        <x:v>Navegador + HTTP + persistencia; proveedor doble salvo variante Real DEMO explícita</x:v>
      </x:c>
      <x:c r="G983" s="20" t="str">
        <x:v>Pendiente</x:v>
      </x:c>
      <x:c r="H983" s="20" t="str"/>
      <x:c r="I983" s="20" t="str"/>
      <x:c r="J983" s="20" t="str"/>
      <x:c r="K983" s="20" t="str"/>
      <x:c r="L983" s="21" t="str"/>
      <x:c r="M983" s="22" t="str"/>
      <x:c r="N983" s="20" t="str"/>
    </x:row>
    <x:row r="984" ht="48" customHeight="1">
      <x:c r="A984" s="9" t="str">
        <x:v>QA-RISLR-088</x:v>
      </x:c>
      <x:c r="B984" s="9" t="str">
        <x:v>RISLR</x:v>
      </x:c>
      <x:c r="C984" s="9" t="str">
        <x:v>Concepto no salarial 054: Pagos a contratistas o subcontratistas por ejecución de obras o servicios mediante valuaciones y órdenes de pago (PNNR)</x:v>
      </x:c>
      <x:c r="D984" s="9" t="str">
        <x:v>P1</x:v>
      </x:c>
      <x:c r="E984" s="9" t="str">
        <x:v>Positiva</x:v>
      </x:c>
      <x:c r="F984" s="9" t="str">
        <x:v>Navegador + HTTP + persistencia; proveedor doble salvo variante Real DEMO explícita</x:v>
      </x:c>
      <x:c r="G984" s="20" t="str">
        <x:v>Pendiente</x:v>
      </x:c>
      <x:c r="H984" s="20" t="str"/>
      <x:c r="I984" s="20" t="str"/>
      <x:c r="J984" s="20" t="str"/>
      <x:c r="K984" s="20" t="str"/>
      <x:c r="L984" s="21" t="str"/>
      <x:c r="M984" s="22" t="str"/>
      <x:c r="N984" s="20" t="str"/>
    </x:row>
    <x:row r="985" ht="48" customHeight="1">
      <x:c r="A985" s="9" t="str">
        <x:v>QA-RISLR-089</x:v>
      </x:c>
      <x:c r="B985" s="9" t="str">
        <x:v>RISLR</x:v>
      </x:c>
      <x:c r="C985" s="9" t="str">
        <x:v>Concepto no salarial 055: Pagos a contratistas o subcontratistas por ejecución de obras o servicios mediante valuaciones y órdenes de pago (PJD)</x:v>
      </x:c>
      <x:c r="D985" s="9" t="str">
        <x:v>P1</x:v>
      </x:c>
      <x:c r="E985" s="9" t="str">
        <x:v>Positiva</x:v>
      </x:c>
      <x:c r="F985" s="9" t="str">
        <x:v>Navegador + HTTP + persistencia; proveedor doble salvo variante Real DEMO explícita</x:v>
      </x:c>
      <x:c r="G985" s="20" t="str">
        <x:v>Pendiente</x:v>
      </x:c>
      <x:c r="H985" s="20" t="str"/>
      <x:c r="I985" s="20" t="str"/>
      <x:c r="J985" s="20" t="str"/>
      <x:c r="K985" s="20" t="str"/>
      <x:c r="L985" s="21" t="str"/>
      <x:c r="M985" s="22" t="str"/>
      <x:c r="N985" s="20" t="str"/>
    </x:row>
    <x:row r="986" ht="48" customHeight="1">
      <x:c r="A986" s="9" t="str">
        <x:v>QA-RISLR-090</x:v>
      </x:c>
      <x:c r="B986" s="9" t="str">
        <x:v>RISLR</x:v>
      </x:c>
      <x:c r="C986" s="9" t="str">
        <x:v>Concepto no salarial 056: Pagos a contratistas o subcontratistas por ejecución de obras o servicios mediante valuaciones y órdenes de pago (PJND)</x:v>
      </x:c>
      <x:c r="D986" s="9" t="str">
        <x:v>P1</x:v>
      </x:c>
      <x:c r="E986" s="9" t="str">
        <x:v>Positiva</x:v>
      </x:c>
      <x:c r="F986" s="9" t="str">
        <x:v>Navegador + HTTP + persistencia; proveedor doble salvo variante Real DEMO explícita</x:v>
      </x:c>
      <x:c r="G986" s="20" t="str">
        <x:v>Pendiente</x:v>
      </x:c>
      <x:c r="H986" s="20" t="str"/>
      <x:c r="I986" s="20" t="str"/>
      <x:c r="J986" s="20" t="str"/>
      <x:c r="K986" s="20" t="str"/>
      <x:c r="L986" s="21" t="str"/>
      <x:c r="M986" s="22" t="str"/>
      <x:c r="N986" s="20" t="str"/>
    </x:row>
    <x:row r="987" ht="48" customHeight="1">
      <x:c r="A987" s="9" t="str">
        <x:v>QA-RISLR-091</x:v>
      </x:c>
      <x:c r="B987" s="9" t="str">
        <x:v>RISLR</x:v>
      </x:c>
      <x:c r="C987" s="9" t="str">
        <x:v>Concepto no salarial 057: Pagos a arrendadores de inmuebles situados en el país (PNR)</x:v>
      </x:c>
      <x:c r="D987" s="9" t="str">
        <x:v>P1</x:v>
      </x:c>
      <x:c r="E987" s="9" t="str">
        <x:v>Positiva</x:v>
      </x:c>
      <x:c r="F987" s="9" t="str">
        <x:v>Navegador + HTTP + persistencia; proveedor doble salvo variante Real DEMO explícita</x:v>
      </x:c>
      <x:c r="G987" s="20" t="str">
        <x:v>Pendiente</x:v>
      </x:c>
      <x:c r="H987" s="20" t="str"/>
      <x:c r="I987" s="20" t="str"/>
      <x:c r="J987" s="20" t="str"/>
      <x:c r="K987" s="20" t="str"/>
      <x:c r="L987" s="21" t="str"/>
      <x:c r="M987" s="22" t="str"/>
      <x:c r="N987" s="20" t="str"/>
    </x:row>
    <x:row r="988" ht="48" customHeight="1">
      <x:c r="A988" s="9" t="str">
        <x:v>QA-RISLR-092</x:v>
      </x:c>
      <x:c r="B988" s="9" t="str">
        <x:v>RISLR</x:v>
      </x:c>
      <x:c r="C988" s="9" t="str">
        <x:v>Concepto no salarial 058: Pagos a arrendadores de inmuebles situados en el país (PNNR)</x:v>
      </x:c>
      <x:c r="D988" s="9" t="str">
        <x:v>P1</x:v>
      </x:c>
      <x:c r="E988" s="9" t="str">
        <x:v>Positiva</x:v>
      </x:c>
      <x:c r="F988" s="9" t="str">
        <x:v>Navegador + HTTP + persistencia; proveedor doble salvo variante Real DEMO explícita</x:v>
      </x:c>
      <x:c r="G988" s="20" t="str">
        <x:v>Pendiente</x:v>
      </x:c>
      <x:c r="H988" s="20" t="str"/>
      <x:c r="I988" s="20" t="str"/>
      <x:c r="J988" s="20" t="str"/>
      <x:c r="K988" s="20" t="str"/>
      <x:c r="L988" s="21" t="str"/>
      <x:c r="M988" s="22" t="str"/>
      <x:c r="N988" s="20" t="str"/>
    </x:row>
    <x:row r="989" ht="48" customHeight="1">
      <x:c r="A989" s="9" t="str">
        <x:v>QA-RISLR-093</x:v>
      </x:c>
      <x:c r="B989" s="9" t="str">
        <x:v>RISLR</x:v>
      </x:c>
      <x:c r="C989" s="9" t="str">
        <x:v>Concepto no salarial 059: Pagos a arrendadores de inmuebles situados en el país (PJD)</x:v>
      </x:c>
      <x:c r="D989" s="9" t="str">
        <x:v>P1</x:v>
      </x:c>
      <x:c r="E989" s="9" t="str">
        <x:v>Positiva</x:v>
      </x:c>
      <x:c r="F989" s="9" t="str">
        <x:v>Navegador + HTTP + persistencia; proveedor doble salvo variante Real DEMO explícita</x:v>
      </x:c>
      <x:c r="G989" s="20" t="str">
        <x:v>Pendiente</x:v>
      </x:c>
      <x:c r="H989" s="20" t="str"/>
      <x:c r="I989" s="20" t="str"/>
      <x:c r="J989" s="20" t="str"/>
      <x:c r="K989" s="20" t="str"/>
      <x:c r="L989" s="21" t="str"/>
      <x:c r="M989" s="22" t="str"/>
      <x:c r="N989" s="20" t="str"/>
    </x:row>
    <x:row r="990" ht="48" customHeight="1">
      <x:c r="A990" s="9" t="str">
        <x:v>QA-RISLR-094</x:v>
      </x:c>
      <x:c r="B990" s="9" t="str">
        <x:v>RISLR</x:v>
      </x:c>
      <x:c r="C990" s="9" t="str">
        <x:v>Concepto no salarial 060: Pagos a arrendadores de inmuebles situados en el país (PJND)</x:v>
      </x:c>
      <x:c r="D990" s="9" t="str">
        <x:v>P1</x:v>
      </x:c>
      <x:c r="E990" s="9" t="str">
        <x:v>Positiva</x:v>
      </x:c>
      <x:c r="F990" s="9" t="str">
        <x:v>Navegador + HTTP + persistencia; proveedor doble salvo variante Real DEMO explícita</x:v>
      </x:c>
      <x:c r="G990" s="20" t="str">
        <x:v>Pendiente</x:v>
      </x:c>
      <x:c r="H990" s="20" t="str"/>
      <x:c r="I990" s="20" t="str"/>
      <x:c r="J990" s="20" t="str"/>
      <x:c r="K990" s="20" t="str"/>
      <x:c r="L990" s="21" t="str"/>
      <x:c r="M990" s="22" t="str"/>
      <x:c r="N990" s="20" t="str"/>
    </x:row>
    <x:row r="991" ht="48" customHeight="1">
      <x:c r="A991" s="9" t="str">
        <x:v>QA-RISLR-095</x:v>
      </x:c>
      <x:c r="B991" s="9" t="str">
        <x:v>RISLR</x:v>
      </x:c>
      <x:c r="C991" s="9" t="str">
        <x:v>Concepto no salarial 061: Cánones de arrendamiento de muebles situados en el país (PNR)</x:v>
      </x:c>
      <x:c r="D991" s="9" t="str">
        <x:v>P1</x:v>
      </x:c>
      <x:c r="E991" s="9" t="str">
        <x:v>Positiva</x:v>
      </x:c>
      <x:c r="F991" s="9" t="str">
        <x:v>Navegador + HTTP + persistencia; proveedor doble salvo variante Real DEMO explícita</x:v>
      </x:c>
      <x:c r="G991" s="20" t="str">
        <x:v>Pendiente</x:v>
      </x:c>
      <x:c r="H991" s="20" t="str"/>
      <x:c r="I991" s="20" t="str"/>
      <x:c r="J991" s="20" t="str"/>
      <x:c r="K991" s="20" t="str"/>
      <x:c r="L991" s="21" t="str"/>
      <x:c r="M991" s="22" t="str"/>
      <x:c r="N991" s="20" t="str"/>
    </x:row>
    <x:row r="992" ht="48" customHeight="1">
      <x:c r="A992" s="9" t="str">
        <x:v>QA-RISLR-096</x:v>
      </x:c>
      <x:c r="B992" s="9" t="str">
        <x:v>RISLR</x:v>
      </x:c>
      <x:c r="C992" s="9" t="str">
        <x:v>Concepto no salarial 062: Cánones de arrendamiento de muebles situados en el país (PNNR)</x:v>
      </x:c>
      <x:c r="D992" s="9" t="str">
        <x:v>P1</x:v>
      </x:c>
      <x:c r="E992" s="9" t="str">
        <x:v>Positiva</x:v>
      </x:c>
      <x:c r="F992" s="9" t="str">
        <x:v>Navegador + HTTP + persistencia; proveedor doble salvo variante Real DEMO explícita</x:v>
      </x:c>
      <x:c r="G992" s="20" t="str">
        <x:v>Pendiente</x:v>
      </x:c>
      <x:c r="H992" s="20" t="str"/>
      <x:c r="I992" s="20" t="str"/>
      <x:c r="J992" s="20" t="str"/>
      <x:c r="K992" s="20" t="str"/>
      <x:c r="L992" s="21" t="str"/>
      <x:c r="M992" s="22" t="str"/>
      <x:c r="N992" s="20" t="str"/>
    </x:row>
    <x:row r="993" ht="48" customHeight="1">
      <x:c r="A993" s="9" t="str">
        <x:v>QA-RISLR-097</x:v>
      </x:c>
      <x:c r="B993" s="9" t="str">
        <x:v>RISLR</x:v>
      </x:c>
      <x:c r="C993" s="9" t="str">
        <x:v>Concepto no salarial 063: Cánones de arrendamiento de muebles situados en el país (PJD)</x:v>
      </x:c>
      <x:c r="D993" s="9" t="str">
        <x:v>P1</x:v>
      </x:c>
      <x:c r="E993" s="9" t="str">
        <x:v>Positiva</x:v>
      </x:c>
      <x:c r="F993" s="9" t="str">
        <x:v>Navegador + HTTP + persistencia; proveedor doble salvo variante Real DEMO explícita</x:v>
      </x:c>
      <x:c r="G993" s="20" t="str">
        <x:v>Pendiente</x:v>
      </x:c>
      <x:c r="H993" s="20" t="str"/>
      <x:c r="I993" s="20" t="str"/>
      <x:c r="J993" s="20" t="str"/>
      <x:c r="K993" s="20" t="str"/>
      <x:c r="L993" s="21" t="str"/>
      <x:c r="M993" s="22" t="str"/>
      <x:c r="N993" s="20" t="str"/>
    </x:row>
    <x:row r="994" ht="48" customHeight="1">
      <x:c r="A994" s="9" t="str">
        <x:v>QA-RISLR-098</x:v>
      </x:c>
      <x:c r="B994" s="9" t="str">
        <x:v>RISLR</x:v>
      </x:c>
      <x:c r="C994" s="9" t="str">
        <x:v>Concepto no salarial 064: Cánones de arrendamiento de muebles situados en el país (PJND)</x:v>
      </x:c>
      <x:c r="D994" s="9" t="str">
        <x:v>P1</x:v>
      </x:c>
      <x:c r="E994" s="9" t="str">
        <x:v>Positiva</x:v>
      </x:c>
      <x:c r="F994" s="9" t="str">
        <x:v>Navegador + HTTP + persistencia; proveedor doble salvo variante Real DEMO explícita</x:v>
      </x:c>
      <x:c r="G994" s="20" t="str">
        <x:v>Pendiente</x:v>
      </x:c>
      <x:c r="H994" s="20" t="str"/>
      <x:c r="I994" s="20" t="str"/>
      <x:c r="J994" s="20" t="str"/>
      <x:c r="K994" s="20" t="str"/>
      <x:c r="L994" s="21" t="str"/>
      <x:c r="M994" s="22" t="str"/>
      <x:c r="N994" s="20" t="str"/>
    </x:row>
    <x:row r="995" ht="48" customHeight="1">
      <x:c r="A995" s="9" t="str">
        <x:v>QA-RISLR-099</x:v>
      </x:c>
      <x:c r="B995" s="9" t="str">
        <x:v>RISLR</x:v>
      </x:c>
      <x:c r="C995" s="9" t="str">
        <x:v>Concepto no salarial 065: Pagos de emisoras de tarjetas de crédito o consumo por venta de bienes y servicios u otro concepto (PNR)</x:v>
      </x:c>
      <x:c r="D995" s="9" t="str">
        <x:v>P1</x:v>
      </x:c>
      <x:c r="E995" s="9" t="str">
        <x:v>Positiva</x:v>
      </x:c>
      <x:c r="F995" s="9" t="str">
        <x:v>Navegador + HTTP + persistencia; proveedor doble salvo variante Real DEMO explícita</x:v>
      </x:c>
      <x:c r="G995" s="20" t="str">
        <x:v>Pendiente</x:v>
      </x:c>
      <x:c r="H995" s="20" t="str"/>
      <x:c r="I995" s="20" t="str"/>
      <x:c r="J995" s="20" t="str"/>
      <x:c r="K995" s="20" t="str"/>
      <x:c r="L995" s="21" t="str"/>
      <x:c r="M995" s="22" t="str"/>
      <x:c r="N995" s="20" t="str"/>
    </x:row>
    <x:row r="996" ht="48" customHeight="1">
      <x:c r="A996" s="9" t="str">
        <x:v>QA-RISLR-100</x:v>
      </x:c>
      <x:c r="B996" s="9" t="str">
        <x:v>RISLR</x:v>
      </x:c>
      <x:c r="C996" s="9" t="str">
        <x:v>Concepto no salarial 066: Pagos de emisoras de tarjetas de crédito o consumo por venta de bienes y servicios u otro concepto (PNNR)</x:v>
      </x:c>
      <x:c r="D996" s="9" t="str">
        <x:v>P1</x:v>
      </x:c>
      <x:c r="E996" s="9" t="str">
        <x:v>Positiva</x:v>
      </x:c>
      <x:c r="F996" s="9" t="str">
        <x:v>Navegador + HTTP + persistencia; proveedor doble salvo variante Real DEMO explícita</x:v>
      </x:c>
      <x:c r="G996" s="20" t="str">
        <x:v>Pendiente</x:v>
      </x:c>
      <x:c r="H996" s="20" t="str"/>
      <x:c r="I996" s="20" t="str"/>
      <x:c r="J996" s="20" t="str"/>
      <x:c r="K996" s="20" t="str"/>
      <x:c r="L996" s="21" t="str"/>
      <x:c r="M996" s="22" t="str"/>
      <x:c r="N996" s="20" t="str"/>
    </x:row>
    <x:row r="997" ht="48" customHeight="1">
      <x:c r="A997" s="9" t="str">
        <x:v>QA-RISLR-101</x:v>
      </x:c>
      <x:c r="B997" s="9" t="str">
        <x:v>RISLR</x:v>
      </x:c>
      <x:c r="C997" s="9" t="str">
        <x:v>Concepto no salarial 067: Pagos de emisoras de tarjetas de crédito o consumo por venta de bienes y servicios u otro concepto (PJD)</x:v>
      </x:c>
      <x:c r="D997" s="9" t="str">
        <x:v>P1</x:v>
      </x:c>
      <x:c r="E997" s="9" t="str">
        <x:v>Positiva</x:v>
      </x:c>
      <x:c r="F997" s="9" t="str">
        <x:v>Navegador + HTTP + persistencia; proveedor doble salvo variante Real DEMO explícita</x:v>
      </x:c>
      <x:c r="G997" s="20" t="str">
        <x:v>Pendiente</x:v>
      </x:c>
      <x:c r="H997" s="20" t="str"/>
      <x:c r="I997" s="20" t="str"/>
      <x:c r="J997" s="20" t="str"/>
      <x:c r="K997" s="20" t="str"/>
      <x:c r="L997" s="21" t="str"/>
      <x:c r="M997" s="22" t="str"/>
      <x:c r="N997" s="20" t="str"/>
    </x:row>
    <x:row r="998" ht="48" customHeight="1">
      <x:c r="A998" s="9" t="str">
        <x:v>QA-RISLR-102</x:v>
      </x:c>
      <x:c r="B998" s="9" t="str">
        <x:v>RISLR</x:v>
      </x:c>
      <x:c r="C998" s="9" t="str">
        <x:v>Concepto no salarial 068: Pagos de emisoras de tarjetas de crédito o consumo por venta de bienes y servicios u otro concepto (PJND)</x:v>
      </x:c>
      <x:c r="D998" s="9" t="str">
        <x:v>P1</x:v>
      </x:c>
      <x:c r="E998" s="9" t="str">
        <x:v>Positiva</x:v>
      </x:c>
      <x:c r="F998" s="9" t="str">
        <x:v>Navegador + HTTP + persistencia; proveedor doble salvo variante Real DEMO explícita</x:v>
      </x:c>
      <x:c r="G998" s="20" t="str">
        <x:v>Pendiente</x:v>
      </x:c>
      <x:c r="H998" s="20" t="str"/>
      <x:c r="I998" s="20" t="str"/>
      <x:c r="J998" s="20" t="str"/>
      <x:c r="K998" s="20" t="str"/>
      <x:c r="L998" s="21" t="str"/>
      <x:c r="M998" s="22" t="str"/>
      <x:c r="N998" s="20" t="str"/>
    </x:row>
    <x:row r="999" ht="48" customHeight="1">
      <x:c r="A999" s="9" t="str">
        <x:v>QA-RISLR-103</x:v>
      </x:c>
      <x:c r="B999" s="9" t="str">
        <x:v>RISLR</x:v>
      </x:c>
      <x:c r="C999" s="9" t="str">
        <x:v>Concepto no salarial 069: Pagos de emisoras de tarjetas por venta de gasolina en estaciones de servicio (PNR)</x:v>
      </x:c>
      <x:c r="D999" s="9" t="str">
        <x:v>P1</x:v>
      </x:c>
      <x:c r="E999" s="9" t="str">
        <x:v>Positiva</x:v>
      </x:c>
      <x:c r="F999" s="9" t="str">
        <x:v>Navegador + HTTP + persistencia; proveedor doble salvo variante Real DEMO explícita</x:v>
      </x:c>
      <x:c r="G999" s="20" t="str">
        <x:v>Pendiente</x:v>
      </x:c>
      <x:c r="H999" s="20" t="str"/>
      <x:c r="I999" s="20" t="str"/>
      <x:c r="J999" s="20" t="str"/>
      <x:c r="K999" s="20" t="str"/>
      <x:c r="L999" s="21" t="str"/>
      <x:c r="M999" s="22" t="str"/>
      <x:c r="N999" s="20" t="str"/>
    </x:row>
    <x:row r="1000" ht="48" customHeight="1">
      <x:c r="A1000" s="9" t="str">
        <x:v>QA-RISLR-104</x:v>
      </x:c>
      <x:c r="B1000" s="9" t="str">
        <x:v>RISLR</x:v>
      </x:c>
      <x:c r="C1000" s="9" t="str">
        <x:v>Concepto no salarial 070: Pagos de emisoras de tarjetas por venta de gasolina en estaciones de servicio (PJD)</x:v>
      </x:c>
      <x:c r="D1000" s="9" t="str">
        <x:v>P1</x:v>
      </x:c>
      <x:c r="E1000" s="9" t="str">
        <x:v>Positiva</x:v>
      </x:c>
      <x:c r="F1000" s="9" t="str">
        <x:v>Navegador + HTTP + persistencia; proveedor doble salvo variante Real DEMO explícita</x:v>
      </x:c>
      <x:c r="G1000" s="20" t="str">
        <x:v>Pendiente</x:v>
      </x:c>
      <x:c r="H1000" s="20" t="str"/>
      <x:c r="I1000" s="20" t="str"/>
      <x:c r="J1000" s="20" t="str"/>
      <x:c r="K1000" s="20" t="str"/>
      <x:c r="L1000" s="21" t="str"/>
      <x:c r="M1000" s="22" t="str"/>
      <x:c r="N1000" s="20" t="str"/>
    </x:row>
    <x:row r="1001" ht="48" customHeight="1">
      <x:c r="A1001" s="9" t="str">
        <x:v>QA-RISLR-105</x:v>
      </x:c>
      <x:c r="B1001" s="9" t="str">
        <x:v>RISLR</x:v>
      </x:c>
      <x:c r="C1001" s="9" t="str">
        <x:v>Concepto no salarial 071: Pagos por gastos de transporte conformados por fletes (PNR)</x:v>
      </x:c>
      <x:c r="D1001" s="9" t="str">
        <x:v>P1</x:v>
      </x:c>
      <x:c r="E1001" s="9" t="str">
        <x:v>Positiva</x:v>
      </x:c>
      <x:c r="F1001" s="9" t="str">
        <x:v>Navegador + HTTP + persistencia; proveedor doble salvo variante Real DEMO explícita</x:v>
      </x:c>
      <x:c r="G1001" s="20" t="str">
        <x:v>Pendiente</x:v>
      </x:c>
      <x:c r="H1001" s="20" t="str"/>
      <x:c r="I1001" s="20" t="str"/>
      <x:c r="J1001" s="20" t="str"/>
      <x:c r="K1001" s="20" t="str"/>
      <x:c r="L1001" s="21" t="str"/>
      <x:c r="M1001" s="22" t="str"/>
      <x:c r="N1001" s="20" t="str"/>
    </x:row>
    <x:row r="1002" ht="48" customHeight="1">
      <x:c r="A1002" s="9" t="str">
        <x:v>QA-RISLR-106</x:v>
      </x:c>
      <x:c r="B1002" s="9" t="str">
        <x:v>RISLR</x:v>
      </x:c>
      <x:c r="C1002" s="9" t="str">
        <x:v>Concepto no salarial 072: Pagos por gastos de transporte conformados por fletes (PJD)</x:v>
      </x:c>
      <x:c r="D1002" s="9" t="str">
        <x:v>P1</x:v>
      </x:c>
      <x:c r="E1002" s="9" t="str">
        <x:v>Positiva</x:v>
      </x:c>
      <x:c r="F1002" s="9" t="str">
        <x:v>Navegador + HTTP + persistencia; proveedor doble salvo variante Real DEMO explícita</x:v>
      </x:c>
      <x:c r="G1002" s="20" t="str">
        <x:v>Pendiente</x:v>
      </x:c>
      <x:c r="H1002" s="20" t="str"/>
      <x:c r="I1002" s="20" t="str"/>
      <x:c r="J1002" s="20" t="str"/>
      <x:c r="K1002" s="20" t="str"/>
      <x:c r="L1002" s="21" t="str"/>
      <x:c r="M1002" s="22" t="str"/>
      <x:c r="N1002" s="20" t="str"/>
    </x:row>
    <x:row r="1003" ht="48" customHeight="1">
      <x:c r="A1003" s="9" t="str">
        <x:v>QA-RISLR-107</x:v>
      </x:c>
      <x:c r="B1003" s="9" t="str">
        <x:v>RISLR</x:v>
      </x:c>
      <x:c r="C1003" s="9" t="str">
        <x:v>Concepto no salarial 073: Pagos de empresas de seguro, corretaje de seguros y reaseguros por sus servicios propios (PNR)</x:v>
      </x:c>
      <x:c r="D1003" s="9" t="str">
        <x:v>P1</x:v>
      </x:c>
      <x:c r="E1003" s="9" t="str">
        <x:v>Positiva</x:v>
      </x:c>
      <x:c r="F1003" s="9" t="str">
        <x:v>Navegador + HTTP + persistencia; proveedor doble salvo variante Real DEMO explícita</x:v>
      </x:c>
      <x:c r="G1003" s="20" t="str">
        <x:v>Pendiente</x:v>
      </x:c>
      <x:c r="H1003" s="20" t="str"/>
      <x:c r="I1003" s="20" t="str"/>
      <x:c r="J1003" s="20" t="str"/>
      <x:c r="K1003" s="20" t="str"/>
      <x:c r="L1003" s="21" t="str"/>
      <x:c r="M1003" s="22" t="str"/>
      <x:c r="N1003" s="20" t="str"/>
    </x:row>
    <x:row r="1004" ht="48" customHeight="1">
      <x:c r="A1004" s="9" t="str">
        <x:v>QA-RISLR-108</x:v>
      </x:c>
      <x:c r="B1004" s="9" t="str">
        <x:v>RISLR</x:v>
      </x:c>
      <x:c r="C1004" s="9" t="str">
        <x:v>Concepto no salarial 074: Pagos de empresas de seguro, corretaje de seguros y reaseguros por sus servicios propios (PJD)</x:v>
      </x:c>
      <x:c r="D1004" s="9" t="str">
        <x:v>P1</x:v>
      </x:c>
      <x:c r="E1004" s="9" t="str">
        <x:v>Positiva</x:v>
      </x:c>
      <x:c r="F1004" s="9" t="str">
        <x:v>Navegador + HTTP + persistencia; proveedor doble salvo variante Real DEMO explícita</x:v>
      </x:c>
      <x:c r="G1004" s="20" t="str">
        <x:v>Pendiente</x:v>
      </x:c>
      <x:c r="H1004" s="20" t="str"/>
      <x:c r="I1004" s="20" t="str"/>
      <x:c r="J1004" s="20" t="str"/>
      <x:c r="K1004" s="20" t="str"/>
      <x:c r="L1004" s="21" t="str"/>
      <x:c r="M1004" s="22" t="str"/>
      <x:c r="N1004" s="20" t="str"/>
    </x:row>
    <x:row r="1005" ht="48" customHeight="1">
      <x:c r="A1005" s="9" t="str">
        <x:v>QA-RISLR-109</x:v>
      </x:c>
      <x:c r="B1005" s="9" t="str">
        <x:v>RISLR</x:v>
      </x:c>
      <x:c r="C1005" s="9" t="str">
        <x:v>Concepto no salarial 075: Pagos de aseguradoras a contratistas por reparación de daños sufridos por asegurados (PNR)</x:v>
      </x:c>
      <x:c r="D1005" s="9" t="str">
        <x:v>P1</x:v>
      </x:c>
      <x:c r="E1005" s="9" t="str">
        <x:v>Positiva</x:v>
      </x:c>
      <x:c r="F1005" s="9" t="str">
        <x:v>Navegador + HTTP + persistencia; proveedor doble salvo variante Real DEMO explícita</x:v>
      </x:c>
      <x:c r="G1005" s="20" t="str">
        <x:v>Pendiente</x:v>
      </x:c>
      <x:c r="H1005" s="20" t="str"/>
      <x:c r="I1005" s="20" t="str"/>
      <x:c r="J1005" s="20" t="str"/>
      <x:c r="K1005" s="20" t="str"/>
      <x:c r="L1005" s="21" t="str"/>
      <x:c r="M1005" s="22" t="str"/>
      <x:c r="N1005" s="20" t="str"/>
    </x:row>
    <x:row r="1006" ht="48" customHeight="1">
      <x:c r="A1006" s="9" t="str">
        <x:v>QA-RISLR-110</x:v>
      </x:c>
      <x:c r="B1006" s="9" t="str">
        <x:v>RISLR</x:v>
      </x:c>
      <x:c r="C1006" s="9" t="str">
        <x:v>Concepto no salarial 076: Pagos de aseguradoras a contratistas por reparación de daños sufridos por asegurados (PJD)</x:v>
      </x:c>
      <x:c r="D1006" s="9" t="str">
        <x:v>P1</x:v>
      </x:c>
      <x:c r="E1006" s="9" t="str">
        <x:v>Positiva</x:v>
      </x:c>
      <x:c r="F1006" s="9" t="str">
        <x:v>Navegador + HTTP + persistencia; proveedor doble salvo variante Real DEMO explícita</x:v>
      </x:c>
      <x:c r="G1006" s="20" t="str">
        <x:v>Pendiente</x:v>
      </x:c>
      <x:c r="H1006" s="20" t="str"/>
      <x:c r="I1006" s="20" t="str"/>
      <x:c r="J1006" s="20" t="str"/>
      <x:c r="K1006" s="20" t="str"/>
      <x:c r="L1006" s="21" t="str"/>
      <x:c r="M1006" s="22" t="str"/>
      <x:c r="N1006" s="20" t="str"/>
    </x:row>
    <x:row r="1007" ht="48" customHeight="1">
      <x:c r="A1007" s="9" t="str">
        <x:v>QA-RISLR-111</x:v>
      </x:c>
      <x:c r="B1007" s="9" t="str">
        <x:v>RISLR</x:v>
      </x:c>
      <x:c r="C1007" s="9" t="str">
        <x:v>Concepto no salarial 077: Pagos de aseguradoras a clínicas, hospitales y centros de salud por atención médica a asegurados (PNR)</x:v>
      </x:c>
      <x:c r="D1007" s="9" t="str">
        <x:v>P1</x:v>
      </x:c>
      <x:c r="E1007" s="9" t="str">
        <x:v>Positiva</x:v>
      </x:c>
      <x:c r="F1007" s="9" t="str">
        <x:v>Navegador + HTTP + persistencia; proveedor doble salvo variante Real DEMO explícita</x:v>
      </x:c>
      <x:c r="G1007" s="20" t="str">
        <x:v>Pendiente</x:v>
      </x:c>
      <x:c r="H1007" s="20" t="str"/>
      <x:c r="I1007" s="20" t="str"/>
      <x:c r="J1007" s="20" t="str"/>
      <x:c r="K1007" s="20" t="str"/>
      <x:c r="L1007" s="21" t="str"/>
      <x:c r="M1007" s="22" t="str"/>
      <x:c r="N1007" s="20" t="str"/>
    </x:row>
    <x:row r="1008" ht="48" customHeight="1">
      <x:c r="A1008" s="9" t="str">
        <x:v>QA-RISLR-112</x:v>
      </x:c>
      <x:c r="B1008" s="9" t="str">
        <x:v>RISLR</x:v>
      </x:c>
      <x:c r="C1008" s="9" t="str">
        <x:v>Concepto no salarial 078: Pagos de aseguradoras a clínicas, hospitales y centros de salud por atención médica a asegurados (PJD)</x:v>
      </x:c>
      <x:c r="D1008" s="9" t="str">
        <x:v>P1</x:v>
      </x:c>
      <x:c r="E1008" s="9" t="str">
        <x:v>Positiva</x:v>
      </x:c>
      <x:c r="F1008" s="9" t="str">
        <x:v>Navegador + HTTP + persistencia; proveedor doble salvo variante Real DEMO explícita</x:v>
      </x:c>
      <x:c r="G1008" s="20" t="str">
        <x:v>Pendiente</x:v>
      </x:c>
      <x:c r="H1008" s="20" t="str"/>
      <x:c r="I1008" s="20" t="str"/>
      <x:c r="J1008" s="20" t="str"/>
      <x:c r="K1008" s="20" t="str"/>
      <x:c r="L1008" s="21" t="str"/>
      <x:c r="M1008" s="22" t="str"/>
      <x:c r="N1008" s="20" t="str"/>
    </x:row>
    <x:row r="1009" ht="48" customHeight="1">
      <x:c r="A1009" s="9" t="str">
        <x:v>QA-RISLR-113</x:v>
      </x:c>
      <x:c r="B1009" s="9" t="str">
        <x:v>RISLR</x:v>
      </x:c>
      <x:c r="C1009" s="9" t="str">
        <x:v>Concepto no salarial 079: Pagos por adquisición de fondos de comercio situados en el país (PNR)</x:v>
      </x:c>
      <x:c r="D1009" s="9" t="str">
        <x:v>P1</x:v>
      </x:c>
      <x:c r="E1009" s="9" t="str">
        <x:v>Positiva</x:v>
      </x:c>
      <x:c r="F1009" s="9" t="str">
        <x:v>Navegador + HTTP + persistencia; proveedor doble salvo variante Real DEMO explícita</x:v>
      </x:c>
      <x:c r="G1009" s="20" t="str">
        <x:v>Pendiente</x:v>
      </x:c>
      <x:c r="H1009" s="20" t="str"/>
      <x:c r="I1009" s="20" t="str"/>
      <x:c r="J1009" s="20" t="str"/>
      <x:c r="K1009" s="20" t="str"/>
      <x:c r="L1009" s="21" t="str"/>
      <x:c r="M1009" s="22" t="str"/>
      <x:c r="N1009" s="20" t="str"/>
    </x:row>
    <x:row r="1010" ht="48" customHeight="1">
      <x:c r="A1010" s="9" t="str">
        <x:v>QA-RISLR-114</x:v>
      </x:c>
      <x:c r="B1010" s="9" t="str">
        <x:v>RISLR</x:v>
      </x:c>
      <x:c r="C1010" s="9" t="str">
        <x:v>Concepto no salarial 080: Pagos por adquisición de fondos de comercio situados en el país (PNNR)</x:v>
      </x:c>
      <x:c r="D1010" s="9" t="str">
        <x:v>P1</x:v>
      </x:c>
      <x:c r="E1010" s="9" t="str">
        <x:v>Positiva</x:v>
      </x:c>
      <x:c r="F1010" s="9" t="str">
        <x:v>Navegador + HTTP + persistencia; proveedor doble salvo variante Real DEMO explícita</x:v>
      </x:c>
      <x:c r="G1010" s="20" t="str">
        <x:v>Pendiente</x:v>
      </x:c>
      <x:c r="H1010" s="20" t="str"/>
      <x:c r="I1010" s="20" t="str"/>
      <x:c r="J1010" s="20" t="str"/>
      <x:c r="K1010" s="20" t="str"/>
      <x:c r="L1010" s="21" t="str"/>
      <x:c r="M1010" s="22" t="str"/>
      <x:c r="N1010" s="20" t="str"/>
    </x:row>
    <x:row r="1011" ht="48" customHeight="1">
      <x:c r="A1011" s="9" t="str">
        <x:v>QA-RISLR-115</x:v>
      </x:c>
      <x:c r="B1011" s="9" t="str">
        <x:v>RISLR</x:v>
      </x:c>
      <x:c r="C1011" s="9" t="str">
        <x:v>Concepto no salarial 081: Pagos por adquisición de fondos de comercio situados en el país (PJD)</x:v>
      </x:c>
      <x:c r="D1011" s="9" t="str">
        <x:v>P1</x:v>
      </x:c>
      <x:c r="E1011" s="9" t="str">
        <x:v>Positiva</x:v>
      </x:c>
      <x:c r="F1011" s="9" t="str">
        <x:v>Navegador + HTTP + persistencia; proveedor doble salvo variante Real DEMO explícita</x:v>
      </x:c>
      <x:c r="G1011" s="20" t="str">
        <x:v>Pendiente</x:v>
      </x:c>
      <x:c r="H1011" s="20" t="str"/>
      <x:c r="I1011" s="20" t="str"/>
      <x:c r="J1011" s="20" t="str"/>
      <x:c r="K1011" s="20" t="str"/>
      <x:c r="L1011" s="21" t="str"/>
      <x:c r="M1011" s="22" t="str"/>
      <x:c r="N1011" s="20" t="str"/>
    </x:row>
    <x:row r="1012" ht="48" customHeight="1">
      <x:c r="A1012" s="9" t="str">
        <x:v>QA-RISLR-116</x:v>
      </x:c>
      <x:c r="B1012" s="9" t="str">
        <x:v>RISLR</x:v>
      </x:c>
      <x:c r="C1012" s="9" t="str">
        <x:v>Concepto no salarial 082: Pagos por adquisición de fondos de comercio situados en el país (PJND)</x:v>
      </x:c>
      <x:c r="D1012" s="9" t="str">
        <x:v>P1</x:v>
      </x:c>
      <x:c r="E1012" s="9" t="str">
        <x:v>Positiva</x:v>
      </x:c>
      <x:c r="F1012" s="9" t="str">
        <x:v>Navegador + HTTP + persistencia; proveedor doble salvo variante Real DEMO explícita</x:v>
      </x:c>
      <x:c r="G1012" s="20" t="str">
        <x:v>Pendiente</x:v>
      </x:c>
      <x:c r="H1012" s="20" t="str"/>
      <x:c r="I1012" s="20" t="str"/>
      <x:c r="J1012" s="20" t="str"/>
      <x:c r="K1012" s="20" t="str"/>
      <x:c r="L1012" s="21" t="str"/>
      <x:c r="M1012" s="22" t="str"/>
      <x:c r="N1012" s="20" t="str"/>
    </x:row>
    <x:row r="1013" ht="48" customHeight="1">
      <x:c r="A1013" s="9" t="str">
        <x:v>QA-RISLR-117</x:v>
      </x:c>
      <x:c r="B1013" s="9" t="str">
        <x:v>RISLR</x:v>
      </x:c>
      <x:c r="C1013" s="9" t="str">
        <x:v>Concepto no salarial 083: Pagos por publicidad, propaganda y cesión de espacios para esos fines (PNR)</x:v>
      </x:c>
      <x:c r="D1013" s="9" t="str">
        <x:v>P1</x:v>
      </x:c>
      <x:c r="E1013" s="9" t="str">
        <x:v>Positiva</x:v>
      </x:c>
      <x:c r="F1013" s="9" t="str">
        <x:v>Navegador + HTTP + persistencia; proveedor doble salvo variante Real DEMO explícita</x:v>
      </x:c>
      <x:c r="G1013" s="20" t="str">
        <x:v>Pendiente</x:v>
      </x:c>
      <x:c r="H1013" s="20" t="str"/>
      <x:c r="I1013" s="20" t="str"/>
      <x:c r="J1013" s="20" t="str"/>
      <x:c r="K1013" s="20" t="str"/>
      <x:c r="L1013" s="21" t="str"/>
      <x:c r="M1013" s="22" t="str"/>
      <x:c r="N1013" s="20" t="str"/>
    </x:row>
    <x:row r="1014" ht="48" customHeight="1">
      <x:c r="A1014" s="9" t="str">
        <x:v>QA-RISLR-118</x:v>
      </x:c>
      <x:c r="B1014" s="9" t="str">
        <x:v>RISLR</x:v>
      </x:c>
      <x:c r="C1014" s="9" t="str">
        <x:v>Concepto no salarial 084: Pagos por publicidad, propaganda y cesión de espacios para esos fines (PJD)</x:v>
      </x:c>
      <x:c r="D1014" s="9" t="str">
        <x:v>P1</x:v>
      </x:c>
      <x:c r="E1014" s="9" t="str">
        <x:v>Positiva</x:v>
      </x:c>
      <x:c r="F1014" s="9" t="str">
        <x:v>Navegador + HTTP + persistencia; proveedor doble salvo variante Real DEMO explícita</x:v>
      </x:c>
      <x:c r="G1014" s="20" t="str">
        <x:v>Pendiente</x:v>
      </x:c>
      <x:c r="H1014" s="20" t="str"/>
      <x:c r="I1014" s="20" t="str"/>
      <x:c r="J1014" s="20" t="str"/>
      <x:c r="K1014" s="20" t="str"/>
      <x:c r="L1014" s="21" t="str"/>
      <x:c r="M1014" s="22" t="str"/>
      <x:c r="N1014" s="20" t="str"/>
    </x:row>
    <x:row r="1015" ht="48" customHeight="1">
      <x:c r="A1015" s="9" t="str">
        <x:v>QA-RISLR-119</x:v>
      </x:c>
      <x:c r="B1015" s="9" t="str">
        <x:v>RISLR</x:v>
      </x:c>
      <x:c r="C1015" s="9" t="str">
        <x:v>Concepto no salarial 085: Pagos por publicidad, propaganda y cesión de espacios para esos fines (PJND)</x:v>
      </x:c>
      <x:c r="D1015" s="9" t="str">
        <x:v>P1</x:v>
      </x:c>
      <x:c r="E1015" s="9" t="str">
        <x:v>Positiva</x:v>
      </x:c>
      <x:c r="F1015" s="9" t="str">
        <x:v>Navegador + HTTP + persistencia; proveedor doble salvo variante Real DEMO explícita</x:v>
      </x:c>
      <x:c r="G1015" s="20" t="str">
        <x:v>Pendiente</x:v>
      </x:c>
      <x:c r="H1015" s="20" t="str"/>
      <x:c r="I1015" s="20" t="str"/>
      <x:c r="J1015" s="20" t="str"/>
      <x:c r="K1015" s="20" t="str"/>
      <x:c r="L1015" s="21" t="str"/>
      <x:c r="M1015" s="22" t="str"/>
      <x:c r="N1015" s="20" t="str"/>
    </x:row>
    <x:row r="1016" ht="48" customHeight="1">
      <x:c r="A1016" s="9" t="str">
        <x:v>QA-RISLR-120</x:v>
      </x:c>
      <x:c r="B1016" s="9" t="str">
        <x:v>RISLR</x:v>
      </x:c>
      <x:c r="C1016" s="9" t="str">
        <x:v>Concepto no salarial 086: Pagos por publicidad, propaganda y cesión de espacios a emisoras de radio (PJD)</x:v>
      </x:c>
      <x:c r="D1016" s="9" t="str">
        <x:v>P1</x:v>
      </x:c>
      <x:c r="E1016" s="9" t="str">
        <x:v>Positiva</x:v>
      </x:c>
      <x:c r="F1016" s="9" t="str">
        <x:v>Navegador + HTTP + persistencia; proveedor doble salvo variante Real DEMO explícita</x:v>
      </x:c>
      <x:c r="G1016" s="20" t="str">
        <x:v>Pendiente</x:v>
      </x:c>
      <x:c r="H1016" s="20" t="str"/>
      <x:c r="I1016" s="20" t="str"/>
      <x:c r="J1016" s="20" t="str"/>
      <x:c r="K1016" s="20" t="str"/>
      <x:c r="L1016" s="21" t="str"/>
      <x:c r="M1016" s="22" t="str"/>
      <x:c r="N1016" s="20" t="str"/>
    </x:row>
    <x:row r="1017" ht="48" customHeight="1">
      <x:c r="A1017" s="9" t="str">
        <x:v>QA-RIVA-049</x:v>
      </x:c>
      <x:c r="B1017" s="9" t="str">
        <x:v>RIVA</x:v>
      </x:c>
      <x:c r="C1017" s="9" t="str">
        <x:v>Soporte privado PDF: upload, consumo y descarga</x:v>
      </x:c>
      <x:c r="D1017" s="9" t="str">
        <x:v>P0</x:v>
      </x:c>
      <x:c r="E1017" s="9" t="str">
        <x:v>Positiva</x:v>
      </x:c>
      <x:c r="F1017" s="9" t="str">
        <x:v>Navegador + HTTP + persistencia; proveedor doble salvo variante Real DEMO explícita</x:v>
      </x:c>
      <x:c r="G1017" s="20" t="str">
        <x:v>Pendiente</x:v>
      </x:c>
      <x:c r="H1017" s="20" t="str"/>
      <x:c r="I1017" s="20" t="str"/>
      <x:c r="J1017" s="20" t="str"/>
      <x:c r="K1017" s="20" t="str"/>
      <x:c r="L1017" s="21" t="str"/>
      <x:c r="M1017" s="22" t="str"/>
      <x:c r="N1017" s="20" t="str"/>
    </x:row>
    <x:row r="1018" ht="48" customHeight="1">
      <x:c r="A1018" s="9" t="str">
        <x:v>QA-RIVA-050</x:v>
      </x:c>
      <x:c r="B1018" s="9" t="str">
        <x:v>RIVA</x:v>
      </x:c>
      <x:c r="C1018" s="9" t="str">
        <x:v>Soporte privado JPG: upload, consumo y descarga</x:v>
      </x:c>
      <x:c r="D1018" s="9" t="str">
        <x:v>P0</x:v>
      </x:c>
      <x:c r="E1018" s="9" t="str">
        <x:v>Positiva</x:v>
      </x:c>
      <x:c r="F1018" s="9" t="str">
        <x:v>Navegador + HTTP + persistencia; proveedor doble salvo variante Real DEMO explícita</x:v>
      </x:c>
      <x:c r="G1018" s="20" t="str">
        <x:v>Pendiente</x:v>
      </x:c>
      <x:c r="H1018" s="20" t="str"/>
      <x:c r="I1018" s="20" t="str"/>
      <x:c r="J1018" s="20" t="str"/>
      <x:c r="K1018" s="20" t="str"/>
      <x:c r="L1018" s="21" t="str"/>
      <x:c r="M1018" s="22" t="str"/>
      <x:c r="N1018" s="20" t="str"/>
    </x:row>
    <x:row r="1019" ht="48" customHeight="1">
      <x:c r="A1019" s="9" t="str">
        <x:v>QA-RIVA-051</x:v>
      </x:c>
      <x:c r="B1019" s="9" t="str">
        <x:v>RIVA</x:v>
      </x:c>
      <x:c r="C1019" s="9" t="str">
        <x:v>Soporte privado PNG: upload, consumo y descarga</x:v>
      </x:c>
      <x:c r="D1019" s="9" t="str">
        <x:v>P0</x:v>
      </x:c>
      <x:c r="E1019" s="9" t="str">
        <x:v>Positiva</x:v>
      </x:c>
      <x:c r="F1019" s="9" t="str">
        <x:v>Navegador + HTTP + persistencia; proveedor doble salvo variante Real DEMO explícita</x:v>
      </x:c>
      <x:c r="G1019" s="20" t="str">
        <x:v>Pendiente</x:v>
      </x:c>
      <x:c r="H1019" s="20" t="str"/>
      <x:c r="I1019" s="20" t="str"/>
      <x:c r="J1019" s="20" t="str"/>
      <x:c r="K1019" s="20" t="str"/>
      <x:c r="L1019" s="21" t="str"/>
      <x:c r="M1019" s="22" t="str"/>
      <x:c r="N1019" s="20" t="str"/>
    </x:row>
    <x:row r="1020" ht="48" customHeight="1">
      <x:c r="A1020" s="9" t="str">
        <x:v>QA-RIVA-052</x:v>
      </x:c>
      <x:c r="B1020" s="9" t="str">
        <x:v>RIVA</x:v>
      </x:c>
      <x:c r="C1020" s="9" t="str">
        <x:v>Soporte rechazado: token de otro usuario/tenant</x:v>
      </x:c>
      <x:c r="D1020" s="9" t="str">
        <x:v>P0</x:v>
      </x:c>
      <x:c r="E1020" s="9" t="str">
        <x:v>Negativa</x:v>
      </x:c>
      <x:c r="F1020" s="9" t="str">
        <x:v>Navegador + HTTP + persistencia; proveedor doble salvo variante Real DEMO explícita</x:v>
      </x:c>
      <x:c r="G1020" s="20" t="str">
        <x:v>Pendiente</x:v>
      </x:c>
      <x:c r="H1020" s="20" t="str"/>
      <x:c r="I1020" s="20" t="str"/>
      <x:c r="J1020" s="20" t="str"/>
      <x:c r="K1020" s="20" t="str"/>
      <x:c r="L1020" s="21" t="str"/>
      <x:c r="M1020" s="22" t="str"/>
      <x:c r="N1020" s="20" t="str"/>
    </x:row>
    <x:row r="1021" ht="48" customHeight="1">
      <x:c r="A1021" s="9" t="str">
        <x:v>QA-RIVA-053</x:v>
      </x:c>
      <x:c r="B1021" s="9" t="str">
        <x:v>RIVA</x:v>
      </x:c>
      <x:c r="C1021" s="9" t="str">
        <x:v>Soporte rechazado: token consumido</x:v>
      </x:c>
      <x:c r="D1021" s="9" t="str">
        <x:v>P0</x:v>
      </x:c>
      <x:c r="E1021" s="9" t="str">
        <x:v>Negativa</x:v>
      </x:c>
      <x:c r="F1021" s="9" t="str">
        <x:v>Navegador + HTTP + persistencia; proveedor doble salvo variante Real DEMO explícita</x:v>
      </x:c>
      <x:c r="G1021" s="20" t="str">
        <x:v>Pendiente</x:v>
      </x:c>
      <x:c r="H1021" s="20" t="str"/>
      <x:c r="I1021" s="20" t="str"/>
      <x:c r="J1021" s="20" t="str"/>
      <x:c r="K1021" s="20" t="str"/>
      <x:c r="L1021" s="21" t="str"/>
      <x:c r="M1021" s="22" t="str"/>
      <x:c r="N1021" s="20" t="str"/>
    </x:row>
    <x:row r="1022" ht="48" customHeight="1">
      <x:c r="A1022" s="9" t="str">
        <x:v>QA-RIVA-054</x:v>
      </x:c>
      <x:c r="B1022" s="9" t="str">
        <x:v>RIVA</x:v>
      </x:c>
      <x:c r="C1022" s="9" t="str">
        <x:v>Soporte rechazado: token vencido después de 24 h</x:v>
      </x:c>
      <x:c r="D1022" s="9" t="str">
        <x:v>P0</x:v>
      </x:c>
      <x:c r="E1022" s="9" t="str">
        <x:v>Negativa</x:v>
      </x:c>
      <x:c r="F1022" s="9" t="str">
        <x:v>Navegador + HTTP + persistencia; proveedor doble salvo variante Real DEMO explícita</x:v>
      </x:c>
      <x:c r="G1022" s="20" t="str">
        <x:v>Pendiente</x:v>
      </x:c>
      <x:c r="H1022" s="20" t="str"/>
      <x:c r="I1022" s="20" t="str"/>
      <x:c r="J1022" s="20" t="str"/>
      <x:c r="K1022" s="20" t="str"/>
      <x:c r="L1022" s="21" t="str"/>
      <x:c r="M1022" s="22" t="str"/>
      <x:c r="N1022" s="20" t="str"/>
    </x:row>
    <x:row r="1023" ht="48" customHeight="1">
      <x:c r="A1023" s="9" t="str">
        <x:v>QA-RIVA-055</x:v>
      </x:c>
      <x:c r="B1023" s="9" t="str">
        <x:v>RIVA</x:v>
      </x:c>
      <x:c r="C1023" s="9" t="str">
        <x:v>Soporte rechazado: archivo superior a 5 MB</x:v>
      </x:c>
      <x:c r="D1023" s="9" t="str">
        <x:v>P0</x:v>
      </x:c>
      <x:c r="E1023" s="9" t="str">
        <x:v>Negativa</x:v>
      </x:c>
      <x:c r="F1023" s="9" t="str">
        <x:v>Navegador + HTTP + persistencia; proveedor doble salvo variante Real DEMO explícita</x:v>
      </x:c>
      <x:c r="G1023" s="20" t="str">
        <x:v>Pendiente</x:v>
      </x:c>
      <x:c r="H1023" s="20" t="str"/>
      <x:c r="I1023" s="20" t="str"/>
      <x:c r="J1023" s="20" t="str"/>
      <x:c r="K1023" s="20" t="str"/>
      <x:c r="L1023" s="21" t="str"/>
      <x:c r="M1023" s="22" t="str"/>
      <x:c r="N1023" s="20" t="str"/>
    </x:row>
    <x:row r="1024" ht="48" customHeight="1">
      <x:c r="A1024" s="9" t="str">
        <x:v>QA-RIVA-056</x:v>
      </x:c>
      <x:c r="B1024" s="9" t="str">
        <x:v>RIVA</x:v>
      </x:c>
      <x:c r="C1024" s="9" t="str">
        <x:v>Soporte rechazado: MIME/extension no permitidos</x:v>
      </x:c>
      <x:c r="D1024" s="9" t="str">
        <x:v>P0</x:v>
      </x:c>
      <x:c r="E1024" s="9" t="str">
        <x:v>Negativa</x:v>
      </x:c>
      <x:c r="F1024" s="9" t="str">
        <x:v>Navegador + HTTP + persistencia; proveedor doble salvo variante Real DEMO explícita</x:v>
      </x:c>
      <x:c r="G1024" s="20" t="str">
        <x:v>Pendiente</x:v>
      </x:c>
      <x:c r="H1024" s="20" t="str"/>
      <x:c r="I1024" s="20" t="str"/>
      <x:c r="J1024" s="20" t="str"/>
      <x:c r="K1024" s="20" t="str"/>
      <x:c r="L1024" s="21" t="str"/>
      <x:c r="M1024" s="22" t="str"/>
      <x:c r="N1024" s="20" t="str"/>
    </x:row>
    <x:row r="1025" ht="48" customHeight="1">
      <x:c r="A1025" s="9" t="str">
        <x:v>QA-RIVA-057</x:v>
      </x:c>
      <x:c r="B1025" s="9" t="str">
        <x:v>RIVA</x:v>
      </x:c>
      <x:c r="C1025" s="9" t="str">
        <x:v>Soporte rechazado: sin soporte</x:v>
      </x:c>
      <x:c r="D1025" s="9" t="str">
        <x:v>P0</x:v>
      </x:c>
      <x:c r="E1025" s="9" t="str">
        <x:v>Negativa</x:v>
      </x:c>
      <x:c r="F1025" s="9" t="str">
        <x:v>Navegador + HTTP + persistencia; proveedor doble salvo variante Real DEMO explícita</x:v>
      </x:c>
      <x:c r="G1025" s="20" t="str">
        <x:v>Pendiente</x:v>
      </x:c>
      <x:c r="H1025" s="20" t="str"/>
      <x:c r="I1025" s="20" t="str"/>
      <x:c r="J1025" s="20" t="str"/>
      <x:c r="K1025" s="20" t="str"/>
      <x:c r="L1025" s="21" t="str"/>
      <x:c r="M1025" s="22" t="str"/>
      <x:c r="N1025" s="20" t="str"/>
    </x:row>
    <x:row r="1026" ht="48" customHeight="1">
      <x:c r="A1026" s="9" t="str">
        <x:v>QA-RIVA-058</x:v>
      </x:c>
      <x:c r="B1026" s="9" t="str">
        <x:v>RIVA</x:v>
      </x:c>
      <x:c r="C1026" s="9" t="str">
        <x:v>Rollback y limpieza de soporte compartido</x:v>
      </x:c>
      <x:c r="D1026" s="9" t="str">
        <x:v>P0</x:v>
      </x:c>
      <x:c r="E1026" s="9" t="str">
        <x:v>Positiva</x:v>
      </x:c>
      <x:c r="F1026" s="9" t="str">
        <x:v>Navegador + HTTP + persistencia; proveedor doble salvo variante Real DEMO explícita</x:v>
      </x:c>
      <x:c r="G1026" s="20" t="str">
        <x:v>Pendiente</x:v>
      </x:c>
      <x:c r="H1026" s="20" t="str"/>
      <x:c r="I1026" s="20" t="str"/>
      <x:c r="J1026" s="20" t="str"/>
      <x:c r="K1026" s="20" t="str"/>
      <x:c r="L1026" s="21" t="str"/>
      <x:c r="M1026" s="22" t="str"/>
      <x:c r="N1026" s="20" t="str"/>
    </x:row>
    <x:row r="1027" ht="48" customHeight="1">
      <x:c r="A1027" s="9" t="str">
        <x:v>QA-RIVA-059</x:v>
      </x:c>
      <x:c r="B1027" s="9" t="str">
        <x:v>RIVA</x:v>
      </x:c>
      <x:c r="C1027" s="9" t="str">
        <x:v>Bloqueo DEMO de cobro neto: VES / Contado</x:v>
      </x:c>
      <x:c r="D1027" s="9" t="str">
        <x:v>P0</x:v>
      </x:c>
      <x:c r="E1027" s="9" t="str">
        <x:v>Negativa</x:v>
      </x:c>
      <x:c r="F1027" s="9" t="str">
        <x:v>Navegador + HTTP + persistencia; proveedor doble salvo variante Real DEMO explícita</x:v>
      </x:c>
      <x:c r="G1027" s="20" t="str">
        <x:v>Pendiente</x:v>
      </x:c>
      <x:c r="H1027" s="20" t="str"/>
      <x:c r="I1027" s="20" t="str"/>
      <x:c r="J1027" s="20" t="str"/>
      <x:c r="K1027" s="20" t="str"/>
      <x:c r="L1027" s="21" t="str"/>
      <x:c r="M1027" s="22" t="str"/>
      <x:c r="N1027" s="20" t="str"/>
    </x:row>
    <x:row r="1028" ht="48" customHeight="1">
      <x:c r="A1028" s="9" t="str">
        <x:v>QA-RIVA-060</x:v>
      </x:c>
      <x:c r="B1028" s="9" t="str">
        <x:v>RIVA</x:v>
      </x:c>
      <x:c r="C1028" s="9" t="str">
        <x:v>Bloqueo DEMO de cobro neto: VES / Crédito con abono</x:v>
      </x:c>
      <x:c r="D1028" s="9" t="str">
        <x:v>P0</x:v>
      </x:c>
      <x:c r="E1028" s="9" t="str">
        <x:v>Negativa</x:v>
      </x:c>
      <x:c r="F1028" s="9" t="str">
        <x:v>Navegador + HTTP + persistencia; proveedor doble salvo variante Real DEMO explícita</x:v>
      </x:c>
      <x:c r="G1028" s="20" t="str">
        <x:v>Pendiente</x:v>
      </x:c>
      <x:c r="H1028" s="20" t="str"/>
      <x:c r="I1028" s="20" t="str"/>
      <x:c r="J1028" s="20" t="str"/>
      <x:c r="K1028" s="20" t="str"/>
      <x:c r="L1028" s="21" t="str"/>
      <x:c r="M1028" s="22" t="str"/>
      <x:c r="N1028" s="20" t="str"/>
    </x:row>
    <x:row r="1029" ht="48" customHeight="1">
      <x:c r="A1029" s="9" t="str">
        <x:v>QA-RIVA-061</x:v>
      </x:c>
      <x:c r="B1029" s="9" t="str">
        <x:v>RIVA</x:v>
      </x:c>
      <x:c r="C1029" s="9" t="str">
        <x:v>Bloqueo DEMO de cobro neto: USD / Contado</x:v>
      </x:c>
      <x:c r="D1029" s="9" t="str">
        <x:v>P0</x:v>
      </x:c>
      <x:c r="E1029" s="9" t="str">
        <x:v>Negativa</x:v>
      </x:c>
      <x:c r="F1029" s="9" t="str">
        <x:v>Navegador + HTTP + persistencia; proveedor doble salvo variante Real DEMO explícita</x:v>
      </x:c>
      <x:c r="G1029" s="20" t="str">
        <x:v>Pendiente</x:v>
      </x:c>
      <x:c r="H1029" s="20" t="str"/>
      <x:c r="I1029" s="20" t="str"/>
      <x:c r="J1029" s="20" t="str"/>
      <x:c r="K1029" s="20" t="str"/>
      <x:c r="L1029" s="21" t="str"/>
      <x:c r="M1029" s="22" t="str"/>
      <x:c r="N1029" s="20" t="str"/>
    </x:row>
    <x:row r="1030" ht="48" customHeight="1">
      <x:c r="A1030" s="9" t="str">
        <x:v>QA-RIVA-062</x:v>
      </x:c>
      <x:c r="B1030" s="9" t="str">
        <x:v>RIVA</x:v>
      </x:c>
      <x:c r="C1030" s="9" t="str">
        <x:v>Bloqueo DEMO de cobro neto: USD / Crédito con abono</x:v>
      </x:c>
      <x:c r="D1030" s="9" t="str">
        <x:v>P0</x:v>
      </x:c>
      <x:c r="E1030" s="9" t="str">
        <x:v>Negativa</x:v>
      </x:c>
      <x:c r="F1030" s="9" t="str">
        <x:v>Navegador + HTTP + persistencia; proveedor doble salvo variante Real DEMO explícita</x:v>
      </x:c>
      <x:c r="G1030" s="20" t="str">
        <x:v>Pendiente</x:v>
      </x:c>
      <x:c r="H1030" s="20" t="str"/>
      <x:c r="I1030" s="20" t="str"/>
      <x:c r="J1030" s="20" t="str"/>
      <x:c r="K1030" s="20" t="str"/>
      <x:c r="L1030" s="21" t="str"/>
      <x:c r="M1030" s="22" t="str"/>
      <x:c r="N1030" s="20" t="str"/>
    </x:row>
    <x:row r="1031" ht="48" customHeight="1">
      <x:c r="A1031" s="9" t="str">
        <x:v>QA-RIVA-063</x:v>
      </x:c>
      <x:c r="B1031" s="9" t="str">
        <x:v>RIVA</x:v>
      </x:c>
      <x:c r="C1031" s="9" t="str">
        <x:v>Query y retry usan clave HKA vigente</x:v>
      </x:c>
      <x:c r="D1031" s="9" t="str">
        <x:v>P0</x:v>
      </x:c>
      <x:c r="E1031" s="9" t="str">
        <x:v>Negativa</x:v>
      </x:c>
      <x:c r="F1031" s="9" t="str">
        <x:v>Navegador + HTTP + persistencia; proveedor doble salvo variante Real DEMO explícita</x:v>
      </x:c>
      <x:c r="G1031" s="20" t="str">
        <x:v>Pendiente</x:v>
      </x:c>
      <x:c r="H1031" s="20" t="str"/>
      <x:c r="I1031" s="20" t="str"/>
      <x:c r="J1031" s="20" t="str"/>
      <x:c r="K1031" s="20" t="str"/>
      <x:c r="L1031" s="21" t="str"/>
      <x:c r="M1031" s="22" t="str"/>
      <x:c r="N1031" s="20" t="str"/>
    </x:row>
    <x:row r="1032" ht="48" customHeight="1">
      <x:c r="A1032" s="9" t="str">
        <x:v>QA-RISLR-121</x:v>
      </x:c>
      <x:c r="B1032" s="9" t="str">
        <x:v>RISLR</x:v>
      </x:c>
      <x:c r="C1032" s="9" t="str">
        <x:v>Soporte privado PDF: upload, consumo y descarga</x:v>
      </x:c>
      <x:c r="D1032" s="9" t="str">
        <x:v>P0</x:v>
      </x:c>
      <x:c r="E1032" s="9" t="str">
        <x:v>Positiva</x:v>
      </x:c>
      <x:c r="F1032" s="9" t="str">
        <x:v>Navegador + HTTP + persistencia; proveedor doble salvo variante Real DEMO explícita</x:v>
      </x:c>
      <x:c r="G1032" s="20" t="str">
        <x:v>Pendiente</x:v>
      </x:c>
      <x:c r="H1032" s="20" t="str"/>
      <x:c r="I1032" s="20" t="str"/>
      <x:c r="J1032" s="20" t="str"/>
      <x:c r="K1032" s="20" t="str"/>
      <x:c r="L1032" s="21" t="str"/>
      <x:c r="M1032" s="22" t="str"/>
      <x:c r="N1032" s="20" t="str"/>
    </x:row>
    <x:row r="1033" ht="48" customHeight="1">
      <x:c r="A1033" s="9" t="str">
        <x:v>QA-RISLR-122</x:v>
      </x:c>
      <x:c r="B1033" s="9" t="str">
        <x:v>RISLR</x:v>
      </x:c>
      <x:c r="C1033" s="9" t="str">
        <x:v>Soporte privado JPG: upload, consumo y descarga</x:v>
      </x:c>
      <x:c r="D1033" s="9" t="str">
        <x:v>P0</x:v>
      </x:c>
      <x:c r="E1033" s="9" t="str">
        <x:v>Positiva</x:v>
      </x:c>
      <x:c r="F1033" s="9" t="str">
        <x:v>Navegador + HTTP + persistencia; proveedor doble salvo variante Real DEMO explícita</x:v>
      </x:c>
      <x:c r="G1033" s="20" t="str">
        <x:v>Pendiente</x:v>
      </x:c>
      <x:c r="H1033" s="20" t="str"/>
      <x:c r="I1033" s="20" t="str"/>
      <x:c r="J1033" s="20" t="str"/>
      <x:c r="K1033" s="20" t="str"/>
      <x:c r="L1033" s="21" t="str"/>
      <x:c r="M1033" s="22" t="str"/>
      <x:c r="N1033" s="20" t="str"/>
    </x:row>
    <x:row r="1034" ht="48" customHeight="1">
      <x:c r="A1034" s="9" t="str">
        <x:v>QA-RISLR-123</x:v>
      </x:c>
      <x:c r="B1034" s="9" t="str">
        <x:v>RISLR</x:v>
      </x:c>
      <x:c r="C1034" s="9" t="str">
        <x:v>Soporte privado PNG: upload, consumo y descarga</x:v>
      </x:c>
      <x:c r="D1034" s="9" t="str">
        <x:v>P0</x:v>
      </x:c>
      <x:c r="E1034" s="9" t="str">
        <x:v>Positiva</x:v>
      </x:c>
      <x:c r="F1034" s="9" t="str">
        <x:v>Navegador + HTTP + persistencia; proveedor doble salvo variante Real DEMO explícita</x:v>
      </x:c>
      <x:c r="G1034" s="20" t="str">
        <x:v>Pendiente</x:v>
      </x:c>
      <x:c r="H1034" s="20" t="str"/>
      <x:c r="I1034" s="20" t="str"/>
      <x:c r="J1034" s="20" t="str"/>
      <x:c r="K1034" s="20" t="str"/>
      <x:c r="L1034" s="21" t="str"/>
      <x:c r="M1034" s="22" t="str"/>
      <x:c r="N1034" s="20" t="str"/>
    </x:row>
    <x:row r="1035" ht="48" customHeight="1">
      <x:c r="A1035" s="9" t="str">
        <x:v>QA-RISLR-124</x:v>
      </x:c>
      <x:c r="B1035" s="9" t="str">
        <x:v>RISLR</x:v>
      </x:c>
      <x:c r="C1035" s="9" t="str">
        <x:v>Soporte rechazado: token de otro usuario/tenant</x:v>
      </x:c>
      <x:c r="D1035" s="9" t="str">
        <x:v>P0</x:v>
      </x:c>
      <x:c r="E1035" s="9" t="str">
        <x:v>Negativa</x:v>
      </x:c>
      <x:c r="F1035" s="9" t="str">
        <x:v>Navegador + HTTP + persistencia; proveedor doble salvo variante Real DEMO explícita</x:v>
      </x:c>
      <x:c r="G1035" s="20" t="str">
        <x:v>Pendiente</x:v>
      </x:c>
      <x:c r="H1035" s="20" t="str"/>
      <x:c r="I1035" s="20" t="str"/>
      <x:c r="J1035" s="20" t="str"/>
      <x:c r="K1035" s="20" t="str"/>
      <x:c r="L1035" s="21" t="str"/>
      <x:c r="M1035" s="22" t="str"/>
      <x:c r="N1035" s="20" t="str"/>
    </x:row>
    <x:row r="1036" ht="48" customHeight="1">
      <x:c r="A1036" s="9" t="str">
        <x:v>QA-RISLR-125</x:v>
      </x:c>
      <x:c r="B1036" s="9" t="str">
        <x:v>RISLR</x:v>
      </x:c>
      <x:c r="C1036" s="9" t="str">
        <x:v>Soporte rechazado: token consumido</x:v>
      </x:c>
      <x:c r="D1036" s="9" t="str">
        <x:v>P0</x:v>
      </x:c>
      <x:c r="E1036" s="9" t="str">
        <x:v>Negativa</x:v>
      </x:c>
      <x:c r="F1036" s="9" t="str">
        <x:v>Navegador + HTTP + persistencia; proveedor doble salvo variante Real DEMO explícita</x:v>
      </x:c>
      <x:c r="G1036" s="20" t="str">
        <x:v>Pendiente</x:v>
      </x:c>
      <x:c r="H1036" s="20" t="str"/>
      <x:c r="I1036" s="20" t="str"/>
      <x:c r="J1036" s="20" t="str"/>
      <x:c r="K1036" s="20" t="str"/>
      <x:c r="L1036" s="21" t="str"/>
      <x:c r="M1036" s="22" t="str"/>
      <x:c r="N1036" s="20" t="str"/>
    </x:row>
    <x:row r="1037" ht="48" customHeight="1">
      <x:c r="A1037" s="9" t="str">
        <x:v>QA-RISLR-126</x:v>
      </x:c>
      <x:c r="B1037" s="9" t="str">
        <x:v>RISLR</x:v>
      </x:c>
      <x:c r="C1037" s="9" t="str">
        <x:v>Soporte rechazado: token vencido después de 24 h</x:v>
      </x:c>
      <x:c r="D1037" s="9" t="str">
        <x:v>P0</x:v>
      </x:c>
      <x:c r="E1037" s="9" t="str">
        <x:v>Negativa</x:v>
      </x:c>
      <x:c r="F1037" s="9" t="str">
        <x:v>Navegador + HTTP + persistencia; proveedor doble salvo variante Real DEMO explícita</x:v>
      </x:c>
      <x:c r="G1037" s="20" t="str">
        <x:v>Pendiente</x:v>
      </x:c>
      <x:c r="H1037" s="20" t="str"/>
      <x:c r="I1037" s="20" t="str"/>
      <x:c r="J1037" s="20" t="str"/>
      <x:c r="K1037" s="20" t="str"/>
      <x:c r="L1037" s="21" t="str"/>
      <x:c r="M1037" s="22" t="str"/>
      <x:c r="N1037" s="20" t="str"/>
    </x:row>
    <x:row r="1038" ht="48" customHeight="1">
      <x:c r="A1038" s="9" t="str">
        <x:v>QA-RISLR-127</x:v>
      </x:c>
      <x:c r="B1038" s="9" t="str">
        <x:v>RISLR</x:v>
      </x:c>
      <x:c r="C1038" s="9" t="str">
        <x:v>Soporte rechazado: archivo superior a 5 MB</x:v>
      </x:c>
      <x:c r="D1038" s="9" t="str">
        <x:v>P0</x:v>
      </x:c>
      <x:c r="E1038" s="9" t="str">
        <x:v>Negativa</x:v>
      </x:c>
      <x:c r="F1038" s="9" t="str">
        <x:v>Navegador + HTTP + persistencia; proveedor doble salvo variante Real DEMO explícita</x:v>
      </x:c>
      <x:c r="G1038" s="20" t="str">
        <x:v>Pendiente</x:v>
      </x:c>
      <x:c r="H1038" s="20" t="str"/>
      <x:c r="I1038" s="20" t="str"/>
      <x:c r="J1038" s="20" t="str"/>
      <x:c r="K1038" s="20" t="str"/>
      <x:c r="L1038" s="21" t="str"/>
      <x:c r="M1038" s="22" t="str"/>
      <x:c r="N1038" s="20" t="str"/>
    </x:row>
    <x:row r="1039" ht="48" customHeight="1">
      <x:c r="A1039" s="9" t="str">
        <x:v>QA-RISLR-128</x:v>
      </x:c>
      <x:c r="B1039" s="9" t="str">
        <x:v>RISLR</x:v>
      </x:c>
      <x:c r="C1039" s="9" t="str">
        <x:v>Soporte rechazado: MIME/extension no permitidos</x:v>
      </x:c>
      <x:c r="D1039" s="9" t="str">
        <x:v>P0</x:v>
      </x:c>
      <x:c r="E1039" s="9" t="str">
        <x:v>Negativa</x:v>
      </x:c>
      <x:c r="F1039" s="9" t="str">
        <x:v>Navegador + HTTP + persistencia; proveedor doble salvo variante Real DEMO explícita</x:v>
      </x:c>
      <x:c r="G1039" s="20" t="str">
        <x:v>Pendiente</x:v>
      </x:c>
      <x:c r="H1039" s="20" t="str"/>
      <x:c r="I1039" s="20" t="str"/>
      <x:c r="J1039" s="20" t="str"/>
      <x:c r="K1039" s="20" t="str"/>
      <x:c r="L1039" s="21" t="str"/>
      <x:c r="M1039" s="22" t="str"/>
      <x:c r="N1039" s="20" t="str"/>
    </x:row>
    <x:row r="1040" ht="48" customHeight="1">
      <x:c r="A1040" s="9" t="str">
        <x:v>QA-RISLR-129</x:v>
      </x:c>
      <x:c r="B1040" s="9" t="str">
        <x:v>RISLR</x:v>
      </x:c>
      <x:c r="C1040" s="9" t="str">
        <x:v>Soporte rechazado: sin soporte</x:v>
      </x:c>
      <x:c r="D1040" s="9" t="str">
        <x:v>P0</x:v>
      </x:c>
      <x:c r="E1040" s="9" t="str">
        <x:v>Negativa</x:v>
      </x:c>
      <x:c r="F1040" s="9" t="str">
        <x:v>Navegador + HTTP + persistencia; proveedor doble salvo variante Real DEMO explícita</x:v>
      </x:c>
      <x:c r="G1040" s="20" t="str">
        <x:v>Pendiente</x:v>
      </x:c>
      <x:c r="H1040" s="20" t="str"/>
      <x:c r="I1040" s="20" t="str"/>
      <x:c r="J1040" s="20" t="str"/>
      <x:c r="K1040" s="20" t="str"/>
      <x:c r="L1040" s="21" t="str"/>
      <x:c r="M1040" s="22" t="str"/>
      <x:c r="N1040" s="20" t="str"/>
    </x:row>
    <x:row r="1041" ht="48" customHeight="1">
      <x:c r="A1041" s="9" t="str">
        <x:v>QA-RISLR-130</x:v>
      </x:c>
      <x:c r="B1041" s="9" t="str">
        <x:v>RISLR</x:v>
      </x:c>
      <x:c r="C1041" s="9" t="str">
        <x:v>Rollback y limpieza de soporte compartido</x:v>
      </x:c>
      <x:c r="D1041" s="9" t="str">
        <x:v>P0</x:v>
      </x:c>
      <x:c r="E1041" s="9" t="str">
        <x:v>Positiva</x:v>
      </x:c>
      <x:c r="F1041" s="9" t="str">
        <x:v>Navegador + HTTP + persistencia; proveedor doble salvo variante Real DEMO explícita</x:v>
      </x:c>
      <x:c r="G1041" s="20" t="str">
        <x:v>Pendiente</x:v>
      </x:c>
      <x:c r="H1041" s="20" t="str"/>
      <x:c r="I1041" s="20" t="str"/>
      <x:c r="J1041" s="20" t="str"/>
      <x:c r="K1041" s="20" t="str"/>
      <x:c r="L1041" s="21" t="str"/>
      <x:c r="M1041" s="22" t="str"/>
      <x:c r="N1041" s="20" t="str"/>
    </x:row>
    <x:row r="1042" ht="48" customHeight="1">
      <x:c r="A1042" s="9" t="str">
        <x:v>QA-RISLR-131</x:v>
      </x:c>
      <x:c r="B1042" s="9" t="str">
        <x:v>RISLR</x:v>
      </x:c>
      <x:c r="C1042" s="9" t="str">
        <x:v>Bloqueo DEMO de cobro neto: VES / Contado</x:v>
      </x:c>
      <x:c r="D1042" s="9" t="str">
        <x:v>P0</x:v>
      </x:c>
      <x:c r="E1042" s="9" t="str">
        <x:v>Negativa</x:v>
      </x:c>
      <x:c r="F1042" s="9" t="str">
        <x:v>Navegador + HTTP + persistencia; proveedor doble salvo variante Real DEMO explícita</x:v>
      </x:c>
      <x:c r="G1042" s="20" t="str">
        <x:v>Pendiente</x:v>
      </x:c>
      <x:c r="H1042" s="20" t="str"/>
      <x:c r="I1042" s="20" t="str"/>
      <x:c r="J1042" s="20" t="str"/>
      <x:c r="K1042" s="20" t="str"/>
      <x:c r="L1042" s="21" t="str"/>
      <x:c r="M1042" s="22" t="str"/>
      <x:c r="N1042" s="20" t="str"/>
    </x:row>
    <x:row r="1043" ht="48" customHeight="1">
      <x:c r="A1043" s="9" t="str">
        <x:v>QA-RISLR-132</x:v>
      </x:c>
      <x:c r="B1043" s="9" t="str">
        <x:v>RISLR</x:v>
      </x:c>
      <x:c r="C1043" s="9" t="str">
        <x:v>Bloqueo DEMO de cobro neto: VES / Crédito con abono</x:v>
      </x:c>
      <x:c r="D1043" s="9" t="str">
        <x:v>P0</x:v>
      </x:c>
      <x:c r="E1043" s="9" t="str">
        <x:v>Negativa</x:v>
      </x:c>
      <x:c r="F1043" s="9" t="str">
        <x:v>Navegador + HTTP + persistencia; proveedor doble salvo variante Real DEMO explícita</x:v>
      </x:c>
      <x:c r="G1043" s="20" t="str">
        <x:v>Pendiente</x:v>
      </x:c>
      <x:c r="H1043" s="20" t="str"/>
      <x:c r="I1043" s="20" t="str"/>
      <x:c r="J1043" s="20" t="str"/>
      <x:c r="K1043" s="20" t="str"/>
      <x:c r="L1043" s="21" t="str"/>
      <x:c r="M1043" s="22" t="str"/>
      <x:c r="N1043" s="20" t="str"/>
    </x:row>
    <x:row r="1044" ht="48" customHeight="1">
      <x:c r="A1044" s="9" t="str">
        <x:v>QA-RISLR-133</x:v>
      </x:c>
      <x:c r="B1044" s="9" t="str">
        <x:v>RISLR</x:v>
      </x:c>
      <x:c r="C1044" s="9" t="str">
        <x:v>Bloqueo DEMO de cobro neto: USD / Contado</x:v>
      </x:c>
      <x:c r="D1044" s="9" t="str">
        <x:v>P0</x:v>
      </x:c>
      <x:c r="E1044" s="9" t="str">
        <x:v>Negativa</x:v>
      </x:c>
      <x:c r="F1044" s="9" t="str">
        <x:v>Navegador + HTTP + persistencia; proveedor doble salvo variante Real DEMO explícita</x:v>
      </x:c>
      <x:c r="G1044" s="20" t="str">
        <x:v>Pendiente</x:v>
      </x:c>
      <x:c r="H1044" s="20" t="str"/>
      <x:c r="I1044" s="20" t="str"/>
      <x:c r="J1044" s="20" t="str"/>
      <x:c r="K1044" s="20" t="str"/>
      <x:c r="L1044" s="21" t="str"/>
      <x:c r="M1044" s="22" t="str"/>
      <x:c r="N1044" s="20" t="str"/>
    </x:row>
    <x:row r="1045" ht="48" customHeight="1">
      <x:c r="A1045" s="9" t="str">
        <x:v>QA-RISLR-134</x:v>
      </x:c>
      <x:c r="B1045" s="9" t="str">
        <x:v>RISLR</x:v>
      </x:c>
      <x:c r="C1045" s="9" t="str">
        <x:v>Bloqueo DEMO de cobro neto: USD / Crédito con abono</x:v>
      </x:c>
      <x:c r="D1045" s="9" t="str">
        <x:v>P0</x:v>
      </x:c>
      <x:c r="E1045" s="9" t="str">
        <x:v>Negativa</x:v>
      </x:c>
      <x:c r="F1045" s="9" t="str">
        <x:v>Navegador + HTTP + persistencia; proveedor doble salvo variante Real DEMO explícita</x:v>
      </x:c>
      <x:c r="G1045" s="20" t="str">
        <x:v>Pendiente</x:v>
      </x:c>
      <x:c r="H1045" s="20" t="str"/>
      <x:c r="I1045" s="20" t="str"/>
      <x:c r="J1045" s="20" t="str"/>
      <x:c r="K1045" s="20" t="str"/>
      <x:c r="L1045" s="21" t="str"/>
      <x:c r="M1045" s="22" t="str"/>
      <x:c r="N1045" s="20" t="str"/>
    </x:row>
    <x:row r="1046" ht="48" customHeight="1">
      <x:c r="A1046" s="9" t="str">
        <x:v>QA-RISLR-135</x:v>
      </x:c>
      <x:c r="B1046" s="9" t="str">
        <x:v>RISLR</x:v>
      </x:c>
      <x:c r="C1046" s="9" t="str">
        <x:v>Query y retry usan clave HKA vigente</x:v>
      </x:c>
      <x:c r="D1046" s="9" t="str">
        <x:v>P0</x:v>
      </x:c>
      <x:c r="E1046" s="9" t="str">
        <x:v>Negativa</x:v>
      </x:c>
      <x:c r="F1046" s="9" t="str">
        <x:v>Navegador + HTTP + persistencia; proveedor doble salvo variante Real DEMO explícita</x:v>
      </x:c>
      <x:c r="G1046" s="20" t="str">
        <x:v>Pendiente</x:v>
      </x:c>
      <x:c r="H1046" s="20" t="str"/>
      <x:c r="I1046" s="20" t="str"/>
      <x:c r="J1046" s="20" t="str"/>
      <x:c r="K1046" s="20" t="str"/>
      <x:c r="L1046" s="21" t="str"/>
      <x:c r="M1046" s="22" t="str"/>
      <x:c r="N1046" s="20" t="str"/>
    </x:row>
    <x:row r="1047" ht="48" customHeight="1">
      <x:c r="A1047" s="9" t="str">
        <x:v>QA-INT-001</x:v>
      </x:c>
      <x:c r="B1047" s="9" t="str">
        <x:v>INT</x:v>
      </x:c>
      <x:c r="C1047" s="9" t="str">
        <x:v>Previsiones coexistentes y cobro 101</x:v>
      </x:c>
      <x:c r="D1047" s="9" t="str">
        <x:v>P0</x:v>
      </x:c>
      <x:c r="E1047" s="9" t="str">
        <x:v>Positiva</x:v>
      </x:c>
      <x:c r="F1047" s="9" t="str">
        <x:v>Navegador + HTTP + persistencia; proveedor doble salvo variante Real DEMO explícita</x:v>
      </x:c>
      <x:c r="G1047" s="20" t="str">
        <x:v>Pendiente</x:v>
      </x:c>
      <x:c r="H1047" s="20" t="str"/>
      <x:c r="I1047" s="20" t="str"/>
      <x:c r="J1047" s="20" t="str"/>
      <x:c r="K1047" s="20" t="str"/>
      <x:c r="L1047" s="21" t="str"/>
      <x:c r="M1047" s="22" t="str"/>
      <x:c r="N1047" s="20" t="str"/>
    </x:row>
    <x:row r="1048" ht="48" customHeight="1">
      <x:c r="A1048" s="9" t="str">
        <x:v>QA-INT-002</x:v>
      </x:c>
      <x:c r="B1048" s="9" t="str">
        <x:v>INT</x:v>
      </x:c>
      <x:c r="C1048" s="9" t="str">
        <x:v>Aplicación secuencial IVA luego ISLR</x:v>
      </x:c>
      <x:c r="D1048" s="9" t="str">
        <x:v>P0</x:v>
      </x:c>
      <x:c r="E1048" s="9" t="str">
        <x:v>Positiva</x:v>
      </x:c>
      <x:c r="F1048" s="9" t="str">
        <x:v>Navegador + HTTP + persistencia; proveedor doble salvo variante Real DEMO explícita</x:v>
      </x:c>
      <x:c r="G1048" s="20" t="str">
        <x:v>Pendiente</x:v>
      </x:c>
      <x:c r="H1048" s="20" t="str"/>
      <x:c r="I1048" s="20" t="str"/>
      <x:c r="J1048" s="20" t="str"/>
      <x:c r="K1048" s="20" t="str"/>
      <x:c r="L1048" s="21" t="str"/>
      <x:c r="M1048" s="22" t="str"/>
      <x:c r="N1048" s="20" t="str"/>
    </x:row>
    <x:row r="1049" ht="48" customHeight="1">
      <x:c r="A1049" s="9" t="str">
        <x:v>QA-INT-003</x:v>
      </x:c>
      <x:c r="B1049" s="9" t="str">
        <x:v>INT</x:v>
      </x:c>
      <x:c r="C1049" s="9" t="str">
        <x:v>Aplicación secuencial ISLR luego IVA</x:v>
      </x:c>
      <x:c r="D1049" s="9" t="str">
        <x:v>P0</x:v>
      </x:c>
      <x:c r="E1049" s="9" t="str">
        <x:v>Positiva</x:v>
      </x:c>
      <x:c r="F1049" s="9" t="str">
        <x:v>Navegador + HTTP + persistencia; proveedor doble salvo variante Real DEMO explícita</x:v>
      </x:c>
      <x:c r="G1049" s="20" t="str">
        <x:v>Pendiente</x:v>
      </x:c>
      <x:c r="H1049" s="20" t="str"/>
      <x:c r="I1049" s="20" t="str"/>
      <x:c r="J1049" s="20" t="str"/>
      <x:c r="K1049" s="20" t="str"/>
      <x:c r="L1049" s="21" t="str"/>
      <x:c r="M1049" s="22" t="str"/>
      <x:c r="N1049" s="20" t="str"/>
    </x:row>
    <x:row r="1050" ht="48" customHeight="1">
      <x:c r="A1050" s="9" t="str">
        <x:v>QA-INT-004</x:v>
      </x:c>
      <x:c r="B1050" s="9" t="str">
        <x:v>INT</x:v>
      </x:c>
      <x:c r="C1050" s="9" t="str">
        <x:v>Un impuesto inválido no invalida el otro</x:v>
      </x:c>
      <x:c r="D1050" s="9" t="str">
        <x:v>P0</x:v>
      </x:c>
      <x:c r="E1050" s="9" t="str">
        <x:v>Positiva</x:v>
      </x:c>
      <x:c r="F1050" s="9" t="str">
        <x:v>Navegador + HTTP + persistencia; proveedor doble salvo variante Real DEMO explícita</x:v>
      </x:c>
      <x:c r="G1050" s="20" t="str">
        <x:v>Pendiente</x:v>
      </x:c>
      <x:c r="H1050" s="20" t="str"/>
      <x:c r="I1050" s="20" t="str"/>
      <x:c r="J1050" s="20" t="str"/>
      <x:c r="K1050" s="20" t="str"/>
      <x:c r="L1050" s="21" t="str"/>
      <x:c r="M1050" s="22" t="str"/>
      <x:c r="N1050" s="20" t="str"/>
    </x:row>
    <x:row r="1051" ht="48" customHeight="1">
      <x:c r="A1051" s="9" t="str">
        <x:v>QA-INT-005</x:v>
      </x:c>
      <x:c r="B1051" s="9" t="str">
        <x:v>INT</x:v>
      </x:c>
      <x:c r="C1051" s="9" t="str">
        <x:v>Revertir IVA conservando ISLR y pago</x:v>
      </x:c>
      <x:c r="D1051" s="9" t="str">
        <x:v>P0</x:v>
      </x:c>
      <x:c r="E1051" s="9" t="str">
        <x:v>Positiva</x:v>
      </x:c>
      <x:c r="F1051" s="9" t="str">
        <x:v>Navegador + HTTP + persistencia; proveedor doble salvo variante Real DEMO explícita</x:v>
      </x:c>
      <x:c r="G1051" s="20" t="str">
        <x:v>Pendiente</x:v>
      </x:c>
      <x:c r="H1051" s="20" t="str"/>
      <x:c r="I1051" s="20" t="str"/>
      <x:c r="J1051" s="20" t="str"/>
      <x:c r="K1051" s="20" t="str"/>
      <x:c r="L1051" s="21" t="str"/>
      <x:c r="M1051" s="22" t="str"/>
      <x:c r="N1051" s="20" t="str"/>
    </x:row>
    <x:row r="1052" ht="48" customHeight="1">
      <x:c r="A1052" s="9" t="str">
        <x:v>QA-INT-006</x:v>
      </x:c>
      <x:c r="B1052" s="9" t="str">
        <x:v>INT</x:v>
      </x:c>
      <x:c r="C1052" s="9" t="str">
        <x:v>Revertir ISLR conservando IVA y pago</x:v>
      </x:c>
      <x:c r="D1052" s="9" t="str">
        <x:v>P0</x:v>
      </x:c>
      <x:c r="E1052" s="9" t="str">
        <x:v>Positiva</x:v>
      </x:c>
      <x:c r="F1052" s="9" t="str">
        <x:v>Navegador + HTTP + persistencia; proveedor doble salvo variante Real DEMO explícita</x:v>
      </x:c>
      <x:c r="G1052" s="20" t="str">
        <x:v>Pendiente</x:v>
      </x:c>
      <x:c r="H1052" s="20" t="str"/>
      <x:c r="I1052" s="20" t="str"/>
      <x:c r="J1052" s="20" t="str"/>
      <x:c r="K1052" s="20" t="str"/>
      <x:c r="L1052" s="21" t="str"/>
      <x:c r="M1052" s="22" t="str"/>
      <x:c r="N1052" s="20" t="str"/>
    </x:row>
    <x:row r="1053" ht="48" customHeight="1">
      <x:c r="A1053" s="9" t="str">
        <x:v>QA-INT-007</x:v>
      </x:c>
      <x:c r="B1053" s="9" t="str">
        <x:v>INT</x:v>
      </x:c>
      <x:c r="C1053" s="9" t="str">
        <x:v>Ambas reversiones e historial</x:v>
      </x:c>
      <x:c r="D1053" s="9" t="str">
        <x:v>P0</x:v>
      </x:c>
      <x:c r="E1053" s="9" t="str">
        <x:v>Positiva</x:v>
      </x:c>
      <x:c r="F1053" s="9" t="str">
        <x:v>Navegador + HTTP + persistencia; proveedor doble salvo variante Real DEMO explícita</x:v>
      </x:c>
      <x:c r="G1053" s="20" t="str">
        <x:v>Pendiente</x:v>
      </x:c>
      <x:c r="H1053" s="20" t="str"/>
      <x:c r="I1053" s="20" t="str"/>
      <x:c r="J1053" s="20" t="str"/>
      <x:c r="K1053" s="20" t="str"/>
      <x:c r="L1053" s="21" t="str"/>
      <x:c r="M1053" s="22" t="str"/>
      <x:c r="N1053" s="20" t="str"/>
    </x:row>
    <x:row r="1054" ht="48" customHeight="1">
      <x:c r="A1054" s="9" t="str">
        <x:v>QA-INT-008</x:v>
      </x:c>
      <x:c r="B1054" s="9" t="str">
        <x:v>INT</x:v>
      </x:c>
      <x:c r="C1054" s="9" t="str">
        <x:v>Crédito sin abonos no inventa pago</x:v>
      </x:c>
      <x:c r="D1054" s="9" t="str">
        <x:v>P0</x:v>
      </x:c>
      <x:c r="E1054" s="9" t="str">
        <x:v>Positiva</x:v>
      </x:c>
      <x:c r="F1054" s="9" t="str">
        <x:v>Navegador + HTTP + persistencia; proveedor doble salvo variante Real DEMO explícita</x:v>
      </x:c>
      <x:c r="G1054" s="20" t="str">
        <x:v>Pendiente</x:v>
      </x:c>
      <x:c r="H1054" s="20" t="str"/>
      <x:c r="I1054" s="20" t="str"/>
      <x:c r="J1054" s="20" t="str"/>
      <x:c r="K1054" s="20" t="str"/>
      <x:c r="L1054" s="21" t="str"/>
      <x:c r="M1054" s="22" t="str"/>
      <x:c r="N1054" s="20" t="str"/>
    </x:row>
    <x:row r="1055" ht="48" customHeight="1">
      <x:c r="A1055" s="9" t="str">
        <x:v>QA-INT-009</x:v>
      </x:c>
      <x:c r="B1055" s="9" t="str">
        <x:v>INT</x:v>
      </x:c>
      <x:c r="C1055" s="9" t="str">
        <x:v>Conservar abonos al reabrir Pagos</x:v>
      </x:c>
      <x:c r="D1055" s="9" t="str">
        <x:v>P0</x:v>
      </x:c>
      <x:c r="E1055" s="9" t="str">
        <x:v>Positiva</x:v>
      </x:c>
      <x:c r="F1055" s="9" t="str">
        <x:v>Navegador + HTTP + persistencia; proveedor doble salvo variante Real DEMO explícita</x:v>
      </x:c>
      <x:c r="G1055" s="20" t="str">
        <x:v>Pendiente</x:v>
      </x:c>
      <x:c r="H1055" s="20" t="str"/>
      <x:c r="I1055" s="20" t="str"/>
      <x:c r="J1055" s="20" t="str"/>
      <x:c r="K1055" s="20" t="str"/>
      <x:c r="L1055" s="21" t="str"/>
      <x:c r="M1055" s="22" t="str"/>
      <x:c r="N1055" s="20" t="str"/>
    </x:row>
    <x:row r="1056" ht="48" customHeight="1">
      <x:c r="A1056" s="9" t="str">
        <x:v>QA-INT-010</x:v>
      </x:c>
      <x:c r="B1056" s="9" t="str">
        <x:v>INT</x:v>
      </x:c>
      <x:c r="C1056" s="9" t="str">
        <x:v>Sugerir remanente neto sólo por acción explícita</x:v>
      </x:c>
      <x:c r="D1056" s="9" t="str">
        <x:v>P0</x:v>
      </x:c>
      <x:c r="E1056" s="9" t="str">
        <x:v>Positiva</x:v>
      </x:c>
      <x:c r="F1056" s="9" t="str">
        <x:v>Navegador + HTTP + persistencia; proveedor doble salvo variante Real DEMO explícita</x:v>
      </x:c>
      <x:c r="G1056" s="20" t="str">
        <x:v>Pendiente</x:v>
      </x:c>
      <x:c r="H1056" s="20" t="str"/>
      <x:c r="I1056" s="20" t="str"/>
      <x:c r="J1056" s="20" t="str"/>
      <x:c r="K1056" s="20" t="str"/>
      <x:c r="L1056" s="21" t="str"/>
      <x:c r="M1056" s="22" t="str"/>
      <x:c r="N1056" s="20" t="str"/>
    </x:row>
    <x:row r="1057" ht="48" customHeight="1">
      <x:c r="A1057" s="9" t="str">
        <x:v>QA-INT-011</x:v>
      </x:c>
      <x:c r="B1057" s="9" t="str">
        <x:v>INT</x:v>
      </x:c>
      <x:c r="C1057" s="9" t="str">
        <x:v>Borrador crédito recuperado</x:v>
      </x:c>
      <x:c r="D1057" s="9" t="str">
        <x:v>P0</x:v>
      </x:c>
      <x:c r="E1057" s="9" t="str">
        <x:v>Positiva</x:v>
      </x:c>
      <x:c r="F1057" s="9" t="str">
        <x:v>Navegador + HTTP + persistencia; proveedor doble salvo variante Real DEMO explícita</x:v>
      </x:c>
      <x:c r="G1057" s="20" t="str">
        <x:v>Pendiente</x:v>
      </x:c>
      <x:c r="H1057" s="20" t="str"/>
      <x:c r="I1057" s="20" t="str"/>
      <x:c r="J1057" s="20" t="str"/>
      <x:c r="K1057" s="20" t="str"/>
      <x:c r="L1057" s="21" t="str"/>
      <x:c r="M1057" s="22" t="str"/>
      <x:c r="N1057" s="20" t="str"/>
    </x:row>
    <x:row r="1058" ht="48" customHeight="1">
      <x:c r="A1058" s="9" t="str">
        <x:v>QA-INT-012</x:v>
      </x:c>
      <x:c r="B1058" s="9" t="str">
        <x:v>INT</x:v>
      </x:c>
      <x:c r="C1058" s="9" t="str">
        <x:v>Abonos con moneda propia y tasa</x:v>
      </x:c>
      <x:c r="D1058" s="9" t="str">
        <x:v>P0</x:v>
      </x:c>
      <x:c r="E1058" s="9" t="str">
        <x:v>Positiva</x:v>
      </x:c>
      <x:c r="F1058" s="9" t="str">
        <x:v>Navegador + HTTP + persistencia; proveedor doble salvo variante Real DEMO explícita</x:v>
      </x:c>
      <x:c r="G1058" s="20" t="str">
        <x:v>Pendiente</x:v>
      </x:c>
      <x:c r="H1058" s="20" t="str"/>
      <x:c r="I1058" s="20" t="str"/>
      <x:c r="J1058" s="20" t="str"/>
      <x:c r="K1058" s="20" t="str"/>
      <x:c r="L1058" s="21" t="str"/>
      <x:c r="M1058" s="22" t="str"/>
      <x:c r="N1058" s="20" t="str"/>
    </x:row>
    <x:row r="1059" ht="48" customHeight="1">
      <x:c r="A1059" s="9" t="str">
        <x:v>QA-INT-013</x:v>
      </x:c>
      <x:c r="B1059" s="9" t="str">
        <x:v>INT</x:v>
      </x:c>
      <x:c r="C1059" s="9" t="str">
        <x:v>Cambiar condición conserva entradas legítimas</x:v>
      </x:c>
      <x:c r="D1059" s="9" t="str">
        <x:v>P0</x:v>
      </x:c>
      <x:c r="E1059" s="9" t="str">
        <x:v>Positiva</x:v>
      </x:c>
      <x:c r="F1059" s="9" t="str">
        <x:v>Navegador + HTTP + persistencia; proveedor doble salvo variante Real DEMO explícita</x:v>
      </x:c>
      <x:c r="G1059" s="20" t="str">
        <x:v>Pendiente</x:v>
      </x:c>
      <x:c r="H1059" s="20" t="str"/>
      <x:c r="I1059" s="20" t="str"/>
      <x:c r="J1059" s="20" t="str"/>
      <x:c r="K1059" s="20" t="str"/>
      <x:c r="L1059" s="21" t="str"/>
      <x:c r="M1059" s="22" t="str"/>
      <x:c r="N1059" s="20" t="str"/>
    </x:row>
    <x:row r="1060" ht="48" customHeight="1">
      <x:c r="A1060" s="9" t="str">
        <x:v>QA-INT-014</x:v>
      </x:c>
      <x:c r="B1060" s="9" t="str">
        <x:v>INT</x:v>
      </x:c>
      <x:c r="C1060" s="9" t="str">
        <x:v>Respuesta propuesta antigua tras cambiar cliente</x:v>
      </x:c>
      <x:c r="D1060" s="9" t="str">
        <x:v>P0</x:v>
      </x:c>
      <x:c r="E1060" s="9" t="str">
        <x:v>Positiva</x:v>
      </x:c>
      <x:c r="F1060" s="9" t="str">
        <x:v>Navegador + HTTP + persistencia; proveedor doble salvo variante Real DEMO explícita</x:v>
      </x:c>
      <x:c r="G1060" s="20" t="str">
        <x:v>Pendiente</x:v>
      </x:c>
      <x:c r="H1060" s="20" t="str"/>
      <x:c r="I1060" s="20" t="str"/>
      <x:c r="J1060" s="20" t="str"/>
      <x:c r="K1060" s="20" t="str"/>
      <x:c r="L1060" s="21" t="str"/>
      <x:c r="M1060" s="22" t="str"/>
      <x:c r="N1060" s="20" t="str"/>
    </x:row>
    <x:row r="1061" ht="48" customHeight="1">
      <x:c r="A1061" s="9" t="str">
        <x:v>QA-INT-015</x:v>
      </x:c>
      <x:c r="B1061" s="9" t="str">
        <x:v>INT</x:v>
      </x:c>
      <x:c r="C1061" s="9" t="str">
        <x:v>Respuesta propuesta antigua tras editar cantidades</x:v>
      </x:c>
      <x:c r="D1061" s="9" t="str">
        <x:v>P0</x:v>
      </x:c>
      <x:c r="E1061" s="9" t="str">
        <x:v>Positiva</x:v>
      </x:c>
      <x:c r="F1061" s="9" t="str">
        <x:v>Navegador + HTTP + persistencia; proveedor doble salvo variante Real DEMO explícita</x:v>
      </x:c>
      <x:c r="G1061" s="20" t="str">
        <x:v>Pendiente</x:v>
      </x:c>
      <x:c r="H1061" s="20" t="str"/>
      <x:c r="I1061" s="20" t="str"/>
      <x:c r="J1061" s="20" t="str"/>
      <x:c r="K1061" s="20" t="str"/>
      <x:c r="L1061" s="21" t="str"/>
      <x:c r="M1061" s="22" t="str"/>
      <x:c r="N1061" s="20" t="str"/>
    </x:row>
    <x:row r="1062" ht="48" customHeight="1">
      <x:c r="A1062" s="9" t="str">
        <x:v>QA-INT-016</x:v>
      </x:c>
      <x:c r="B1062" s="9" t="str">
        <x:v>INT</x:v>
      </x:c>
      <x:c r="C1062" s="9" t="str">
        <x:v>Respuesta propuesta antigua tras cambiar fecha</x:v>
      </x:c>
      <x:c r="D1062" s="9" t="str">
        <x:v>P0</x:v>
      </x:c>
      <x:c r="E1062" s="9" t="str">
        <x:v>Positiva</x:v>
      </x:c>
      <x:c r="F1062" s="9" t="str">
        <x:v>Navegador + HTTP + persistencia; proveedor doble salvo variante Real DEMO explícita</x:v>
      </x:c>
      <x:c r="G1062" s="20" t="str">
        <x:v>Pendiente</x:v>
      </x:c>
      <x:c r="H1062" s="20" t="str"/>
      <x:c r="I1062" s="20" t="str"/>
      <x:c r="J1062" s="20" t="str"/>
      <x:c r="K1062" s="20" t="str"/>
      <x:c r="L1062" s="21" t="str"/>
      <x:c r="M1062" s="22" t="str"/>
      <x:c r="N1062" s="20" t="str"/>
    </x:row>
    <x:row r="1063" ht="48" customHeight="1">
      <x:c r="A1063" s="9" t="str">
        <x:v>QA-INT-017</x:v>
      </x:c>
      <x:c r="B1063" s="9" t="str">
        <x:v>INT</x:v>
      </x:c>
      <x:c r="C1063" s="9" t="str">
        <x:v>Propuestas HTTP adversarias se recalculan</x:v>
      </x:c>
      <x:c r="D1063" s="9" t="str">
        <x:v>P0</x:v>
      </x:c>
      <x:c r="E1063" s="9" t="str">
        <x:v>Positiva</x:v>
      </x:c>
      <x:c r="F1063" s="9" t="str">
        <x:v>Navegador + HTTP + persistencia; proveedor doble salvo variante Real DEMO explícita</x:v>
      </x:c>
      <x:c r="G1063" s="20" t="str">
        <x:v>Pendiente</x:v>
      </x:c>
      <x:c r="H1063" s="20" t="str"/>
      <x:c r="I1063" s="20" t="str"/>
      <x:c r="J1063" s="20" t="str"/>
      <x:c r="K1063" s="20" t="str"/>
      <x:c r="L1063" s="21" t="str"/>
      <x:c r="M1063" s="22" t="str"/>
      <x:c r="N1063" s="20" t="str"/>
    </x:row>
    <x:row r="1064" ht="48" customHeight="1">
      <x:c r="A1064" s="9" t="str">
        <x:v>QA-INT-018</x:v>
      </x:c>
      <x:c r="B1064" s="9" t="str">
        <x:v>INT</x:v>
      </x:c>
      <x:c r="C1064" s="9" t="str">
        <x:v>Cambio a Nota de venta descarta retenciones de factura</x:v>
      </x:c>
      <x:c r="D1064" s="9" t="str">
        <x:v>P0</x:v>
      </x:c>
      <x:c r="E1064" s="9" t="str">
        <x:v>Positiva</x:v>
      </x:c>
      <x:c r="F1064" s="9" t="str">
        <x:v>Navegador + HTTP + persistencia; proveedor doble salvo variante Real DEMO explícita</x:v>
      </x:c>
      <x:c r="G1064" s="20" t="str">
        <x:v>Pendiente</x:v>
      </x:c>
      <x:c r="H1064" s="20" t="str"/>
      <x:c r="I1064" s="20" t="str"/>
      <x:c r="J1064" s="20" t="str"/>
      <x:c r="K1064" s="20" t="str"/>
      <x:c r="L1064" s="21" t="str"/>
      <x:c r="M1064" s="22" t="str"/>
      <x:c r="N1064" s="20" t="str"/>
    </x:row>
    <x:row r="1065" ht="48" customHeight="1">
      <x:c r="A1065" s="9" t="str">
        <x:v>QA-INT-019</x:v>
      </x:c>
      <x:c r="B1065" s="9" t="str">
        <x:v>INT</x:v>
      </x:c>
      <x:c r="C1065" s="9" t="str">
        <x:v>Regresar de Nota de venta a Factura</x:v>
      </x:c>
      <x:c r="D1065" s="9" t="str">
        <x:v>P0</x:v>
      </x:c>
      <x:c r="E1065" s="9" t="str">
        <x:v>Positiva</x:v>
      </x:c>
      <x:c r="F1065" s="9" t="str">
        <x:v>Navegador + HTTP + persistencia; proveedor doble salvo variante Real DEMO explícita</x:v>
      </x:c>
      <x:c r="G1065" s="20" t="str">
        <x:v>Pendiente</x:v>
      </x:c>
      <x:c r="H1065" s="20" t="str"/>
      <x:c r="I1065" s="20" t="str"/>
      <x:c r="J1065" s="20" t="str"/>
      <x:c r="K1065" s="20" t="str"/>
      <x:c r="L1065" s="21" t="str"/>
      <x:c r="M1065" s="22" t="str"/>
      <x:c r="N1065" s="20" t="str"/>
    </x:row>
    <x:row r="1066" ht="48" customHeight="1">
      <x:c r="A1066" s="9" t="str">
        <x:v>QA-INT-020</x:v>
      </x:c>
      <x:c r="B1066" s="9" t="str">
        <x:v>INT</x:v>
      </x:c>
      <x:c r="C1066" s="9" t="str">
        <x:v>Conversión no copia confirmación o comprobante</x:v>
      </x:c>
      <x:c r="D1066" s="9" t="str">
        <x:v>P0</x:v>
      </x:c>
      <x:c r="E1066" s="9" t="str">
        <x:v>Positiva</x:v>
      </x:c>
      <x:c r="F1066" s="9" t="str">
        <x:v>Navegador + HTTP + persistencia; proveedor doble salvo variante Real DEMO explícita</x:v>
      </x:c>
      <x:c r="G1066" s="20" t="str">
        <x:v>Pendiente</x:v>
      </x:c>
      <x:c r="H1066" s="20" t="str"/>
      <x:c r="I1066" s="20" t="str"/>
      <x:c r="J1066" s="20" t="str"/>
      <x:c r="K1066" s="20" t="str"/>
      <x:c r="L1066" s="21" t="str"/>
      <x:c r="M1066" s="22" t="str"/>
      <x:c r="N1066" s="20" t="str"/>
    </x:row>
    <x:row r="1067" ht="48" customHeight="1">
      <x:c r="A1067" s="9" t="str">
        <x:v>QA-INT-021</x:v>
      </x:c>
      <x:c r="B1067" s="9" t="str">
        <x:v>INT</x:v>
      </x:c>
      <x:c r="C1067" s="9" t="str">
        <x:v>Conversión múltiple preserva abonos</x:v>
      </x:c>
      <x:c r="D1067" s="9" t="str">
        <x:v>P0</x:v>
      </x:c>
      <x:c r="E1067" s="9" t="str">
        <x:v>Positiva</x:v>
      </x:c>
      <x:c r="F1067" s="9" t="str">
        <x:v>Navegador + HTTP + persistencia; proveedor doble salvo variante Real DEMO explícita</x:v>
      </x:c>
      <x:c r="G1067" s="20" t="str">
        <x:v>Pendiente</x:v>
      </x:c>
      <x:c r="H1067" s="20" t="str"/>
      <x:c r="I1067" s="20" t="str"/>
      <x:c r="J1067" s="20" t="str"/>
      <x:c r="K1067" s="20" t="str"/>
      <x:c r="L1067" s="21" t="str"/>
      <x:c r="M1067" s="22" t="str"/>
      <x:c r="N1067" s="20" t="str"/>
    </x:row>
    <x:row r="1068" ht="48" customHeight="1">
      <x:c r="A1068" s="9" t="str">
        <x:v>QA-INT-022</x:v>
      </x:c>
      <x:c r="B1068" s="9" t="str">
        <x:v>INT</x:v>
      </x:c>
      <x:c r="C1068" s="9" t="str">
        <x:v>Terceros más régimen exige cobro completo</x:v>
      </x:c>
      <x:c r="D1068" s="9" t="str">
        <x:v>P0</x:v>
      </x:c>
      <x:c r="E1068" s="9" t="str">
        <x:v>Positiva</x:v>
      </x:c>
      <x:c r="F1068" s="9" t="str">
        <x:v>Navegador + HTTP + persistencia; proveedor doble salvo variante Real DEMO explícita</x:v>
      </x:c>
      <x:c r="G1068" s="20" t="str">
        <x:v>Pendiente</x:v>
      </x:c>
      <x:c r="H1068" s="20" t="str"/>
      <x:c r="I1068" s="20" t="str"/>
      <x:c r="J1068" s="20" t="str"/>
      <x:c r="K1068" s="20" t="str"/>
      <x:c r="L1068" s="21" t="str"/>
      <x:c r="M1068" s="22" t="str"/>
      <x:c r="N1068" s="20" t="str"/>
    </x:row>
    <x:row r="1069" ht="48" customHeight="1">
      <x:c r="A1069" s="9" t="str">
        <x:v>QA-INT-023</x:v>
      </x:c>
      <x:c r="B1069" s="9" t="str">
        <x:v>INT</x:v>
      </x:c>
      <x:c r="C1069" s="9" t="str">
        <x:v>Reglas exportación no se abren por SPE</x:v>
      </x:c>
      <x:c r="D1069" s="9" t="str">
        <x:v>P0</x:v>
      </x:c>
      <x:c r="E1069" s="9" t="str">
        <x:v>Positiva</x:v>
      </x:c>
      <x:c r="F1069" s="9" t="str">
        <x:v>Navegador + HTTP + persistencia; proveedor doble salvo variante Real DEMO explícita</x:v>
      </x:c>
      <x:c r="G1069" s="20" t="str">
        <x:v>Pendiente</x:v>
      </x:c>
      <x:c r="H1069" s="20" t="str"/>
      <x:c r="I1069" s="20" t="str"/>
      <x:c r="J1069" s="20" t="str"/>
      <x:c r="K1069" s="20" t="str"/>
      <x:c r="L1069" s="21" t="str"/>
      <x:c r="M1069" s="22" t="str"/>
      <x:c r="N1069" s="20" t="str"/>
    </x:row>
    <x:row r="1070" ht="48" customHeight="1">
      <x:c r="A1070" s="9" t="str">
        <x:v>QA-INT-024</x:v>
      </x:c>
      <x:c r="B1070" s="9" t="str">
        <x:v>INT</x:v>
      </x:c>
      <x:c r="C1070" s="9" t="str">
        <x:v>Concurrencia pago y dos impuestos</x:v>
      </x:c>
      <x:c r="D1070" s="9" t="str">
        <x:v>P0</x:v>
      </x:c>
      <x:c r="E1070" s="9" t="str">
        <x:v>Positiva</x:v>
      </x:c>
      <x:c r="F1070" s="9" t="str">
        <x:v>Navegador + HTTP + persistencia; proveedor doble salvo variante Real DEMO explícita</x:v>
      </x:c>
      <x:c r="G1070" s="20" t="str">
        <x:v>Pendiente</x:v>
      </x:c>
      <x:c r="H1070" s="20" t="str"/>
      <x:c r="I1070" s="20" t="str"/>
      <x:c r="J1070" s="20" t="str"/>
      <x:c r="K1070" s="20" t="str"/>
      <x:c r="L1070" s="21" t="str"/>
      <x:c r="M1070" s="22" t="str"/>
      <x:c r="N1070" s="20" t="str"/>
    </x:row>
    <x:row r="1071" ht="48" customHeight="1">
      <x:c r="A1071" s="9" t="str">
        <x:v>QA-INT-025</x:v>
      </x:c>
      <x:c r="B1071" s="9" t="str">
        <x:v>INT</x:v>
      </x:c>
      <x:c r="C1071" s="9" t="str">
        <x:v>Concurrencia reversión y reemplazo</x:v>
      </x:c>
      <x:c r="D1071" s="9" t="str">
        <x:v>P0</x:v>
      </x:c>
      <x:c r="E1071" s="9" t="str">
        <x:v>Positiva</x:v>
      </x:c>
      <x:c r="F1071" s="9" t="str">
        <x:v>Navegador + HTTP + persistencia; proveedor doble salvo variante Real DEMO explícita</x:v>
      </x:c>
      <x:c r="G1071" s="20" t="str">
        <x:v>Pendiente</x:v>
      </x:c>
      <x:c r="H1071" s="20" t="str"/>
      <x:c r="I1071" s="20" t="str"/>
      <x:c r="J1071" s="20" t="str"/>
      <x:c r="K1071" s="20" t="str"/>
      <x:c r="L1071" s="21" t="str"/>
      <x:c r="M1071" s="22" t="str"/>
      <x:c r="N1071" s="20" t="str"/>
    </x:row>
    <x:row r="1072" ht="48" customHeight="1">
      <x:c r="A1072" s="9" t="str">
        <x:v>QA-INT-026</x:v>
      </x:c>
      <x:c r="B1072" s="9" t="str">
        <x:v>INT</x:v>
      </x:c>
      <x:c r="C1072" s="9" t="str">
        <x:v>Rollback de coexistencia</x:v>
      </x:c>
      <x:c r="D1072" s="9" t="str">
        <x:v>P0</x:v>
      </x:c>
      <x:c r="E1072" s="9" t="str">
        <x:v>Positiva</x:v>
      </x:c>
      <x:c r="F1072" s="9" t="str">
        <x:v>Navegador + HTTP + persistencia; proveedor doble salvo variante Real DEMO explícita</x:v>
      </x:c>
      <x:c r="G1072" s="20" t="str">
        <x:v>Pendiente</x:v>
      </x:c>
      <x:c r="H1072" s="20" t="str"/>
      <x:c r="I1072" s="20" t="str"/>
      <x:c r="J1072" s="20" t="str"/>
      <x:c r="K1072" s="20" t="str"/>
      <x:c r="L1072" s="21" t="str"/>
      <x:c r="M1072" s="22" t="str"/>
      <x:c r="N1072" s="20" t="str"/>
    </x:row>
    <x:row r="1073" ht="48" customHeight="1">
      <x:c r="A1073" s="9" t="str">
        <x:v>QA-INT-027</x:v>
      </x:c>
      <x:c r="B1073" s="9" t="str">
        <x:v>INT</x:v>
      </x:c>
      <x:c r="C1073" s="9" t="str">
        <x:v>Operaciones HKA no comparten estado</x:v>
      </x:c>
      <x:c r="D1073" s="9" t="str">
        <x:v>P0</x:v>
      </x:c>
      <x:c r="E1073" s="9" t="str">
        <x:v>Positiva</x:v>
      </x:c>
      <x:c r="F1073" s="9" t="str">
        <x:v>Navegador + HTTP + persistencia; proveedor doble salvo variante Real DEMO explícita</x:v>
      </x:c>
      <x:c r="G1073" s="20" t="str">
        <x:v>Pendiente</x:v>
      </x:c>
      <x:c r="H1073" s="20" t="str"/>
      <x:c r="I1073" s="20" t="str"/>
      <x:c r="J1073" s="20" t="str"/>
      <x:c r="K1073" s="20" t="str"/>
      <x:c r="L1073" s="21" t="str"/>
      <x:c r="M1073" s="22" t="str"/>
      <x:c r="N1073" s="20" t="str"/>
    </x:row>
    <x:row r="1074" ht="48" customHeight="1">
      <x:c r="A1074" s="9" t="str">
        <x:v>QA-INT-028</x:v>
      </x:c>
      <x:c r="B1074" s="9" t="str">
        <x:v>INT</x:v>
      </x:c>
      <x:c r="C1074" s="9" t="str">
        <x:v>Rutas despachan impuesto del comprobante</x:v>
      </x:c>
      <x:c r="D1074" s="9" t="str">
        <x:v>P0</x:v>
      </x:c>
      <x:c r="E1074" s="9" t="str">
        <x:v>Positiva</x:v>
      </x:c>
      <x:c r="F1074" s="9" t="str">
        <x:v>Navegador + HTTP + persistencia; proveedor doble salvo variante Real DEMO explícita</x:v>
      </x:c>
      <x:c r="G1074" s="20" t="str">
        <x:v>Pendiente</x:v>
      </x:c>
      <x:c r="H1074" s="20" t="str"/>
      <x:c r="I1074" s="20" t="str"/>
      <x:c r="J1074" s="20" t="str"/>
      <x:c r="K1074" s="20" t="str"/>
      <x:c r="L1074" s="21" t="str"/>
      <x:c r="M1074" s="22" t="str"/>
      <x:c r="N1074" s="20" t="str"/>
    </x:row>
    <x:row r="1075" ht="48" customHeight="1">
      <x:c r="A1075" s="9" t="str">
        <x:v>QA-INT-029</x:v>
      </x:c>
      <x:c r="B1075" s="9" t="str">
        <x:v>INT</x:v>
      </x:c>
      <x:c r="C1075" s="9" t="str">
        <x:v>Cuatro capas en presentación</x:v>
      </x:c>
      <x:c r="D1075" s="9" t="str">
        <x:v>P0</x:v>
      </x:c>
      <x:c r="E1075" s="9" t="str">
        <x:v>Positiva</x:v>
      </x:c>
      <x:c r="F1075" s="9" t="str">
        <x:v>Navegador + HTTP + persistencia; proveedor doble salvo variante Real DEMO explícita</x:v>
      </x:c>
      <x:c r="G1075" s="20" t="str">
        <x:v>Pendiente</x:v>
      </x:c>
      <x:c r="H1075" s="20" t="str"/>
      <x:c r="I1075" s="20" t="str"/>
      <x:c r="J1075" s="20" t="str"/>
      <x:c r="K1075" s="20" t="str"/>
      <x:c r="L1075" s="21" t="str"/>
      <x:c r="M1075" s="22" t="str"/>
      <x:c r="N1075" s="20" t="str"/>
    </x:row>
    <x:row r="1076" ht="48" customHeight="1">
      <x:c r="A1076" s="9" t="str">
        <x:v>QA-INT-030</x:v>
      </x:c>
      <x:c r="B1076" s="9" t="str">
        <x:v>INT</x:v>
      </x:c>
      <x:c r="C1076" s="9" t="str">
        <x:v>Conciliación financiera de coexistencia</x:v>
      </x:c>
      <x:c r="D1076" s="9" t="str">
        <x:v>P0</x:v>
      </x:c>
      <x:c r="E1076" s="9" t="str">
        <x:v>Positiva</x:v>
      </x:c>
      <x:c r="F1076" s="9" t="str">
        <x:v>Navegador + HTTP + persistencia; proveedor doble salvo variante Real DEMO explícita</x:v>
      </x:c>
      <x:c r="G1076" s="20" t="str">
        <x:v>Pendiente</x:v>
      </x:c>
      <x:c r="H1076" s="20" t="str"/>
      <x:c r="I1076" s="20" t="str"/>
      <x:c r="J1076" s="20" t="str"/>
      <x:c r="K1076" s="20" t="str"/>
      <x:c r="L1076" s="21" t="str"/>
      <x:c r="M1076" s="22" t="str"/>
      <x:c r="N1076" s="20" t="str"/>
    </x:row>
    <x:row r="1077" ht="48" customHeight="1">
      <x:c r="A1077" s="9" t="str">
        <x:v>QA-INT-031</x:v>
      </x:c>
      <x:c r="B1077" s="9" t="str">
        <x:v>INT</x:v>
      </x:c>
      <x:c r="C1077" s="9" t="str">
        <x:v>Conciliación moneda propia en reportes</x:v>
      </x:c>
      <x:c r="D1077" s="9" t="str">
        <x:v>P0</x:v>
      </x:c>
      <x:c r="E1077" s="9" t="str">
        <x:v>Positiva</x:v>
      </x:c>
      <x:c r="F1077" s="9" t="str">
        <x:v>Navegador + HTTP + persistencia; proveedor doble salvo variante Real DEMO explícita</x:v>
      </x:c>
      <x:c r="G1077" s="20" t="str">
        <x:v>Pendiente</x:v>
      </x:c>
      <x:c r="H1077" s="20" t="str"/>
      <x:c r="I1077" s="20" t="str"/>
      <x:c r="J1077" s="20" t="str"/>
      <x:c r="K1077" s="20" t="str"/>
      <x:c r="L1077" s="21" t="str"/>
      <x:c r="M1077" s="22" t="str"/>
      <x:c r="N1077" s="20" t="str"/>
    </x:row>
    <x:row r="1078" ht="48" customHeight="1">
      <x:c r="A1078" s="9" t="str">
        <x:v>QA-INT-032</x:v>
      </x:c>
      <x:c r="B1078" s="9" t="str">
        <x:v>INT</x:v>
      </x:c>
      <x:c r="C1078" s="9" t="str">
        <x:v>Permisos y aislamiento transversal</x:v>
      </x:c>
      <x:c r="D1078" s="9" t="str">
        <x:v>P0</x:v>
      </x:c>
      <x:c r="E1078" s="9" t="str">
        <x:v>Positiva</x:v>
      </x:c>
      <x:c r="F1078" s="9" t="str">
        <x:v>Navegador + HTTP + persistencia; proveedor doble salvo variante Real DEMO explícita</x:v>
      </x:c>
      <x:c r="G1078" s="20" t="str">
        <x:v>Pendiente</x:v>
      </x:c>
      <x:c r="H1078" s="20" t="str"/>
      <x:c r="I1078" s="20" t="str"/>
      <x:c r="J1078" s="20" t="str"/>
      <x:c r="K1078" s="20" t="str"/>
      <x:c r="L1078" s="21" t="str"/>
      <x:c r="M1078" s="22" t="str"/>
      <x:c r="N1078" s="20" t="str"/>
    </x:row>
    <x:row r="1079" ht="48" customHeight="1">
      <x:c r="A1079" s="9" t="str">
        <x:v>QA-INT-033</x:v>
      </x:c>
      <x:c r="B1079" s="9" t="str">
        <x:v>INT</x:v>
      </x:c>
      <x:c r="C1079" s="9" t="str">
        <x:v>Borrador restaurado con soporte vencido</x:v>
      </x:c>
      <x:c r="D1079" s="9" t="str">
        <x:v>P0</x:v>
      </x:c>
      <x:c r="E1079" s="9" t="str">
        <x:v>Positiva</x:v>
      </x:c>
      <x:c r="F1079" s="9" t="str">
        <x:v>Navegador + HTTP + persistencia; proveedor doble salvo variante Real DEMO explícita</x:v>
      </x:c>
      <x:c r="G1079" s="20" t="str">
        <x:v>Pendiente</x:v>
      </x:c>
      <x:c r="H1079" s="20" t="str"/>
      <x:c r="I1079" s="20" t="str"/>
      <x:c r="J1079" s="20" t="str"/>
      <x:c r="K1079" s="20" t="str"/>
      <x:c r="L1079" s="21" t="str"/>
      <x:c r="M1079" s="22" t="str"/>
      <x:c r="N1079" s="20" t="str"/>
    </x:row>
    <x:row r="1080" ht="48" customHeight="1">
      <x:c r="A1080" s="9" t="str">
        <x:v>QA-INT-034</x:v>
      </x:c>
      <x:c r="B1080" s="9" t="str">
        <x:v>INT</x:v>
      </x:c>
      <x:c r="C1080" s="9" t="str">
        <x:v>Fronteras de recuperación independientes</x:v>
      </x:c>
      <x:c r="D1080" s="9" t="str">
        <x:v>P0</x:v>
      </x:c>
      <x:c r="E1080" s="9" t="str">
        <x:v>Positiva</x:v>
      </x:c>
      <x:c r="F1080" s="9" t="str">
        <x:v>Navegador + HTTP + persistencia; proveedor doble salvo variante Real DEMO explícita</x:v>
      </x:c>
      <x:c r="G1080" s="20" t="str">
        <x:v>Pendiente</x:v>
      </x:c>
      <x:c r="H1080" s="20" t="str"/>
      <x:c r="I1080" s="20" t="str"/>
      <x:c r="J1080" s="20" t="str"/>
      <x:c r="K1080" s="20" t="str"/>
      <x:c r="L1080" s="21" t="str"/>
      <x:c r="M1080" s="22" t="str"/>
      <x:c r="N1080" s="20" t="str"/>
    </x:row>
    <x:row r="1081" ht="48" customHeight="1">
      <x:c r="A1081" s="9" t="str">
        <x:v>QA-INT-035</x:v>
      </x:c>
      <x:c r="B1081" s="9" t="str">
        <x:v>INT</x:v>
      </x:c>
      <x:c r="C1081" s="9" t="str">
        <x:v>Datos históricos no son resultados nuevos</x:v>
      </x:c>
      <x:c r="D1081" s="9" t="str">
        <x:v>P0</x:v>
      </x:c>
      <x:c r="E1081" s="9" t="str">
        <x:v>Positiva</x:v>
      </x:c>
      <x:c r="F1081" s="9" t="str">
        <x:v>Navegador + HTTP + persistencia; proveedor doble salvo variante Real DEMO explícita</x:v>
      </x:c>
      <x:c r="G1081" s="20" t="str">
        <x:v>Pendiente</x:v>
      </x:c>
      <x:c r="H1081" s="20" t="str"/>
      <x:c r="I1081" s="20" t="str"/>
      <x:c r="J1081" s="20" t="str"/>
      <x:c r="K1081" s="20" t="str"/>
      <x:c r="L1081" s="21" t="str"/>
      <x:c r="M1081" s="22" t="str"/>
      <x:c r="N1081" s="20" t="str"/>
    </x:row>
    <x:row r="1082" ht="48" customHeight="1">
      <x:c r="A1082" s="9" t="str">
        <x:v>QA-INT-036</x:v>
      </x:c>
      <x:c r="B1082" s="9" t="str">
        <x:v>INT</x:v>
      </x:c>
      <x:c r="C1082" s="9" t="str">
        <x:v>Comprobantes web: integración de IVA</x:v>
      </x:c>
      <x:c r="D1082" s="9" t="str">
        <x:v>P0</x:v>
      </x:c>
      <x:c r="E1082" s="9" t="str">
        <x:v>Positiva</x:v>
      </x:c>
      <x:c r="F1082" s="9" t="str">
        <x:v>Navegador + HTTP + persistencia; proveedor doble salvo variante Real DEMO explícita</x:v>
      </x:c>
      <x:c r="G1082" s="20" t="str">
        <x:v>Pendiente</x:v>
      </x:c>
      <x:c r="H1082" s="20" t="str"/>
      <x:c r="I1082" s="20" t="str"/>
      <x:c r="J1082" s="20" t="str"/>
      <x:c r="K1082" s="20" t="str"/>
      <x:c r="L1082" s="21" t="str"/>
      <x:c r="M1082" s="22" t="str"/>
      <x:c r="N1082" s="20" t="str"/>
    </x:row>
    <x:row r="1083" ht="48" customHeight="1">
      <x:c r="A1083" s="9" t="str">
        <x:v>QA-INT-037</x:v>
      </x:c>
      <x:c r="B1083" s="9" t="str">
        <x:v>INT</x:v>
      </x:c>
      <x:c r="C1083" s="9" t="str">
        <x:v>Comprobantes web: integración de ISLR</x:v>
      </x:c>
      <x:c r="D1083" s="9" t="str">
        <x:v>P0</x:v>
      </x:c>
      <x:c r="E1083" s="9" t="str">
        <x:v>Positiva</x:v>
      </x:c>
      <x:c r="F1083" s="9" t="str">
        <x:v>Navegador + HTTP + persistencia; proveedor doble salvo variante Real DEMO explícita</x:v>
      </x:c>
      <x:c r="G1083" s="20" t="str">
        <x:v>Pendiente</x:v>
      </x:c>
      <x:c r="H1083" s="20" t="str"/>
      <x:c r="I1083" s="20" t="str"/>
      <x:c r="J1083" s="20" t="str"/>
      <x:c r="K1083" s="20" t="str"/>
      <x:c r="L1083" s="21" t="str"/>
      <x:c r="M1083" s="22" t="str"/>
      <x:c r="N1083" s="20" t="str"/>
    </x:row>
    <x:row r="1084" ht="48" customHeight="1">
      <x:c r="A1084" s="9" t="str">
        <x:v>QA-INT-038</x:v>
      </x:c>
      <x:c r="B1084" s="9" t="str">
        <x:v>INT</x:v>
      </x:c>
      <x:c r="C1084" s="9" t="str">
        <x:v>Comprobantes web: integración de IVA+ISLR</x:v>
      </x:c>
      <x:c r="D1084" s="9" t="str">
        <x:v>P0</x:v>
      </x:c>
      <x:c r="E1084" s="9" t="str">
        <x:v>Positiva</x:v>
      </x:c>
      <x:c r="F1084" s="9" t="str">
        <x:v>Navegador + HTTP + persistencia; proveedor doble salvo variante Real DEMO explícita</x:v>
      </x:c>
      <x:c r="G1084" s="20" t="str">
        <x:v>Pendiente</x:v>
      </x:c>
      <x:c r="H1084" s="20" t="str"/>
      <x:c r="I1084" s="20" t="str"/>
      <x:c r="J1084" s="20" t="str"/>
      <x:c r="K1084" s="20" t="str"/>
      <x:c r="L1084" s="21" t="str"/>
      <x:c r="M1084" s="22" t="str"/>
      <x:c r="N1084" s="20" t="str"/>
    </x:row>
    <x:row r="1085" ht="48" customHeight="1">
      <x:c r="A1085" s="9" t="str">
        <x:v>QA-INT-039</x:v>
      </x:c>
      <x:c r="B1085" s="9" t="str">
        <x:v>INT</x:v>
      </x:c>
      <x:c r="C1085" s="9" t="str">
        <x:v>POS pago normal: integración de IVA</x:v>
      </x:c>
      <x:c r="D1085" s="9" t="str">
        <x:v>P0</x:v>
      </x:c>
      <x:c r="E1085" s="9" t="str">
        <x:v>Positiva</x:v>
      </x:c>
      <x:c r="F1085" s="9" t="str">
        <x:v>Navegador + HTTP + persistencia; proveedor doble salvo variante Real DEMO explícita</x:v>
      </x:c>
      <x:c r="G1085" s="20" t="str">
        <x:v>Pendiente</x:v>
      </x:c>
      <x:c r="H1085" s="20" t="str"/>
      <x:c r="I1085" s="20" t="str"/>
      <x:c r="J1085" s="20" t="str"/>
      <x:c r="K1085" s="20" t="str"/>
      <x:c r="L1085" s="21" t="str"/>
      <x:c r="M1085" s="22" t="str"/>
      <x:c r="N1085" s="20" t="str"/>
    </x:row>
    <x:row r="1086" ht="48" customHeight="1">
      <x:c r="A1086" s="9" t="str">
        <x:v>QA-INT-040</x:v>
      </x:c>
      <x:c r="B1086" s="9" t="str">
        <x:v>INT</x:v>
      </x:c>
      <x:c r="C1086" s="9" t="str">
        <x:v>POS pago normal: integración de ISLR</x:v>
      </x:c>
      <x:c r="D1086" s="9" t="str">
        <x:v>P0</x:v>
      </x:c>
      <x:c r="E1086" s="9" t="str">
        <x:v>Positiva</x:v>
      </x:c>
      <x:c r="F1086" s="9" t="str">
        <x:v>Navegador + HTTP + persistencia; proveedor doble salvo variante Real DEMO explícita</x:v>
      </x:c>
      <x:c r="G1086" s="20" t="str">
        <x:v>Pendiente</x:v>
      </x:c>
      <x:c r="H1086" s="20" t="str"/>
      <x:c r="I1086" s="20" t="str"/>
      <x:c r="J1086" s="20" t="str"/>
      <x:c r="K1086" s="20" t="str"/>
      <x:c r="L1086" s="21" t="str"/>
      <x:c r="M1086" s="22" t="str"/>
      <x:c r="N1086" s="20" t="str"/>
    </x:row>
    <x:row r="1087" ht="48" customHeight="1">
      <x:c r="A1087" s="9" t="str">
        <x:v>QA-INT-041</x:v>
      </x:c>
      <x:c r="B1087" s="9" t="str">
        <x:v>INT</x:v>
      </x:c>
      <x:c r="C1087" s="9" t="str">
        <x:v>POS pago normal: integración de IVA+ISLR</x:v>
      </x:c>
      <x:c r="D1087" s="9" t="str">
        <x:v>P0</x:v>
      </x:c>
      <x:c r="E1087" s="9" t="str">
        <x:v>Positiva</x:v>
      </x:c>
      <x:c r="F1087" s="9" t="str">
        <x:v>Navegador + HTTP + persistencia; proveedor doble salvo variante Real DEMO explícita</x:v>
      </x:c>
      <x:c r="G1087" s="20" t="str">
        <x:v>Pendiente</x:v>
      </x:c>
      <x:c r="H1087" s="20" t="str"/>
      <x:c r="I1087" s="20" t="str"/>
      <x:c r="J1087" s="20" t="str"/>
      <x:c r="K1087" s="20" t="str"/>
      <x:c r="L1087" s="21" t="str"/>
      <x:c r="M1087" s="22" t="str"/>
      <x:c r="N1087" s="20" t="str"/>
    </x:row>
    <x:row r="1088" ht="48" customHeight="1">
      <x:c r="A1088" s="9" t="str">
        <x:v>QA-INT-042</x:v>
      </x:c>
      <x:c r="B1088" s="9" t="str">
        <x:v>INT</x:v>
      </x:c>
      <x:c r="C1088" s="9" t="str">
        <x:v>POS pago rápido: integración de IVA</x:v>
      </x:c>
      <x:c r="D1088" s="9" t="str">
        <x:v>P0</x:v>
      </x:c>
      <x:c r="E1088" s="9" t="str">
        <x:v>Positiva</x:v>
      </x:c>
      <x:c r="F1088" s="9" t="str">
        <x:v>Navegador + HTTP + persistencia; proveedor doble salvo variante Real DEMO explícita</x:v>
      </x:c>
      <x:c r="G1088" s="20" t="str">
        <x:v>Pendiente</x:v>
      </x:c>
      <x:c r="H1088" s="20" t="str"/>
      <x:c r="I1088" s="20" t="str"/>
      <x:c r="J1088" s="20" t="str"/>
      <x:c r="K1088" s="20" t="str"/>
      <x:c r="L1088" s="21" t="str"/>
      <x:c r="M1088" s="22" t="str"/>
      <x:c r="N1088" s="20" t="str"/>
    </x:row>
    <x:row r="1089" ht="48" customHeight="1">
      <x:c r="A1089" s="9" t="str">
        <x:v>QA-INT-043</x:v>
      </x:c>
      <x:c r="B1089" s="9" t="str">
        <x:v>INT</x:v>
      </x:c>
      <x:c r="C1089" s="9" t="str">
        <x:v>POS pago rápido: integración de ISLR</x:v>
      </x:c>
      <x:c r="D1089" s="9" t="str">
        <x:v>P0</x:v>
      </x:c>
      <x:c r="E1089" s="9" t="str">
        <x:v>Positiva</x:v>
      </x:c>
      <x:c r="F1089" s="9" t="str">
        <x:v>Navegador + HTTP + persistencia; proveedor doble salvo variante Real DEMO explícita</x:v>
      </x:c>
      <x:c r="G1089" s="20" t="str">
        <x:v>Pendiente</x:v>
      </x:c>
      <x:c r="H1089" s="20" t="str"/>
      <x:c r="I1089" s="20" t="str"/>
      <x:c r="J1089" s="20" t="str"/>
      <x:c r="K1089" s="20" t="str"/>
      <x:c r="L1089" s="21" t="str"/>
      <x:c r="M1089" s="22" t="str"/>
      <x:c r="N1089" s="20" t="str"/>
    </x:row>
    <x:row r="1090" ht="48" customHeight="1">
      <x:c r="A1090" s="9" t="str">
        <x:v>QA-INT-044</x:v>
      </x:c>
      <x:c r="B1090" s="9" t="str">
        <x:v>INT</x:v>
      </x:c>
      <x:c r="C1090" s="9" t="str">
        <x:v>POS pago rápido: integración de IVA+ISLR</x:v>
      </x:c>
      <x:c r="D1090" s="9" t="str">
        <x:v>P0</x:v>
      </x:c>
      <x:c r="E1090" s="9" t="str">
        <x:v>Positiva</x:v>
      </x:c>
      <x:c r="F1090" s="9" t="str">
        <x:v>Navegador + HTTP + persistencia; proveedor doble salvo variante Real DEMO explícita</x:v>
      </x:c>
      <x:c r="G1090" s="20" t="str">
        <x:v>Pendiente</x:v>
      </x:c>
      <x:c r="H1090" s="20" t="str"/>
      <x:c r="I1090" s="20" t="str"/>
      <x:c r="J1090" s="20" t="str"/>
      <x:c r="K1090" s="20" t="str"/>
      <x:c r="L1090" s="21" t="str"/>
      <x:c r="M1090" s="22" t="str"/>
      <x:c r="N1090" s="20" t="str"/>
    </x:row>
    <x:row r="1091" ht="48" customHeight="1">
      <x:c r="A1091" s="9" t="str">
        <x:v>QA-INT-045</x:v>
      </x:c>
      <x:c r="B1091" s="9" t="str">
        <x:v>INT</x:v>
      </x:c>
      <x:c r="C1091" s="9" t="str">
        <x:v>POS pagos múltiples: integración de IVA</x:v>
      </x:c>
      <x:c r="D1091" s="9" t="str">
        <x:v>P0</x:v>
      </x:c>
      <x:c r="E1091" s="9" t="str">
        <x:v>Positiva</x:v>
      </x:c>
      <x:c r="F1091" s="9" t="str">
        <x:v>Navegador + HTTP + persistencia; proveedor doble salvo variante Real DEMO explícita</x:v>
      </x:c>
      <x:c r="G1091" s="20" t="str">
        <x:v>Pendiente</x:v>
      </x:c>
      <x:c r="H1091" s="20" t="str"/>
      <x:c r="I1091" s="20" t="str"/>
      <x:c r="J1091" s="20" t="str"/>
      <x:c r="K1091" s="20" t="str"/>
      <x:c r="L1091" s="21" t="str"/>
      <x:c r="M1091" s="22" t="str"/>
      <x:c r="N1091" s="20" t="str"/>
    </x:row>
    <x:row r="1092" ht="48" customHeight="1">
      <x:c r="A1092" s="9" t="str">
        <x:v>QA-INT-046</x:v>
      </x:c>
      <x:c r="B1092" s="9" t="str">
        <x:v>INT</x:v>
      </x:c>
      <x:c r="C1092" s="9" t="str">
        <x:v>POS pagos múltiples: integración de ISLR</x:v>
      </x:c>
      <x:c r="D1092" s="9" t="str">
        <x:v>P0</x:v>
      </x:c>
      <x:c r="E1092" s="9" t="str">
        <x:v>Positiva</x:v>
      </x:c>
      <x:c r="F1092" s="9" t="str">
        <x:v>Navegador + HTTP + persistencia; proveedor doble salvo variante Real DEMO explícita</x:v>
      </x:c>
      <x:c r="G1092" s="20" t="str">
        <x:v>Pendiente</x:v>
      </x:c>
      <x:c r="H1092" s="20" t="str"/>
      <x:c r="I1092" s="20" t="str"/>
      <x:c r="J1092" s="20" t="str"/>
      <x:c r="K1092" s="20" t="str"/>
      <x:c r="L1092" s="21" t="str"/>
      <x:c r="M1092" s="22" t="str"/>
      <x:c r="N1092" s="20" t="str"/>
    </x:row>
    <x:row r="1093" ht="48" customHeight="1">
      <x:c r="A1093" s="9" t="str">
        <x:v>QA-INT-047</x:v>
      </x:c>
      <x:c r="B1093" s="9" t="str">
        <x:v>INT</x:v>
      </x:c>
      <x:c r="C1093" s="9" t="str">
        <x:v>POS pagos múltiples: integración de IVA+ISLR</x:v>
      </x:c>
      <x:c r="D1093" s="9" t="str">
        <x:v>P0</x:v>
      </x:c>
      <x:c r="E1093" s="9" t="str">
        <x:v>Positiva</x:v>
      </x:c>
      <x:c r="F1093" s="9" t="str">
        <x:v>Navegador + HTTP + persistencia; proveedor doble salvo variante Real DEMO explícita</x:v>
      </x:c>
      <x:c r="G1093" s="20" t="str">
        <x:v>Pendiente</x:v>
      </x:c>
      <x:c r="H1093" s="20" t="str"/>
      <x:c r="I1093" s="20" t="str"/>
      <x:c r="J1093" s="20" t="str"/>
      <x:c r="K1093" s="20" t="str"/>
      <x:c r="L1093" s="21" t="str"/>
      <x:c r="M1093" s="22" t="str"/>
      <x:c r="N1093" s="20" t="str"/>
    </x:row>
    <x:row r="1094" ht="48" customHeight="1">
      <x:c r="A1094" s="9" t="str">
        <x:v>QA-INT-048</x:v>
      </x:c>
      <x:c r="B1094" s="9" t="str">
        <x:v>INT</x:v>
      </x:c>
      <x:c r="C1094" s="9" t="str">
        <x:v>Garage pago rápido: integración de IVA</x:v>
      </x:c>
      <x:c r="D1094" s="9" t="str">
        <x:v>P0</x:v>
      </x:c>
      <x:c r="E1094" s="9" t="str">
        <x:v>Positiva</x:v>
      </x:c>
      <x:c r="F1094" s="9" t="str">
        <x:v>Navegador + HTTP + persistencia; proveedor doble salvo variante Real DEMO explícita</x:v>
      </x:c>
      <x:c r="G1094" s="20" t="str">
        <x:v>Pendiente</x:v>
      </x:c>
      <x:c r="H1094" s="20" t="str"/>
      <x:c r="I1094" s="20" t="str"/>
      <x:c r="J1094" s="20" t="str"/>
      <x:c r="K1094" s="20" t="str"/>
      <x:c r="L1094" s="21" t="str"/>
      <x:c r="M1094" s="22" t="str"/>
      <x:c r="N1094" s="20" t="str"/>
    </x:row>
    <x:row r="1095" ht="48" customHeight="1">
      <x:c r="A1095" s="9" t="str">
        <x:v>QA-INT-049</x:v>
      </x:c>
      <x:c r="B1095" s="9" t="str">
        <x:v>INT</x:v>
      </x:c>
      <x:c r="C1095" s="9" t="str">
        <x:v>Garage pago rápido: integración de ISLR</x:v>
      </x:c>
      <x:c r="D1095" s="9" t="str">
        <x:v>P0</x:v>
      </x:c>
      <x:c r="E1095" s="9" t="str">
        <x:v>Positiva</x:v>
      </x:c>
      <x:c r="F1095" s="9" t="str">
        <x:v>Navegador + HTTP + persistencia; proveedor doble salvo variante Real DEMO explícita</x:v>
      </x:c>
      <x:c r="G1095" s="20" t="str">
        <x:v>Pendiente</x:v>
      </x:c>
      <x:c r="H1095" s="20" t="str"/>
      <x:c r="I1095" s="20" t="str"/>
      <x:c r="J1095" s="20" t="str"/>
      <x:c r="K1095" s="20" t="str"/>
      <x:c r="L1095" s="21" t="str"/>
      <x:c r="M1095" s="22" t="str"/>
      <x:c r="N1095" s="20" t="str"/>
    </x:row>
    <x:row r="1096" ht="48" customHeight="1">
      <x:c r="A1096" s="9" t="str">
        <x:v>QA-INT-050</x:v>
      </x:c>
      <x:c r="B1096" s="9" t="str">
        <x:v>INT</x:v>
      </x:c>
      <x:c r="C1096" s="9" t="str">
        <x:v>Garage pago rápido: integración de IVA+ISLR</x:v>
      </x:c>
      <x:c r="D1096" s="9" t="str">
        <x:v>P0</x:v>
      </x:c>
      <x:c r="E1096" s="9" t="str">
        <x:v>Positiva</x:v>
      </x:c>
      <x:c r="F1096" s="9" t="str">
        <x:v>Navegador + HTTP + persistencia; proveedor doble salvo variante Real DEMO explícita</x:v>
      </x:c>
      <x:c r="G1096" s="20" t="str">
        <x:v>Pendiente</x:v>
      </x:c>
      <x:c r="H1096" s="20" t="str"/>
      <x:c r="I1096" s="20" t="str"/>
      <x:c r="J1096" s="20" t="str"/>
      <x:c r="K1096" s="20" t="str"/>
      <x:c r="L1096" s="21" t="str"/>
      <x:c r="M1096" s="22" t="str"/>
      <x:c r="N1096" s="20" t="str"/>
    </x:row>
    <x:row r="1097" ht="48" customHeight="1">
      <x:c r="A1097" s="9" t="str">
        <x:v>QA-INT-051</x:v>
      </x:c>
      <x:c r="B1097" s="9" t="str">
        <x:v>INT</x:v>
      </x:c>
      <x:c r="C1097" s="9" t="str">
        <x:v>Garage pagos múltiples: integración de IVA</x:v>
      </x:c>
      <x:c r="D1097" s="9" t="str">
        <x:v>P0</x:v>
      </x:c>
      <x:c r="E1097" s="9" t="str">
        <x:v>Positiva</x:v>
      </x:c>
      <x:c r="F1097" s="9" t="str">
        <x:v>Navegador + HTTP + persistencia; proveedor doble salvo variante Real DEMO explícita</x:v>
      </x:c>
      <x:c r="G1097" s="20" t="str">
        <x:v>Pendiente</x:v>
      </x:c>
      <x:c r="H1097" s="20" t="str"/>
      <x:c r="I1097" s="20" t="str"/>
      <x:c r="J1097" s="20" t="str"/>
      <x:c r="K1097" s="20" t="str"/>
      <x:c r="L1097" s="21" t="str"/>
      <x:c r="M1097" s="22" t="str"/>
      <x:c r="N1097" s="20" t="str"/>
    </x:row>
    <x:row r="1098" ht="48" customHeight="1">
      <x:c r="A1098" s="9" t="str">
        <x:v>QA-INT-052</x:v>
      </x:c>
      <x:c r="B1098" s="9" t="str">
        <x:v>INT</x:v>
      </x:c>
      <x:c r="C1098" s="9" t="str">
        <x:v>Garage pagos múltiples: integración de ISLR</x:v>
      </x:c>
      <x:c r="D1098" s="9" t="str">
        <x:v>P0</x:v>
      </x:c>
      <x:c r="E1098" s="9" t="str">
        <x:v>Positiva</x:v>
      </x:c>
      <x:c r="F1098" s="9" t="str">
        <x:v>Navegador + HTTP + persistencia; proveedor doble salvo variante Real DEMO explícita</x:v>
      </x:c>
      <x:c r="G1098" s="20" t="str">
        <x:v>Pendiente</x:v>
      </x:c>
      <x:c r="H1098" s="20" t="str"/>
      <x:c r="I1098" s="20" t="str"/>
      <x:c r="J1098" s="20" t="str"/>
      <x:c r="K1098" s="20" t="str"/>
      <x:c r="L1098" s="21" t="str"/>
      <x:c r="M1098" s="22" t="str"/>
      <x:c r="N1098" s="20" t="str"/>
    </x:row>
    <x:row r="1099" ht="48" customHeight="1">
      <x:c r="A1099" s="9" t="str">
        <x:v>QA-INT-053</x:v>
      </x:c>
      <x:c r="B1099" s="9" t="str">
        <x:v>INT</x:v>
      </x:c>
      <x:c r="C1099" s="9" t="str">
        <x:v>Garage pagos múltiples: integración de IVA+ISLR</x:v>
      </x:c>
      <x:c r="D1099" s="9" t="str">
        <x:v>P0</x:v>
      </x:c>
      <x:c r="E1099" s="9" t="str">
        <x:v>Positiva</x:v>
      </x:c>
      <x:c r="F1099" s="9" t="str">
        <x:v>Navegador + HTTP + persistencia; proveedor doble salvo variante Real DEMO explícita</x:v>
      </x:c>
      <x:c r="G1099" s="20" t="str">
        <x:v>Pendiente</x:v>
      </x:c>
      <x:c r="H1099" s="20" t="str"/>
      <x:c r="I1099" s="20" t="str"/>
      <x:c r="J1099" s="20" t="str"/>
      <x:c r="K1099" s="20" t="str"/>
      <x:c r="L1099" s="21" t="str"/>
      <x:c r="M1099" s="22" t="str"/>
      <x:c r="N1099" s="20" t="str"/>
    </x:row>
    <x:row r="1100" ht="48" customHeight="1">
      <x:c r="A1100" s="9" t="str">
        <x:v>QA-INT-054</x:v>
      </x:c>
      <x:c r="B1100" s="9" t="str">
        <x:v>INT</x:v>
      </x:c>
      <x:c r="C1100" s="9" t="str">
        <x:v>Hotel checkout: integración de IVA</x:v>
      </x:c>
      <x:c r="D1100" s="9" t="str">
        <x:v>P0</x:v>
      </x:c>
      <x:c r="E1100" s="9" t="str">
        <x:v>Positiva</x:v>
      </x:c>
      <x:c r="F1100" s="9" t="str">
        <x:v>Navegador + HTTP + persistencia; proveedor doble salvo variante Real DEMO explícita</x:v>
      </x:c>
      <x:c r="G1100" s="20" t="str">
        <x:v>Pendiente</x:v>
      </x:c>
      <x:c r="H1100" s="20" t="str"/>
      <x:c r="I1100" s="20" t="str"/>
      <x:c r="J1100" s="20" t="str"/>
      <x:c r="K1100" s="20" t="str"/>
      <x:c r="L1100" s="21" t="str"/>
      <x:c r="M1100" s="22" t="str"/>
      <x:c r="N1100" s="20" t="str"/>
    </x:row>
    <x:row r="1101" ht="48" customHeight="1">
      <x:c r="A1101" s="9" t="str">
        <x:v>QA-INT-055</x:v>
      </x:c>
      <x:c r="B1101" s="9" t="str">
        <x:v>INT</x:v>
      </x:c>
      <x:c r="C1101" s="9" t="str">
        <x:v>Hotel checkout: integración de ISLR</x:v>
      </x:c>
      <x:c r="D1101" s="9" t="str">
        <x:v>P0</x:v>
      </x:c>
      <x:c r="E1101" s="9" t="str">
        <x:v>Positiva</x:v>
      </x:c>
      <x:c r="F1101" s="9" t="str">
        <x:v>Navegador + HTTP + persistencia; proveedor doble salvo variante Real DEMO explícita</x:v>
      </x:c>
      <x:c r="G1101" s="20" t="str">
        <x:v>Pendiente</x:v>
      </x:c>
      <x:c r="H1101" s="20" t="str"/>
      <x:c r="I1101" s="20" t="str"/>
      <x:c r="J1101" s="20" t="str"/>
      <x:c r="K1101" s="20" t="str"/>
      <x:c r="L1101" s="21" t="str"/>
      <x:c r="M1101" s="22" t="str"/>
      <x:c r="N1101" s="20" t="str"/>
    </x:row>
    <x:row r="1102" ht="48" customHeight="1">
      <x:c r="A1102" s="9" t="str">
        <x:v>QA-INT-056</x:v>
      </x:c>
      <x:c r="B1102" s="9" t="str">
        <x:v>INT</x:v>
      </x:c>
      <x:c r="C1102" s="9" t="str">
        <x:v>Hotel checkout: integración de IVA+ISLR</x:v>
      </x:c>
      <x:c r="D1102" s="9" t="str">
        <x:v>P0</x:v>
      </x:c>
      <x:c r="E1102" s="9" t="str">
        <x:v>Positiva</x:v>
      </x:c>
      <x:c r="F1102" s="9" t="str">
        <x:v>Navegador + HTTP + persistencia; proveedor doble salvo variante Real DEMO explícita</x:v>
      </x:c>
      <x:c r="G1102" s="20" t="str">
        <x:v>Pendiente</x:v>
      </x:c>
      <x:c r="H1102" s="20" t="str"/>
      <x:c r="I1102" s="20" t="str"/>
      <x:c r="J1102" s="20" t="str"/>
      <x:c r="K1102" s="20" t="str"/>
      <x:c r="L1102" s="21" t="str"/>
      <x:c r="M1102" s="22" t="str"/>
      <x:c r="N1102" s="20" t="str"/>
    </x:row>
    <x:row r="1103" ht="48" customHeight="1">
      <x:c r="A1103" s="9" t="str">
        <x:v>QA-INT-057</x:v>
      </x:c>
      <x:c r="B1103" s="9" t="str">
        <x:v>INT</x:v>
      </x:c>
      <x:c r="C1103" s="9" t="str">
        <x:v>Pedidos/OrderNotes: integración de IVA</x:v>
      </x:c>
      <x:c r="D1103" s="9" t="str">
        <x:v>P0</x:v>
      </x:c>
      <x:c r="E1103" s="9" t="str">
        <x:v>Positiva</x:v>
      </x:c>
      <x:c r="F1103" s="9" t="str">
        <x:v>Navegador + HTTP + persistencia; proveedor doble salvo variante Real DEMO explícita</x:v>
      </x:c>
      <x:c r="G1103" s="20" t="str">
        <x:v>Pendiente</x:v>
      </x:c>
      <x:c r="H1103" s="20" t="str"/>
      <x:c r="I1103" s="20" t="str"/>
      <x:c r="J1103" s="20" t="str"/>
      <x:c r="K1103" s="20" t="str"/>
      <x:c r="L1103" s="21" t="str"/>
      <x:c r="M1103" s="22" t="str"/>
      <x:c r="N1103" s="20" t="str"/>
    </x:row>
    <x:row r="1104" ht="48" customHeight="1">
      <x:c r="A1104" s="9" t="str">
        <x:v>QA-INT-058</x:v>
      </x:c>
      <x:c r="B1104" s="9" t="str">
        <x:v>INT</x:v>
      </x:c>
      <x:c r="C1104" s="9" t="str">
        <x:v>Pedidos/OrderNotes: integración de ISLR</x:v>
      </x:c>
      <x:c r="D1104" s="9" t="str">
        <x:v>P0</x:v>
      </x:c>
      <x:c r="E1104" s="9" t="str">
        <x:v>Positiva</x:v>
      </x:c>
      <x:c r="F1104" s="9" t="str">
        <x:v>Navegador + HTTP + persistencia; proveedor doble salvo variante Real DEMO explícita</x:v>
      </x:c>
      <x:c r="G1104" s="20" t="str">
        <x:v>Pendiente</x:v>
      </x:c>
      <x:c r="H1104" s="20" t="str"/>
      <x:c r="I1104" s="20" t="str"/>
      <x:c r="J1104" s="20" t="str"/>
      <x:c r="K1104" s="20" t="str"/>
      <x:c r="L1104" s="21" t="str"/>
      <x:c r="M1104" s="22" t="str"/>
      <x:c r="N1104" s="20" t="str"/>
    </x:row>
    <x:row r="1105" ht="48" customHeight="1">
      <x:c r="A1105" s="9" t="str">
        <x:v>QA-INT-059</x:v>
      </x:c>
      <x:c r="B1105" s="9" t="str">
        <x:v>INT</x:v>
      </x:c>
      <x:c r="C1105" s="9" t="str">
        <x:v>Pedidos/OrderNotes: integración de IVA+ISLR</x:v>
      </x:c>
      <x:c r="D1105" s="9" t="str">
        <x:v>P0</x:v>
      </x:c>
      <x:c r="E1105" s="9" t="str">
        <x:v>Positiva</x:v>
      </x:c>
      <x:c r="F1105" s="9" t="str">
        <x:v>Navegador + HTTP + persistencia; proveedor doble salvo variante Real DEMO explícita</x:v>
      </x:c>
      <x:c r="G1105" s="20" t="str">
        <x:v>Pendiente</x:v>
      </x:c>
      <x:c r="H1105" s="20" t="str"/>
      <x:c r="I1105" s="20" t="str"/>
      <x:c r="J1105" s="20" t="str"/>
      <x:c r="K1105" s="20" t="str"/>
      <x:c r="L1105" s="21" t="str"/>
      <x:c r="M1105" s="22" t="str"/>
      <x:c r="N1105" s="20" t="str"/>
    </x:row>
    <x:row r="1106" ht="48" customHeight="1">
      <x:c r="A1106" s="9" t="str">
        <x:v>QA-INT-060</x:v>
      </x:c>
      <x:c r="B1106" s="9" t="str">
        <x:v>INT</x:v>
      </x:c>
      <x:c r="C1106" s="9" t="str">
        <x:v>Servicio técnico: integración de IVA</x:v>
      </x:c>
      <x:c r="D1106" s="9" t="str">
        <x:v>P0</x:v>
      </x:c>
      <x:c r="E1106" s="9" t="str">
        <x:v>Positiva</x:v>
      </x:c>
      <x:c r="F1106" s="9" t="str">
        <x:v>Navegador + HTTP + persistencia; proveedor doble salvo variante Real DEMO explícita</x:v>
      </x:c>
      <x:c r="G1106" s="20" t="str">
        <x:v>Pendiente</x:v>
      </x:c>
      <x:c r="H1106" s="20" t="str"/>
      <x:c r="I1106" s="20" t="str"/>
      <x:c r="J1106" s="20" t="str"/>
      <x:c r="K1106" s="20" t="str"/>
      <x:c r="L1106" s="21" t="str"/>
      <x:c r="M1106" s="22" t="str"/>
      <x:c r="N1106" s="20" t="str"/>
    </x:row>
    <x:row r="1107" ht="48" customHeight="1">
      <x:c r="A1107" s="9" t="str">
        <x:v>QA-INT-061</x:v>
      </x:c>
      <x:c r="B1107" s="9" t="str">
        <x:v>INT</x:v>
      </x:c>
      <x:c r="C1107" s="9" t="str">
        <x:v>Servicio técnico: integración de ISLR</x:v>
      </x:c>
      <x:c r="D1107" s="9" t="str">
        <x:v>P0</x:v>
      </x:c>
      <x:c r="E1107" s="9" t="str">
        <x:v>Positiva</x:v>
      </x:c>
      <x:c r="F1107" s="9" t="str">
        <x:v>Navegador + HTTP + persistencia; proveedor doble salvo variante Real DEMO explícita</x:v>
      </x:c>
      <x:c r="G1107" s="20" t="str">
        <x:v>Pendiente</x:v>
      </x:c>
      <x:c r="H1107" s="20" t="str"/>
      <x:c r="I1107" s="20" t="str"/>
      <x:c r="J1107" s="20" t="str"/>
      <x:c r="K1107" s="20" t="str"/>
      <x:c r="L1107" s="21" t="str"/>
      <x:c r="M1107" s="22" t="str"/>
      <x:c r="N1107" s="20" t="str"/>
    </x:row>
    <x:row r="1108" ht="48" customHeight="1">
      <x:c r="A1108" s="9" t="str">
        <x:v>QA-INT-062</x:v>
      </x:c>
      <x:c r="B1108" s="9" t="str">
        <x:v>INT</x:v>
      </x:c>
      <x:c r="C1108" s="9" t="str">
        <x:v>Servicio técnico: integración de IVA+ISLR</x:v>
      </x:c>
      <x:c r="D1108" s="9" t="str">
        <x:v>P0</x:v>
      </x:c>
      <x:c r="E1108" s="9" t="str">
        <x:v>Positiva</x:v>
      </x:c>
      <x:c r="F1108" s="9" t="str">
        <x:v>Navegador + HTTP + persistencia; proveedor doble salvo variante Real DEMO explícita</x:v>
      </x:c>
      <x:c r="G1108" s="20" t="str">
        <x:v>Pendiente</x:v>
      </x:c>
      <x:c r="H1108" s="20" t="str"/>
      <x:c r="I1108" s="20" t="str"/>
      <x:c r="J1108" s="20" t="str"/>
      <x:c r="K1108" s="20" t="str"/>
      <x:c r="L1108" s="21" t="str"/>
      <x:c r="M1108" s="22" t="str"/>
      <x:c r="N1108" s="20" t="str"/>
    </x:row>
    <x:row r="1109" ht="48" customHeight="1">
      <x:c r="A1109" s="9" t="str">
        <x:v>QA-INT-063</x:v>
      </x:c>
      <x:c r="B1109" s="9" t="str">
        <x:v>INT</x:v>
      </x:c>
      <x:c r="C1109" s="9" t="str">
        <x:v>Suscription: integración de IVA</x:v>
      </x:c>
      <x:c r="D1109" s="9" t="str">
        <x:v>P0</x:v>
      </x:c>
      <x:c r="E1109" s="9" t="str">
        <x:v>Positiva</x:v>
      </x:c>
      <x:c r="F1109" s="9" t="str">
        <x:v>Navegador + HTTP + persistencia; proveedor doble salvo variante Real DEMO explícita</x:v>
      </x:c>
      <x:c r="G1109" s="20" t="str">
        <x:v>Pendiente</x:v>
      </x:c>
      <x:c r="H1109" s="20" t="str"/>
      <x:c r="I1109" s="20" t="str"/>
      <x:c r="J1109" s="20" t="str"/>
      <x:c r="K1109" s="20" t="str"/>
      <x:c r="L1109" s="21" t="str"/>
      <x:c r="M1109" s="22" t="str"/>
      <x:c r="N1109" s="20" t="str"/>
    </x:row>
    <x:row r="1110" ht="48" customHeight="1">
      <x:c r="A1110" s="9" t="str">
        <x:v>QA-INT-064</x:v>
      </x:c>
      <x:c r="B1110" s="9" t="str">
        <x:v>INT</x:v>
      </x:c>
      <x:c r="C1110" s="9" t="str">
        <x:v>Suscription: integración de ISLR</x:v>
      </x:c>
      <x:c r="D1110" s="9" t="str">
        <x:v>P0</x:v>
      </x:c>
      <x:c r="E1110" s="9" t="str">
        <x:v>Positiva</x:v>
      </x:c>
      <x:c r="F1110" s="9" t="str">
        <x:v>Navegador + HTTP + persistencia; proveedor doble salvo variante Real DEMO explícita</x:v>
      </x:c>
      <x:c r="G1110" s="20" t="str">
        <x:v>Pendiente</x:v>
      </x:c>
      <x:c r="H1110" s="20" t="str"/>
      <x:c r="I1110" s="20" t="str"/>
      <x:c r="J1110" s="20" t="str"/>
      <x:c r="K1110" s="20" t="str"/>
      <x:c r="L1110" s="21" t="str"/>
      <x:c r="M1110" s="22" t="str"/>
      <x:c r="N1110" s="20" t="str"/>
    </x:row>
    <x:row r="1111" ht="48" customHeight="1">
      <x:c r="A1111" s="9" t="str">
        <x:v>QA-INT-065</x:v>
      </x:c>
      <x:c r="B1111" s="9" t="str">
        <x:v>INT</x:v>
      </x:c>
      <x:c r="C1111" s="9" t="str">
        <x:v>Suscription: integración de IVA+ISLR</x:v>
      </x:c>
      <x:c r="D1111" s="9" t="str">
        <x:v>P0</x:v>
      </x:c>
      <x:c r="E1111" s="9" t="str">
        <x:v>Positiva</x:v>
      </x:c>
      <x:c r="F1111" s="9" t="str">
        <x:v>Navegador + HTTP + persistencia; proveedor doble salvo variante Real DEMO explícita</x:v>
      </x:c>
      <x:c r="G1111" s="20" t="str">
        <x:v>Pendiente</x:v>
      </x:c>
      <x:c r="H1111" s="20" t="str"/>
      <x:c r="I1111" s="20" t="str"/>
      <x:c r="J1111" s="20" t="str"/>
      <x:c r="K1111" s="20" t="str"/>
      <x:c r="L1111" s="21" t="str"/>
      <x:c r="M1111" s="22" t="str"/>
      <x:c r="N1111" s="20" t="str"/>
    </x:row>
    <x:row r="1112" ht="48" customHeight="1">
      <x:c r="A1112" s="9" t="str">
        <x:v>QA-INT-066</x:v>
      </x:c>
      <x:c r="B1112" s="9" t="str">
        <x:v>INT</x:v>
      </x:c>
      <x:c r="C1112" s="9" t="str">
        <x:v>FullSuscription: integración de IVA</x:v>
      </x:c>
      <x:c r="D1112" s="9" t="str">
        <x:v>P0</x:v>
      </x:c>
      <x:c r="E1112" s="9" t="str">
        <x:v>Positiva</x:v>
      </x:c>
      <x:c r="F1112" s="9" t="str">
        <x:v>Navegador + HTTP + persistencia; proveedor doble salvo variante Real DEMO explícita</x:v>
      </x:c>
      <x:c r="G1112" s="20" t="str">
        <x:v>Pendiente</x:v>
      </x:c>
      <x:c r="H1112" s="20" t="str"/>
      <x:c r="I1112" s="20" t="str"/>
      <x:c r="J1112" s="20" t="str"/>
      <x:c r="K1112" s="20" t="str"/>
      <x:c r="L1112" s="21" t="str"/>
      <x:c r="M1112" s="22" t="str"/>
      <x:c r="N1112" s="20" t="str"/>
    </x:row>
    <x:row r="1113" ht="48" customHeight="1">
      <x:c r="A1113" s="9" t="str">
        <x:v>QA-INT-067</x:v>
      </x:c>
      <x:c r="B1113" s="9" t="str">
        <x:v>INT</x:v>
      </x:c>
      <x:c r="C1113" s="9" t="str">
        <x:v>FullSuscription: integración de ISLR</x:v>
      </x:c>
      <x:c r="D1113" s="9" t="str">
        <x:v>P0</x:v>
      </x:c>
      <x:c r="E1113" s="9" t="str">
        <x:v>Positiva</x:v>
      </x:c>
      <x:c r="F1113" s="9" t="str">
        <x:v>Navegador + HTTP + persistencia; proveedor doble salvo variante Real DEMO explícita</x:v>
      </x:c>
      <x:c r="G1113" s="20" t="str">
        <x:v>Pendiente</x:v>
      </x:c>
      <x:c r="H1113" s="20" t="str"/>
      <x:c r="I1113" s="20" t="str"/>
      <x:c r="J1113" s="20" t="str"/>
      <x:c r="K1113" s="20" t="str"/>
      <x:c r="L1113" s="21" t="str"/>
      <x:c r="M1113" s="22" t="str"/>
      <x:c r="N1113" s="20" t="str"/>
    </x:row>
    <x:row r="1114" ht="48" customHeight="1">
      <x:c r="A1114" s="9" t="str">
        <x:v>QA-INT-068</x:v>
      </x:c>
      <x:c r="B1114" s="9" t="str">
        <x:v>INT</x:v>
      </x:c>
      <x:c r="C1114" s="9" t="str">
        <x:v>FullSuscription: integración de IVA+ISLR</x:v>
      </x:c>
      <x:c r="D1114" s="9" t="str">
        <x:v>P0</x:v>
      </x:c>
      <x:c r="E1114" s="9" t="str">
        <x:v>Positiva</x:v>
      </x:c>
      <x:c r="F1114" s="9" t="str">
        <x:v>Navegador + HTTP + persistencia; proveedor doble salvo variante Real DEMO explícita</x:v>
      </x:c>
      <x:c r="G1114" s="20" t="str">
        <x:v>Pendiente</x:v>
      </x:c>
      <x:c r="H1114" s="20" t="str"/>
      <x:c r="I1114" s="20" t="str"/>
      <x:c r="J1114" s="20" t="str"/>
      <x:c r="K1114" s="20" t="str"/>
      <x:c r="L1114" s="21" t="str"/>
      <x:c r="M1114" s="22" t="str"/>
      <x:c r="N1114" s="20" t="str"/>
    </x:row>
    <x:row r="1115" ht="48" customHeight="1">
      <x:c r="A1115" s="9" t="str">
        <x:v>QA-INT-069</x:v>
      </x:c>
      <x:c r="B1115" s="9" t="str">
        <x:v>INT</x:v>
      </x:c>
      <x:c r="C1115" s="9" t="str">
        <x:v>Restaurante mediante POS: integración de IVA</x:v>
      </x:c>
      <x:c r="D1115" s="9" t="str">
        <x:v>P0</x:v>
      </x:c>
      <x:c r="E1115" s="9" t="str">
        <x:v>Positiva</x:v>
      </x:c>
      <x:c r="F1115" s="9" t="str">
        <x:v>Navegador + HTTP + persistencia; proveedor doble salvo variante Real DEMO explícita</x:v>
      </x:c>
      <x:c r="G1115" s="20" t="str">
        <x:v>Pendiente</x:v>
      </x:c>
      <x:c r="H1115" s="20" t="str"/>
      <x:c r="I1115" s="20" t="str"/>
      <x:c r="J1115" s="20" t="str"/>
      <x:c r="K1115" s="20" t="str"/>
      <x:c r="L1115" s="21" t="str"/>
      <x:c r="M1115" s="22" t="str"/>
      <x:c r="N1115" s="20" t="str"/>
    </x:row>
    <x:row r="1116" ht="48" customHeight="1">
      <x:c r="A1116" s="9" t="str">
        <x:v>QA-INT-070</x:v>
      </x:c>
      <x:c r="B1116" s="9" t="str">
        <x:v>INT</x:v>
      </x:c>
      <x:c r="C1116" s="9" t="str">
        <x:v>Restaurante mediante POS: integración de ISLR</x:v>
      </x:c>
      <x:c r="D1116" s="9" t="str">
        <x:v>P0</x:v>
      </x:c>
      <x:c r="E1116" s="9" t="str">
        <x:v>Positiva</x:v>
      </x:c>
      <x:c r="F1116" s="9" t="str">
        <x:v>Navegador + HTTP + persistencia; proveedor doble salvo variante Real DEMO explícita</x:v>
      </x:c>
      <x:c r="G1116" s="20" t="str">
        <x:v>Pendiente</x:v>
      </x:c>
      <x:c r="H1116" s="20" t="str"/>
      <x:c r="I1116" s="20" t="str"/>
      <x:c r="J1116" s="20" t="str"/>
      <x:c r="K1116" s="20" t="str"/>
      <x:c r="L1116" s="21" t="str"/>
      <x:c r="M1116" s="22" t="str"/>
      <x:c r="N1116" s="20" t="str"/>
    </x:row>
    <x:row r="1117" ht="48" customHeight="1">
      <x:c r="A1117" s="9" t="str">
        <x:v>QA-INT-071</x:v>
      </x:c>
      <x:c r="B1117" s="9" t="str">
        <x:v>INT</x:v>
      </x:c>
      <x:c r="C1117" s="9" t="str">
        <x:v>Restaurante mediante POS: integración de IVA+ISLR</x:v>
      </x:c>
      <x:c r="D1117" s="9" t="str">
        <x:v>P0</x:v>
      </x:c>
      <x:c r="E1117" s="9" t="str">
        <x:v>Positiva</x:v>
      </x:c>
      <x:c r="F1117" s="9" t="str">
        <x:v>Navegador + HTTP + persistencia; proveedor doble salvo variante Real DEMO explícita</x:v>
      </x:c>
      <x:c r="G1117" s="20" t="str">
        <x:v>Pendiente</x:v>
      </x:c>
      <x:c r="H1117" s="20" t="str"/>
      <x:c r="I1117" s="20" t="str"/>
      <x:c r="J1117" s="20" t="str"/>
      <x:c r="K1117" s="20" t="str"/>
      <x:c r="L1117" s="21" t="str"/>
      <x:c r="M1117" s="22" t="str"/>
      <x:c r="N1117" s="20" t="str"/>
    </x:row>
    <x:row r="1118" ht="48" customHeight="1">
      <x:c r="A1118" s="9" t="str">
        <x:v>QA-INT-072</x:v>
      </x:c>
      <x:c r="B1118" s="9" t="str">
        <x:v>INT</x:v>
      </x:c>
      <x:c r="C1118" s="9" t="str">
        <x:v>API autenticada: integración de IVA</x:v>
      </x:c>
      <x:c r="D1118" s="9" t="str">
        <x:v>P0</x:v>
      </x:c>
      <x:c r="E1118" s="9" t="str">
        <x:v>Positiva</x:v>
      </x:c>
      <x:c r="F1118" s="9" t="str">
        <x:v>Navegador + HTTP + persistencia; proveedor doble salvo variante Real DEMO explícita</x:v>
      </x:c>
      <x:c r="G1118" s="20" t="str">
        <x:v>Pendiente</x:v>
      </x:c>
      <x:c r="H1118" s="20" t="str"/>
      <x:c r="I1118" s="20" t="str"/>
      <x:c r="J1118" s="20" t="str"/>
      <x:c r="K1118" s="20" t="str"/>
      <x:c r="L1118" s="21" t="str"/>
      <x:c r="M1118" s="22" t="str"/>
      <x:c r="N1118" s="20" t="str"/>
    </x:row>
    <x:row r="1119" ht="48" customHeight="1">
      <x:c r="A1119" s="9" t="str">
        <x:v>QA-INT-073</x:v>
      </x:c>
      <x:c r="B1119" s="9" t="str">
        <x:v>INT</x:v>
      </x:c>
      <x:c r="C1119" s="9" t="str">
        <x:v>API autenticada: integración de ISLR</x:v>
      </x:c>
      <x:c r="D1119" s="9" t="str">
        <x:v>P0</x:v>
      </x:c>
      <x:c r="E1119" s="9" t="str">
        <x:v>Positiva</x:v>
      </x:c>
      <x:c r="F1119" s="9" t="str">
        <x:v>Navegador + HTTP + persistencia; proveedor doble salvo variante Real DEMO explícita</x:v>
      </x:c>
      <x:c r="G1119" s="20" t="str">
        <x:v>Pendiente</x:v>
      </x:c>
      <x:c r="H1119" s="20" t="str"/>
      <x:c r="I1119" s="20" t="str"/>
      <x:c r="J1119" s="20" t="str"/>
      <x:c r="K1119" s="20" t="str"/>
      <x:c r="L1119" s="21" t="str"/>
      <x:c r="M1119" s="22" t="str"/>
      <x:c r="N1119" s="20" t="str"/>
    </x:row>
    <x:row r="1120" ht="48" customHeight="1">
      <x:c r="A1120" s="9" t="str">
        <x:v>QA-INT-074</x:v>
      </x:c>
      <x:c r="B1120" s="9" t="str">
        <x:v>INT</x:v>
      </x:c>
      <x:c r="C1120" s="9" t="str">
        <x:v>API autenticada: integración de IVA+ISLR</x:v>
      </x:c>
      <x:c r="D1120" s="9" t="str">
        <x:v>P0</x:v>
      </x:c>
      <x:c r="E1120" s="9" t="str">
        <x:v>Positiva</x:v>
      </x:c>
      <x:c r="F1120" s="9" t="str">
        <x:v>Navegador + HTTP + persistencia; proveedor doble salvo variante Real DEMO explícita</x:v>
      </x:c>
      <x:c r="G1120" s="20" t="str">
        <x:v>Pendiente</x:v>
      </x:c>
      <x:c r="H1120" s="20" t="str"/>
      <x:c r="I1120" s="20" t="str"/>
      <x:c r="J1120" s="20" t="str"/>
      <x:c r="K1120" s="20" t="str"/>
      <x:c r="L1120" s="21" t="str"/>
      <x:c r="M1120" s="22" t="str"/>
      <x:c r="N1120" s="20" t="str"/>
    </x:row>
    <x:row r="1121" ht="48" customHeight="1">
      <x:c r="A1121" s="9" t="str">
        <x:v>QA-INT-075</x:v>
      </x:c>
      <x:c r="B1121" s="9" t="str">
        <x:v>INT</x:v>
      </x:c>
      <x:c r="C1121" s="9" t="str">
        <x:v>Capacidad combinada IVA+ISLR: VES / Contado</x:v>
      </x:c>
      <x:c r="D1121" s="9" t="str">
        <x:v>P0</x:v>
      </x:c>
      <x:c r="E1121" s="9" t="str">
        <x:v>Negativa</x:v>
      </x:c>
      <x:c r="F1121" s="9" t="str">
        <x:v>Navegador + HTTP + persistencia; proveedor doble salvo variante Real DEMO explícita</x:v>
      </x:c>
      <x:c r="G1121" s="20" t="str">
        <x:v>Pendiente</x:v>
      </x:c>
      <x:c r="H1121" s="20" t="str"/>
      <x:c r="I1121" s="20" t="str"/>
      <x:c r="J1121" s="20" t="str"/>
      <x:c r="K1121" s="20" t="str"/>
      <x:c r="L1121" s="21" t="str"/>
      <x:c r="M1121" s="22" t="str"/>
      <x:c r="N1121" s="20" t="str"/>
    </x:row>
    <x:row r="1122" ht="48" customHeight="1">
      <x:c r="A1122" s="9" t="str">
        <x:v>QA-INT-076</x:v>
      </x:c>
      <x:c r="B1122" s="9" t="str">
        <x:v>INT</x:v>
      </x:c>
      <x:c r="C1122" s="9" t="str">
        <x:v>Capacidad combinada IVA+ISLR: VES / Crédito sin abono</x:v>
      </x:c>
      <x:c r="D1122" s="9" t="str">
        <x:v>P0</x:v>
      </x:c>
      <x:c r="E1122" s="9" t="str">
        <x:v>Negativa</x:v>
      </x:c>
      <x:c r="F1122" s="9" t="str">
        <x:v>Navegador + HTTP + persistencia; proveedor doble salvo variante Real DEMO explícita</x:v>
      </x:c>
      <x:c r="G1122" s="20" t="str">
        <x:v>Pendiente</x:v>
      </x:c>
      <x:c r="H1122" s="20" t="str"/>
      <x:c r="I1122" s="20" t="str"/>
      <x:c r="J1122" s="20" t="str"/>
      <x:c r="K1122" s="20" t="str"/>
      <x:c r="L1122" s="21" t="str"/>
      <x:c r="M1122" s="22" t="str"/>
      <x:c r="N1122" s="20" t="str"/>
    </x:row>
    <x:row r="1123" ht="48" customHeight="1">
      <x:c r="A1123" s="9" t="str">
        <x:v>QA-INT-077</x:v>
      </x:c>
      <x:c r="B1123" s="9" t="str">
        <x:v>INT</x:v>
      </x:c>
      <x:c r="C1123" s="9" t="str">
        <x:v>Capacidad combinada IVA+ISLR: VES / Crédito con abono</x:v>
      </x:c>
      <x:c r="D1123" s="9" t="str">
        <x:v>P0</x:v>
      </x:c>
      <x:c r="E1123" s="9" t="str">
        <x:v>Negativa</x:v>
      </x:c>
      <x:c r="F1123" s="9" t="str">
        <x:v>Navegador + HTTP + persistencia; proveedor doble salvo variante Real DEMO explícita</x:v>
      </x:c>
      <x:c r="G1123" s="20" t="str">
        <x:v>Pendiente</x:v>
      </x:c>
      <x:c r="H1123" s="20" t="str"/>
      <x:c r="I1123" s="20" t="str"/>
      <x:c r="J1123" s="20" t="str"/>
      <x:c r="K1123" s="20" t="str"/>
      <x:c r="L1123" s="21" t="str"/>
      <x:c r="M1123" s="22" t="str"/>
      <x:c r="N1123" s="20" t="str"/>
    </x:row>
    <x:row r="1124" ht="48" customHeight="1">
      <x:c r="A1124" s="9" t="str">
        <x:v>QA-INT-078</x:v>
      </x:c>
      <x:c r="B1124" s="9" t="str">
        <x:v>INT</x:v>
      </x:c>
      <x:c r="C1124" s="9" t="str">
        <x:v>Capacidad combinada IVA+ISLR: USD / Contado</x:v>
      </x:c>
      <x:c r="D1124" s="9" t="str">
        <x:v>P0</x:v>
      </x:c>
      <x:c r="E1124" s="9" t="str">
        <x:v>Negativa</x:v>
      </x:c>
      <x:c r="F1124" s="9" t="str">
        <x:v>Navegador + HTTP + persistencia; proveedor doble salvo variante Real DEMO explícita</x:v>
      </x:c>
      <x:c r="G1124" s="20" t="str">
        <x:v>Pendiente</x:v>
      </x:c>
      <x:c r="H1124" s="20" t="str"/>
      <x:c r="I1124" s="20" t="str"/>
      <x:c r="J1124" s="20" t="str"/>
      <x:c r="K1124" s="20" t="str"/>
      <x:c r="L1124" s="21" t="str"/>
      <x:c r="M1124" s="22" t="str"/>
      <x:c r="N1124" s="20" t="str"/>
    </x:row>
    <x:row r="1125" ht="48" customHeight="1">
      <x:c r="A1125" s="9" t="str">
        <x:v>QA-INT-079</x:v>
      </x:c>
      <x:c r="B1125" s="9" t="str">
        <x:v>INT</x:v>
      </x:c>
      <x:c r="C1125" s="9" t="str">
        <x:v>Capacidad combinada IVA+ISLR: USD / Crédito sin abono</x:v>
      </x:c>
      <x:c r="D1125" s="9" t="str">
        <x:v>P0</x:v>
      </x:c>
      <x:c r="E1125" s="9" t="str">
        <x:v>Negativa</x:v>
      </x:c>
      <x:c r="F1125" s="9" t="str">
        <x:v>Navegador + HTTP + persistencia; proveedor doble salvo variante Real DEMO explícita</x:v>
      </x:c>
      <x:c r="G1125" s="20" t="str">
        <x:v>Pendiente</x:v>
      </x:c>
      <x:c r="H1125" s="20" t="str"/>
      <x:c r="I1125" s="20" t="str"/>
      <x:c r="J1125" s="20" t="str"/>
      <x:c r="K1125" s="20" t="str"/>
      <x:c r="L1125" s="21" t="str"/>
      <x:c r="M1125" s="22" t="str"/>
      <x:c r="N1125" s="20" t="str"/>
    </x:row>
    <x:row r="1126" ht="48" customHeight="1">
      <x:c r="A1126" s="9" t="str">
        <x:v>QA-INT-080</x:v>
      </x:c>
      <x:c r="B1126" s="9" t="str">
        <x:v>INT</x:v>
      </x:c>
      <x:c r="C1126" s="9" t="str">
        <x:v>Capacidad combinada IVA+ISLR: USD / Crédito con abono</x:v>
      </x:c>
      <x:c r="D1126" s="9" t="str">
        <x:v>P0</x:v>
      </x:c>
      <x:c r="E1126" s="9" t="str">
        <x:v>Negativa</x:v>
      </x:c>
      <x:c r="F1126" s="9" t="str">
        <x:v>Navegador + HTTP + persistencia; proveedor doble salvo variante Real DEMO explícita</x:v>
      </x:c>
      <x:c r="G1126" s="20" t="str">
        <x:v>Pendiente</x:v>
      </x:c>
      <x:c r="H1126" s="20" t="str"/>
      <x:c r="I1126" s="20" t="str"/>
      <x:c r="J1126" s="20" t="str"/>
      <x:c r="K1126" s="20" t="str"/>
      <x:c r="L1126" s="21" t="str"/>
      <x:c r="M1126" s="22" t="str"/>
      <x:c r="N1126" s="20" t="str"/>
    </x:row>
    <x:row r="1127" ht="70" customHeight="1">
      <x:c r="A1127" s="9" t="str">
        <x:v>QA-NHD-001</x:v>
      </x:c>
      <x:c r="B1127" s="9" t="str">
        <x:v>NHD</x:v>
      </x:c>
      <x:c r="C1127" s="9" t="str">
        <x:v>NC 01 Anulación total / VES / propia / R0 Sin régimen / sin cobro propio</x:v>
      </x:c>
      <x:c r="D1127" s="9" t="str">
        <x:v>P0</x:v>
      </x:c>
      <x:c r="E1127" s="9" t="str">
        <x:v>Positiva</x:v>
      </x:c>
      <x:c r="F1127" s="9" t="str">
        <x:v>Navegador + HTTP + persistencia; Real DEMO y doble identificados por separado</x:v>
      </x:c>
      <x:c r="G1127" s="23" t="str">
        <x:v>Pendiente</x:v>
      </x:c>
      <x:c r="H1127" s="23"/>
      <x:c r="I1127" s="23"/>
      <x:c r="J1127" s="23"/>
      <x:c r="K1127" s="23"/>
      <x:c r="L1127" s="24"/>
      <x:c r="M1127" s="23"/>
      <x:c r="N1127" s="23"/>
    </x:row>
    <x:row r="1128" ht="70" customHeight="1">
      <x:c r="A1128" s="9" t="str">
        <x:v>QA-NHD-002</x:v>
      </x:c>
      <x:c r="B1128" s="9" t="str">
        <x:v>NHD</x:v>
      </x:c>
      <x:c r="C1128" s="9" t="str">
        <x:v>NC 01 Anulación total / VES / propia / R1 Zonas económicas especiales / sin cobro propio</x:v>
      </x:c>
      <x:c r="D1128" s="9" t="str">
        <x:v>P0</x:v>
      </x:c>
      <x:c r="E1128" s="9" t="str">
        <x:v>Positiva</x:v>
      </x:c>
      <x:c r="F1128" s="9" t="str">
        <x:v>Navegador + HTTP + persistencia; Real DEMO y doble identificados por separado</x:v>
      </x:c>
      <x:c r="G1128" s="23" t="str">
        <x:v>Pendiente</x:v>
      </x:c>
      <x:c r="H1128" s="23"/>
      <x:c r="I1128" s="23"/>
      <x:c r="J1128" s="23"/>
      <x:c r="K1128" s="23"/>
      <x:c r="L1128" s="24"/>
      <x:c r="M1128" s="23"/>
      <x:c r="N1128" s="23"/>
    </x:row>
    <x:row r="1129" ht="70" customHeight="1">
      <x:c r="A1129" s="9" t="str">
        <x:v>QA-NHD-003</x:v>
      </x:c>
      <x:c r="B1129" s="9" t="str">
        <x:v>NHD</x:v>
      </x:c>
      <x:c r="C1129" s="9" t="str">
        <x:v>NC 01 Anulación total / VES / propia / R2 Zona franca de Paraguaná / sin cobro propio</x:v>
      </x:c>
      <x:c r="D1129" s="9" t="str">
        <x:v>P0</x:v>
      </x:c>
      <x:c r="E1129" s="9" t="str">
        <x:v>Positiva</x:v>
      </x:c>
      <x:c r="F1129" s="9" t="str">
        <x:v>Navegador + HTTP + persistencia; Real DEMO y doble identificados por separado</x:v>
      </x:c>
      <x:c r="G1129" s="23" t="str">
        <x:v>Pendiente</x:v>
      </x:c>
      <x:c r="H1129" s="23"/>
      <x:c r="I1129" s="23"/>
      <x:c r="J1129" s="23"/>
      <x:c r="K1129" s="23"/>
      <x:c r="L1129" s="24"/>
      <x:c r="M1129" s="23"/>
      <x:c r="N1129" s="23"/>
    </x:row>
    <x:row r="1130" ht="70" customHeight="1">
      <x:c r="A1130" s="9" t="str">
        <x:v>QA-NHD-004</x:v>
      </x:c>
      <x:c r="B1130" s="9" t="str">
        <x:v>NHD</x:v>
      </x:c>
      <x:c r="C1130" s="9" t="str">
        <x:v>NC 01 Anulación total / VES / propia / R3 Zona libre de Paraguaná / sin cobro propio</x:v>
      </x:c>
      <x:c r="D1130" s="9" t="str">
        <x:v>P0</x:v>
      </x:c>
      <x:c r="E1130" s="9" t="str">
        <x:v>Positiva</x:v>
      </x:c>
      <x:c r="F1130" s="9" t="str">
        <x:v>Navegador + HTTP + persistencia; Real DEMO y doble identificados por separado</x:v>
      </x:c>
      <x:c r="G1130" s="23" t="str">
        <x:v>Pendiente</x:v>
      </x:c>
      <x:c r="H1130" s="23"/>
      <x:c r="I1130" s="23"/>
      <x:c r="J1130" s="23"/>
      <x:c r="K1130" s="23"/>
      <x:c r="L1130" s="24"/>
      <x:c r="M1130" s="23"/>
      <x:c r="N1130" s="23"/>
    </x:row>
    <x:row r="1131" ht="70" customHeight="1">
      <x:c r="A1131" s="9" t="str">
        <x:v>QA-NHD-005</x:v>
      </x:c>
      <x:c r="B1131" s="9" t="str">
        <x:v>NHD</x:v>
      </x:c>
      <x:c r="C1131" s="9" t="str">
        <x:v>NC 01 Anulación total / VES / propia / R4 Puerto libre Santa Elena de Uairén / sin cobro propio</x:v>
      </x:c>
      <x:c r="D1131" s="9" t="str">
        <x:v>P0</x:v>
      </x:c>
      <x:c r="E1131" s="9" t="str">
        <x:v>Positiva</x:v>
      </x:c>
      <x:c r="F1131" s="9" t="str">
        <x:v>Navegador + HTTP + persistencia; Real DEMO y doble identificados por separado</x:v>
      </x:c>
      <x:c r="G1131" s="23" t="str">
        <x:v>Pendiente</x:v>
      </x:c>
      <x:c r="H1131" s="23"/>
      <x:c r="I1131" s="23"/>
      <x:c r="J1131" s="23"/>
      <x:c r="K1131" s="23"/>
      <x:c r="L1131" s="24"/>
      <x:c r="M1131" s="23"/>
      <x:c r="N1131" s="23"/>
    </x:row>
    <x:row r="1132" ht="70" customHeight="1">
      <x:c r="A1132" s="9" t="str">
        <x:v>QA-NHD-006</x:v>
      </x:c>
      <x:c r="B1132" s="9" t="str">
        <x:v>NHD</x:v>
      </x:c>
      <x:c r="C1132" s="9" t="str">
        <x:v>NC 01 Anulación total / VES / propia / R5 Zona Libre de Mérida / sin cobro propio</x:v>
      </x:c>
      <x:c r="D1132" s="9" t="str">
        <x:v>P0</x:v>
      </x:c>
      <x:c r="E1132" s="9" t="str">
        <x:v>Positiva</x:v>
      </x:c>
      <x:c r="F1132" s="9" t="str">
        <x:v>Navegador + HTTP + persistencia; Real DEMO y doble identificados por separado</x:v>
      </x:c>
      <x:c r="G1132" s="23" t="str">
        <x:v>Pendiente</x:v>
      </x:c>
      <x:c r="H1132" s="23"/>
      <x:c r="I1132" s="23"/>
      <x:c r="J1132" s="23"/>
      <x:c r="K1132" s="23"/>
      <x:c r="L1132" s="24"/>
      <x:c r="M1132" s="23"/>
      <x:c r="N1132" s="23"/>
    </x:row>
    <x:row r="1133" ht="70" customHeight="1">
      <x:c r="A1133" s="9" t="str">
        <x:v>QA-NHD-007</x:v>
      </x:c>
      <x:c r="B1133" s="9" t="str">
        <x:v>NHD</x:v>
      </x:c>
      <x:c r="C1133" s="9" t="str">
        <x:v>NC 01 Anulación total / VES / propia / R6 Puerto libre Estado Nueva Esparta / sin cobro propio</x:v>
      </x:c>
      <x:c r="D1133" s="9" t="str">
        <x:v>P0</x:v>
      </x:c>
      <x:c r="E1133" s="9" t="str">
        <x:v>Positiva</x:v>
      </x:c>
      <x:c r="F1133" s="9" t="str">
        <x:v>Navegador + HTTP + persistencia; Real DEMO y doble identificados por separado</x:v>
      </x:c>
      <x:c r="G1133" s="23" t="str">
        <x:v>Pendiente</x:v>
      </x:c>
      <x:c r="H1133" s="23"/>
      <x:c r="I1133" s="23"/>
      <x:c r="J1133" s="23"/>
      <x:c r="K1133" s="23"/>
      <x:c r="L1133" s="24"/>
      <x:c r="M1133" s="23"/>
      <x:c r="N1133" s="23"/>
    </x:row>
    <x:row r="1134" ht="70" customHeight="1">
      <x:c r="A1134" s="9" t="str">
        <x:v>QA-NHD-008</x:v>
      </x:c>
      <x:c r="B1134" s="9" t="str">
        <x:v>NHD</x:v>
      </x:c>
      <x:c r="C1134" s="9" t="str">
        <x:v>NC 01 Anulación total / VES / propia / R7 Dutty Free / sin cobro propio</x:v>
      </x:c>
      <x:c r="D1134" s="9" t="str">
        <x:v>P0</x:v>
      </x:c>
      <x:c r="E1134" s="9" t="str">
        <x:v>Positiva</x:v>
      </x:c>
      <x:c r="F1134" s="9" t="str">
        <x:v>Navegador + HTTP + persistencia; Real DEMO y doble identificados por separado</x:v>
      </x:c>
      <x:c r="G1134" s="23" t="str">
        <x:v>Pendiente</x:v>
      </x:c>
      <x:c r="H1134" s="23"/>
      <x:c r="I1134" s="23"/>
      <x:c r="J1134" s="23"/>
      <x:c r="K1134" s="23"/>
      <x:c r="L1134" s="24"/>
      <x:c r="M1134" s="23"/>
      <x:c r="N1134" s="23"/>
    </x:row>
    <x:row r="1135" ht="70" customHeight="1">
      <x:c r="A1135" s="9" t="str">
        <x:v>QA-NHD-009</x:v>
      </x:c>
      <x:c r="B1135" s="9" t="str">
        <x:v>NHD</x:v>
      </x:c>
      <x:c r="C1135" s="9" t="str">
        <x:v>NC 01 Anulación total / VES / terceros / R0 Sin régimen / sin cobro propio</x:v>
      </x:c>
      <x:c r="D1135" s="9" t="str">
        <x:v>P0</x:v>
      </x:c>
      <x:c r="E1135" s="9" t="str">
        <x:v>Positiva</x:v>
      </x:c>
      <x:c r="F1135" s="9" t="str">
        <x:v>Navegador + HTTP + persistencia; Real DEMO y doble identificados por separado</x:v>
      </x:c>
      <x:c r="G1135" s="23" t="str">
        <x:v>Pendiente</x:v>
      </x:c>
      <x:c r="H1135" s="23"/>
      <x:c r="I1135" s="23"/>
      <x:c r="J1135" s="23"/>
      <x:c r="K1135" s="23"/>
      <x:c r="L1135" s="24"/>
      <x:c r="M1135" s="23"/>
      <x:c r="N1135" s="23"/>
    </x:row>
    <x:row r="1136" ht="70" customHeight="1">
      <x:c r="A1136" s="9" t="str">
        <x:v>QA-NHD-010</x:v>
      </x:c>
      <x:c r="B1136" s="9" t="str">
        <x:v>NHD</x:v>
      </x:c>
      <x:c r="C1136" s="9" t="str">
        <x:v>NC 01 Anulación total / VES / terceros / R1 Zonas económicas especiales / sin cobro propio</x:v>
      </x:c>
      <x:c r="D1136" s="9" t="str">
        <x:v>P0</x:v>
      </x:c>
      <x:c r="E1136" s="9" t="str">
        <x:v>Positiva</x:v>
      </x:c>
      <x:c r="F1136" s="9" t="str">
        <x:v>Navegador + HTTP + persistencia; Real DEMO y doble identificados por separado</x:v>
      </x:c>
      <x:c r="G1136" s="23" t="str">
        <x:v>Pendiente</x:v>
      </x:c>
      <x:c r="H1136" s="23"/>
      <x:c r="I1136" s="23"/>
      <x:c r="J1136" s="23"/>
      <x:c r="K1136" s="23"/>
      <x:c r="L1136" s="24"/>
      <x:c r="M1136" s="23"/>
      <x:c r="N1136" s="23"/>
    </x:row>
    <x:row r="1137" ht="70" customHeight="1">
      <x:c r="A1137" s="9" t="str">
        <x:v>QA-NHD-011</x:v>
      </x:c>
      <x:c r="B1137" s="9" t="str">
        <x:v>NHD</x:v>
      </x:c>
      <x:c r="C1137" s="9" t="str">
        <x:v>NC 01 Anulación total / VES / terceros / R2 Zona franca de Paraguaná / sin cobro propio</x:v>
      </x:c>
      <x:c r="D1137" s="9" t="str">
        <x:v>P0</x:v>
      </x:c>
      <x:c r="E1137" s="9" t="str">
        <x:v>Positiva</x:v>
      </x:c>
      <x:c r="F1137" s="9" t="str">
        <x:v>Navegador + HTTP + persistencia; Real DEMO y doble identificados por separado</x:v>
      </x:c>
      <x:c r="G1137" s="23" t="str">
        <x:v>Pendiente</x:v>
      </x:c>
      <x:c r="H1137" s="23"/>
      <x:c r="I1137" s="23"/>
      <x:c r="J1137" s="23"/>
      <x:c r="K1137" s="23"/>
      <x:c r="L1137" s="24"/>
      <x:c r="M1137" s="23"/>
      <x:c r="N1137" s="23"/>
    </x:row>
    <x:row r="1138" ht="70" customHeight="1">
      <x:c r="A1138" s="9" t="str">
        <x:v>QA-NHD-012</x:v>
      </x:c>
      <x:c r="B1138" s="9" t="str">
        <x:v>NHD</x:v>
      </x:c>
      <x:c r="C1138" s="9" t="str">
        <x:v>NC 01 Anulación total / VES / terceros / R3 Zona libre de Paraguaná / sin cobro propio</x:v>
      </x:c>
      <x:c r="D1138" s="9" t="str">
        <x:v>P0</x:v>
      </x:c>
      <x:c r="E1138" s="9" t="str">
        <x:v>Positiva</x:v>
      </x:c>
      <x:c r="F1138" s="9" t="str">
        <x:v>Navegador + HTTP + persistencia; Real DEMO y doble identificados por separado</x:v>
      </x:c>
      <x:c r="G1138" s="23" t="str">
        <x:v>Pendiente</x:v>
      </x:c>
      <x:c r="H1138" s="23"/>
      <x:c r="I1138" s="23"/>
      <x:c r="J1138" s="23"/>
      <x:c r="K1138" s="23"/>
      <x:c r="L1138" s="24"/>
      <x:c r="M1138" s="23"/>
      <x:c r="N1138" s="23"/>
    </x:row>
    <x:row r="1139" ht="70" customHeight="1">
      <x:c r="A1139" s="9" t="str">
        <x:v>QA-NHD-013</x:v>
      </x:c>
      <x:c r="B1139" s="9" t="str">
        <x:v>NHD</x:v>
      </x:c>
      <x:c r="C1139" s="9" t="str">
        <x:v>NC 01 Anulación total / VES / terceros / R4 Puerto libre Santa Elena de Uairén / sin cobro propio</x:v>
      </x:c>
      <x:c r="D1139" s="9" t="str">
        <x:v>P0</x:v>
      </x:c>
      <x:c r="E1139" s="9" t="str">
        <x:v>Positiva</x:v>
      </x:c>
      <x:c r="F1139" s="9" t="str">
        <x:v>Navegador + HTTP + persistencia; Real DEMO y doble identificados por separado</x:v>
      </x:c>
      <x:c r="G1139" s="23" t="str">
        <x:v>Pendiente</x:v>
      </x:c>
      <x:c r="H1139" s="23"/>
      <x:c r="I1139" s="23"/>
      <x:c r="J1139" s="23"/>
      <x:c r="K1139" s="23"/>
      <x:c r="L1139" s="24"/>
      <x:c r="M1139" s="23"/>
      <x:c r="N1139" s="23"/>
    </x:row>
    <x:row r="1140" ht="70" customHeight="1">
      <x:c r="A1140" s="9" t="str">
        <x:v>QA-NHD-014</x:v>
      </x:c>
      <x:c r="B1140" s="9" t="str">
        <x:v>NHD</x:v>
      </x:c>
      <x:c r="C1140" s="9" t="str">
        <x:v>NC 01 Anulación total / VES / terceros / R5 Zona Libre de Mérida / sin cobro propio</x:v>
      </x:c>
      <x:c r="D1140" s="9" t="str">
        <x:v>P0</x:v>
      </x:c>
      <x:c r="E1140" s="9" t="str">
        <x:v>Positiva</x:v>
      </x:c>
      <x:c r="F1140" s="9" t="str">
        <x:v>Navegador + HTTP + persistencia; Real DEMO y doble identificados por separado</x:v>
      </x:c>
      <x:c r="G1140" s="23" t="str">
        <x:v>Pendiente</x:v>
      </x:c>
      <x:c r="H1140" s="23"/>
      <x:c r="I1140" s="23"/>
      <x:c r="J1140" s="23"/>
      <x:c r="K1140" s="23"/>
      <x:c r="L1140" s="24"/>
      <x:c r="M1140" s="23"/>
      <x:c r="N1140" s="23"/>
    </x:row>
    <x:row r="1141" ht="70" customHeight="1">
      <x:c r="A1141" s="9" t="str">
        <x:v>QA-NHD-015</x:v>
      </x:c>
      <x:c r="B1141" s="9" t="str">
        <x:v>NHD</x:v>
      </x:c>
      <x:c r="C1141" s="9" t="str">
        <x:v>NC 01 Anulación total / VES / terceros / R6 Puerto libre Estado Nueva Esparta / sin cobro propio</x:v>
      </x:c>
      <x:c r="D1141" s="9" t="str">
        <x:v>P0</x:v>
      </x:c>
      <x:c r="E1141" s="9" t="str">
        <x:v>Positiva</x:v>
      </x:c>
      <x:c r="F1141" s="9" t="str">
        <x:v>Navegador + HTTP + persistencia; Real DEMO y doble identificados por separado</x:v>
      </x:c>
      <x:c r="G1141" s="23" t="str">
        <x:v>Pendiente</x:v>
      </x:c>
      <x:c r="H1141" s="23"/>
      <x:c r="I1141" s="23"/>
      <x:c r="J1141" s="23"/>
      <x:c r="K1141" s="23"/>
      <x:c r="L1141" s="24"/>
      <x:c r="M1141" s="23"/>
      <x:c r="N1141" s="23"/>
    </x:row>
    <x:row r="1142" ht="70" customHeight="1">
      <x:c r="A1142" s="9" t="str">
        <x:v>QA-NHD-016</x:v>
      </x:c>
      <x:c r="B1142" s="9" t="str">
        <x:v>NHD</x:v>
      </x:c>
      <x:c r="C1142" s="9" t="str">
        <x:v>NC 01 Anulación total / VES / terceros / R7 Dutty Free / sin cobro propio</x:v>
      </x:c>
      <x:c r="D1142" s="9" t="str">
        <x:v>P0</x:v>
      </x:c>
      <x:c r="E1142" s="9" t="str">
        <x:v>Positiva</x:v>
      </x:c>
      <x:c r="F1142" s="9" t="str">
        <x:v>Navegador + HTTP + persistencia; Real DEMO y doble identificados por separado</x:v>
      </x:c>
      <x:c r="G1142" s="23" t="str">
        <x:v>Pendiente</x:v>
      </x:c>
      <x:c r="H1142" s="23"/>
      <x:c r="I1142" s="23"/>
      <x:c r="J1142" s="23"/>
      <x:c r="K1142" s="23"/>
      <x:c r="L1142" s="24"/>
      <x:c r="M1142" s="23"/>
      <x:c r="N1142" s="23"/>
    </x:row>
    <x:row r="1143" ht="70" customHeight="1">
      <x:c r="A1143" s="9" t="str">
        <x:v>QA-NHD-017</x:v>
      </x:c>
      <x:c r="B1143" s="9" t="str">
        <x:v>NHD</x:v>
      </x:c>
      <x:c r="C1143" s="9" t="str">
        <x:v>NC 01 Anulación total / USD / propia / R0 Sin régimen / sin cobro propio</x:v>
      </x:c>
      <x:c r="D1143" s="9" t="str">
        <x:v>P0</x:v>
      </x:c>
      <x:c r="E1143" s="9" t="str">
        <x:v>Positiva</x:v>
      </x:c>
      <x:c r="F1143" s="9" t="str">
        <x:v>Navegador + HTTP + persistencia; Real DEMO y doble identificados por separado</x:v>
      </x:c>
      <x:c r="G1143" s="23" t="str">
        <x:v>Pendiente</x:v>
      </x:c>
      <x:c r="H1143" s="23"/>
      <x:c r="I1143" s="23"/>
      <x:c r="J1143" s="23"/>
      <x:c r="K1143" s="23"/>
      <x:c r="L1143" s="24"/>
      <x:c r="M1143" s="23"/>
      <x:c r="N1143" s="23"/>
    </x:row>
    <x:row r="1144" ht="70" customHeight="1">
      <x:c r="A1144" s="9" t="str">
        <x:v>QA-NHD-018</x:v>
      </x:c>
      <x:c r="B1144" s="9" t="str">
        <x:v>NHD</x:v>
      </x:c>
      <x:c r="C1144" s="9" t="str">
        <x:v>NC 01 Anulación total / USD / propia / R1 Zonas económicas especiales / sin cobro propio</x:v>
      </x:c>
      <x:c r="D1144" s="9" t="str">
        <x:v>P0</x:v>
      </x:c>
      <x:c r="E1144" s="9" t="str">
        <x:v>Positiva</x:v>
      </x:c>
      <x:c r="F1144" s="9" t="str">
        <x:v>Navegador + HTTP + persistencia; Real DEMO y doble identificados por separado</x:v>
      </x:c>
      <x:c r="G1144" s="23" t="str">
        <x:v>Pendiente</x:v>
      </x:c>
      <x:c r="H1144" s="23"/>
      <x:c r="I1144" s="23"/>
      <x:c r="J1144" s="23"/>
      <x:c r="K1144" s="23"/>
      <x:c r="L1144" s="24"/>
      <x:c r="M1144" s="23"/>
      <x:c r="N1144" s="23"/>
    </x:row>
    <x:row r="1145" ht="70" customHeight="1">
      <x:c r="A1145" s="9" t="str">
        <x:v>QA-NHD-019</x:v>
      </x:c>
      <x:c r="B1145" s="9" t="str">
        <x:v>NHD</x:v>
      </x:c>
      <x:c r="C1145" s="9" t="str">
        <x:v>NC 01 Anulación total / USD / propia / R2 Zona franca de Paraguaná / sin cobro propio</x:v>
      </x:c>
      <x:c r="D1145" s="9" t="str">
        <x:v>P0</x:v>
      </x:c>
      <x:c r="E1145" s="9" t="str">
        <x:v>Positiva</x:v>
      </x:c>
      <x:c r="F1145" s="9" t="str">
        <x:v>Navegador + HTTP + persistencia; Real DEMO y doble identificados por separado</x:v>
      </x:c>
      <x:c r="G1145" s="23" t="str">
        <x:v>Pendiente</x:v>
      </x:c>
      <x:c r="H1145" s="23"/>
      <x:c r="I1145" s="23"/>
      <x:c r="J1145" s="23"/>
      <x:c r="K1145" s="23"/>
      <x:c r="L1145" s="24"/>
      <x:c r="M1145" s="23"/>
      <x:c r="N1145" s="23"/>
    </x:row>
    <x:row r="1146" ht="70" customHeight="1">
      <x:c r="A1146" s="9" t="str">
        <x:v>QA-NHD-020</x:v>
      </x:c>
      <x:c r="B1146" s="9" t="str">
        <x:v>NHD</x:v>
      </x:c>
      <x:c r="C1146" s="9" t="str">
        <x:v>NC 01 Anulación total / USD / propia / R3 Zona libre de Paraguaná / sin cobro propio</x:v>
      </x:c>
      <x:c r="D1146" s="9" t="str">
        <x:v>P0</x:v>
      </x:c>
      <x:c r="E1146" s="9" t="str">
        <x:v>Positiva</x:v>
      </x:c>
      <x:c r="F1146" s="9" t="str">
        <x:v>Navegador + HTTP + persistencia; Real DEMO y doble identificados por separado</x:v>
      </x:c>
      <x:c r="G1146" s="23" t="str">
        <x:v>Pendiente</x:v>
      </x:c>
      <x:c r="H1146" s="23"/>
      <x:c r="I1146" s="23"/>
      <x:c r="J1146" s="23"/>
      <x:c r="K1146" s="23"/>
      <x:c r="L1146" s="24"/>
      <x:c r="M1146" s="23"/>
      <x:c r="N1146" s="23"/>
    </x:row>
    <x:row r="1147" ht="70" customHeight="1">
      <x:c r="A1147" s="9" t="str">
        <x:v>QA-NHD-021</x:v>
      </x:c>
      <x:c r="B1147" s="9" t="str">
        <x:v>NHD</x:v>
      </x:c>
      <x:c r="C1147" s="9" t="str">
        <x:v>NC 01 Anulación total / USD / propia / R4 Puerto libre Santa Elena de Uairén / sin cobro propio</x:v>
      </x:c>
      <x:c r="D1147" s="9" t="str">
        <x:v>P0</x:v>
      </x:c>
      <x:c r="E1147" s="9" t="str">
        <x:v>Positiva</x:v>
      </x:c>
      <x:c r="F1147" s="9" t="str">
        <x:v>Navegador + HTTP + persistencia; Real DEMO y doble identificados por separado</x:v>
      </x:c>
      <x:c r="G1147" s="23" t="str">
        <x:v>Pendiente</x:v>
      </x:c>
      <x:c r="H1147" s="23"/>
      <x:c r="I1147" s="23"/>
      <x:c r="J1147" s="23"/>
      <x:c r="K1147" s="23"/>
      <x:c r="L1147" s="24"/>
      <x:c r="M1147" s="23"/>
      <x:c r="N1147" s="23"/>
    </x:row>
    <x:row r="1148" ht="70" customHeight="1">
      <x:c r="A1148" s="9" t="str">
        <x:v>QA-NHD-022</x:v>
      </x:c>
      <x:c r="B1148" s="9" t="str">
        <x:v>NHD</x:v>
      </x:c>
      <x:c r="C1148" s="9" t="str">
        <x:v>NC 01 Anulación total / USD / propia / R5 Zona Libre de Mérida / sin cobro propio</x:v>
      </x:c>
      <x:c r="D1148" s="9" t="str">
        <x:v>P0</x:v>
      </x:c>
      <x:c r="E1148" s="9" t="str">
        <x:v>Positiva</x:v>
      </x:c>
      <x:c r="F1148" s="9" t="str">
        <x:v>Navegador + HTTP + persistencia; Real DEMO y doble identificados por separado</x:v>
      </x:c>
      <x:c r="G1148" s="23" t="str">
        <x:v>Pendiente</x:v>
      </x:c>
      <x:c r="H1148" s="23"/>
      <x:c r="I1148" s="23"/>
      <x:c r="J1148" s="23"/>
      <x:c r="K1148" s="23"/>
      <x:c r="L1148" s="24"/>
      <x:c r="M1148" s="23"/>
      <x:c r="N1148" s="23"/>
    </x:row>
    <x:row r="1149" ht="70" customHeight="1">
      <x:c r="A1149" s="9" t="str">
        <x:v>QA-NHD-023</x:v>
      </x:c>
      <x:c r="B1149" s="9" t="str">
        <x:v>NHD</x:v>
      </x:c>
      <x:c r="C1149" s="9" t="str">
        <x:v>NC 01 Anulación total / USD / propia / R6 Puerto libre Estado Nueva Esparta / sin cobro propio</x:v>
      </x:c>
      <x:c r="D1149" s="9" t="str">
        <x:v>P0</x:v>
      </x:c>
      <x:c r="E1149" s="9" t="str">
        <x:v>Positiva</x:v>
      </x:c>
      <x:c r="F1149" s="9" t="str">
        <x:v>Navegador + HTTP + persistencia; Real DEMO y doble identificados por separado</x:v>
      </x:c>
      <x:c r="G1149" s="23" t="str">
        <x:v>Pendiente</x:v>
      </x:c>
      <x:c r="H1149" s="23"/>
      <x:c r="I1149" s="23"/>
      <x:c r="J1149" s="23"/>
      <x:c r="K1149" s="23"/>
      <x:c r="L1149" s="24"/>
      <x:c r="M1149" s="23"/>
      <x:c r="N1149" s="23"/>
    </x:row>
    <x:row r="1150" ht="70" customHeight="1">
      <x:c r="A1150" s="9" t="str">
        <x:v>QA-NHD-024</x:v>
      </x:c>
      <x:c r="B1150" s="9" t="str">
        <x:v>NHD</x:v>
      </x:c>
      <x:c r="C1150" s="9" t="str">
        <x:v>NC 01 Anulación total / USD / propia / R7 Dutty Free / sin cobro propio</x:v>
      </x:c>
      <x:c r="D1150" s="9" t="str">
        <x:v>P0</x:v>
      </x:c>
      <x:c r="E1150" s="9" t="str">
        <x:v>Positiva</x:v>
      </x:c>
      <x:c r="F1150" s="9" t="str">
        <x:v>Navegador + HTTP + persistencia; Real DEMO y doble identificados por separado</x:v>
      </x:c>
      <x:c r="G1150" s="23" t="str">
        <x:v>Pendiente</x:v>
      </x:c>
      <x:c r="H1150" s="23"/>
      <x:c r="I1150" s="23"/>
      <x:c r="J1150" s="23"/>
      <x:c r="K1150" s="23"/>
      <x:c r="L1150" s="24"/>
      <x:c r="M1150" s="23"/>
      <x:c r="N1150" s="23"/>
    </x:row>
    <x:row r="1151" ht="70" customHeight="1">
      <x:c r="A1151" s="9" t="str">
        <x:v>QA-NHD-025</x:v>
      </x:c>
      <x:c r="B1151" s="9" t="str">
        <x:v>NHD</x:v>
      </x:c>
      <x:c r="C1151" s="9" t="str">
        <x:v>NC 01 Anulación total / USD / terceros / R0 Sin régimen / sin cobro propio</x:v>
      </x:c>
      <x:c r="D1151" s="9" t="str">
        <x:v>P0</x:v>
      </x:c>
      <x:c r="E1151" s="9" t="str">
        <x:v>Positiva</x:v>
      </x:c>
      <x:c r="F1151" s="9" t="str">
        <x:v>Navegador + HTTP + persistencia; Real DEMO y doble identificados por separado</x:v>
      </x:c>
      <x:c r="G1151" s="23" t="str">
        <x:v>Pendiente</x:v>
      </x:c>
      <x:c r="H1151" s="23"/>
      <x:c r="I1151" s="23"/>
      <x:c r="J1151" s="23"/>
      <x:c r="K1151" s="23"/>
      <x:c r="L1151" s="24"/>
      <x:c r="M1151" s="23"/>
      <x:c r="N1151" s="23"/>
    </x:row>
    <x:row r="1152" ht="70" customHeight="1">
      <x:c r="A1152" s="9" t="str">
        <x:v>QA-NHD-026</x:v>
      </x:c>
      <x:c r="B1152" s="9" t="str">
        <x:v>NHD</x:v>
      </x:c>
      <x:c r="C1152" s="9" t="str">
        <x:v>NC 01 Anulación total / USD / terceros / R1 Zonas económicas especiales / sin cobro propio</x:v>
      </x:c>
      <x:c r="D1152" s="9" t="str">
        <x:v>P0</x:v>
      </x:c>
      <x:c r="E1152" s="9" t="str">
        <x:v>Positiva</x:v>
      </x:c>
      <x:c r="F1152" s="9" t="str">
        <x:v>Navegador + HTTP + persistencia; Real DEMO y doble identificados por separado</x:v>
      </x:c>
      <x:c r="G1152" s="23" t="str">
        <x:v>Pendiente</x:v>
      </x:c>
      <x:c r="H1152" s="23"/>
      <x:c r="I1152" s="23"/>
      <x:c r="J1152" s="23"/>
      <x:c r="K1152" s="23"/>
      <x:c r="L1152" s="24"/>
      <x:c r="M1152" s="23"/>
      <x:c r="N1152" s="23"/>
    </x:row>
    <x:row r="1153" ht="70" customHeight="1">
      <x:c r="A1153" s="9" t="str">
        <x:v>QA-NHD-027</x:v>
      </x:c>
      <x:c r="B1153" s="9" t="str">
        <x:v>NHD</x:v>
      </x:c>
      <x:c r="C1153" s="9" t="str">
        <x:v>NC 01 Anulación total / USD / terceros / R2 Zona franca de Paraguaná / sin cobro propio</x:v>
      </x:c>
      <x:c r="D1153" s="9" t="str">
        <x:v>P0</x:v>
      </x:c>
      <x:c r="E1153" s="9" t="str">
        <x:v>Positiva</x:v>
      </x:c>
      <x:c r="F1153" s="9" t="str">
        <x:v>Navegador + HTTP + persistencia; Real DEMO y doble identificados por separado</x:v>
      </x:c>
      <x:c r="G1153" s="23" t="str">
        <x:v>Pendiente</x:v>
      </x:c>
      <x:c r="H1153" s="23"/>
      <x:c r="I1153" s="23"/>
      <x:c r="J1153" s="23"/>
      <x:c r="K1153" s="23"/>
      <x:c r="L1153" s="24"/>
      <x:c r="M1153" s="23"/>
      <x:c r="N1153" s="23"/>
    </x:row>
    <x:row r="1154" ht="70" customHeight="1">
      <x:c r="A1154" s="9" t="str">
        <x:v>QA-NHD-028</x:v>
      </x:c>
      <x:c r="B1154" s="9" t="str">
        <x:v>NHD</x:v>
      </x:c>
      <x:c r="C1154" s="9" t="str">
        <x:v>NC 01 Anulación total / USD / terceros / R3 Zona libre de Paraguaná / sin cobro propio</x:v>
      </x:c>
      <x:c r="D1154" s="9" t="str">
        <x:v>P0</x:v>
      </x:c>
      <x:c r="E1154" s="9" t="str">
        <x:v>Positiva</x:v>
      </x:c>
      <x:c r="F1154" s="9" t="str">
        <x:v>Navegador + HTTP + persistencia; Real DEMO y doble identificados por separado</x:v>
      </x:c>
      <x:c r="G1154" s="23" t="str">
        <x:v>Pendiente</x:v>
      </x:c>
      <x:c r="H1154" s="23"/>
      <x:c r="I1154" s="23"/>
      <x:c r="J1154" s="23"/>
      <x:c r="K1154" s="23"/>
      <x:c r="L1154" s="24"/>
      <x:c r="M1154" s="23"/>
      <x:c r="N1154" s="23"/>
    </x:row>
    <x:row r="1155" ht="70" customHeight="1">
      <x:c r="A1155" s="9" t="str">
        <x:v>QA-NHD-029</x:v>
      </x:c>
      <x:c r="B1155" s="9" t="str">
        <x:v>NHD</x:v>
      </x:c>
      <x:c r="C1155" s="9" t="str">
        <x:v>NC 01 Anulación total / USD / terceros / R4 Puerto libre Santa Elena de Uairén / sin cobro propio</x:v>
      </x:c>
      <x:c r="D1155" s="9" t="str">
        <x:v>P0</x:v>
      </x:c>
      <x:c r="E1155" s="9" t="str">
        <x:v>Positiva</x:v>
      </x:c>
      <x:c r="F1155" s="9" t="str">
        <x:v>Navegador + HTTP + persistencia; Real DEMO y doble identificados por separado</x:v>
      </x:c>
      <x:c r="G1155" s="23" t="str">
        <x:v>Pendiente</x:v>
      </x:c>
      <x:c r="H1155" s="23"/>
      <x:c r="I1155" s="23"/>
      <x:c r="J1155" s="23"/>
      <x:c r="K1155" s="23"/>
      <x:c r="L1155" s="24"/>
      <x:c r="M1155" s="23"/>
      <x:c r="N1155" s="23"/>
    </x:row>
    <x:row r="1156" ht="70" customHeight="1">
      <x:c r="A1156" s="9" t="str">
        <x:v>QA-NHD-030</x:v>
      </x:c>
      <x:c r="B1156" s="9" t="str">
        <x:v>NHD</x:v>
      </x:c>
      <x:c r="C1156" s="9" t="str">
        <x:v>NC 01 Anulación total / USD / terceros / R5 Zona Libre de Mérida / sin cobro propio</x:v>
      </x:c>
      <x:c r="D1156" s="9" t="str">
        <x:v>P0</x:v>
      </x:c>
      <x:c r="E1156" s="9" t="str">
        <x:v>Positiva</x:v>
      </x:c>
      <x:c r="F1156" s="9" t="str">
        <x:v>Navegador + HTTP + persistencia; Real DEMO y doble identificados por separado</x:v>
      </x:c>
      <x:c r="G1156" s="23" t="str">
        <x:v>Pendiente</x:v>
      </x:c>
      <x:c r="H1156" s="23"/>
      <x:c r="I1156" s="23"/>
      <x:c r="J1156" s="23"/>
      <x:c r="K1156" s="23"/>
      <x:c r="L1156" s="24"/>
      <x:c r="M1156" s="23"/>
      <x:c r="N1156" s="23"/>
    </x:row>
    <x:row r="1157" ht="70" customHeight="1">
      <x:c r="A1157" s="9" t="str">
        <x:v>QA-NHD-031</x:v>
      </x:c>
      <x:c r="B1157" s="9" t="str">
        <x:v>NHD</x:v>
      </x:c>
      <x:c r="C1157" s="9" t="str">
        <x:v>NC 01 Anulación total / USD / terceros / R6 Puerto libre Estado Nueva Esparta / sin cobro propio</x:v>
      </x:c>
      <x:c r="D1157" s="9" t="str">
        <x:v>P0</x:v>
      </x:c>
      <x:c r="E1157" s="9" t="str">
        <x:v>Positiva</x:v>
      </x:c>
      <x:c r="F1157" s="9" t="str">
        <x:v>Navegador + HTTP + persistencia; Real DEMO y doble identificados por separado</x:v>
      </x:c>
      <x:c r="G1157" s="23" t="str">
        <x:v>Pendiente</x:v>
      </x:c>
      <x:c r="H1157" s="23"/>
      <x:c r="I1157" s="23"/>
      <x:c r="J1157" s="23"/>
      <x:c r="K1157" s="23"/>
      <x:c r="L1157" s="24"/>
      <x:c r="M1157" s="23"/>
      <x:c r="N1157" s="23"/>
    </x:row>
    <x:row r="1158" ht="70" customHeight="1">
      <x:c r="A1158" s="9" t="str">
        <x:v>QA-NHD-032</x:v>
      </x:c>
      <x:c r="B1158" s="9" t="str">
        <x:v>NHD</x:v>
      </x:c>
      <x:c r="C1158" s="9" t="str">
        <x:v>NC 01 Anulación total / USD / terceros / R7 Dutty Free / sin cobro propio</x:v>
      </x:c>
      <x:c r="D1158" s="9" t="str">
        <x:v>P0</x:v>
      </x:c>
      <x:c r="E1158" s="9" t="str">
        <x:v>Positiva</x:v>
      </x:c>
      <x:c r="F1158" s="9" t="str">
        <x:v>Navegador + HTTP + persistencia; Real DEMO y doble identificados por separado</x:v>
      </x:c>
      <x:c r="G1158" s="23" t="str">
        <x:v>Pendiente</x:v>
      </x:c>
      <x:c r="H1158" s="23"/>
      <x:c r="I1158" s="23"/>
      <x:c r="J1158" s="23"/>
      <x:c r="K1158" s="23"/>
      <x:c r="L1158" s="24"/>
      <x:c r="M1158" s="23"/>
      <x:c r="N1158" s="23"/>
    </x:row>
    <x:row r="1159" ht="70" customHeight="1">
      <x:c r="A1159" s="9" t="str">
        <x:v>QA-NHD-033</x:v>
      </x:c>
      <x:c r="B1159" s="9" t="str">
        <x:v>NHD</x:v>
      </x:c>
      <x:c r="C1159" s="9" t="str">
        <x:v>NC 07 Devolución parcial / VES / propia / R0 Sin régimen / sin cobro propio</x:v>
      </x:c>
      <x:c r="D1159" s="9" t="str">
        <x:v>P0</x:v>
      </x:c>
      <x:c r="E1159" s="9" t="str">
        <x:v>Positiva</x:v>
      </x:c>
      <x:c r="F1159" s="9" t="str">
        <x:v>Navegador + HTTP + persistencia; Real DEMO y doble identificados por separado</x:v>
      </x:c>
      <x:c r="G1159" s="23" t="str">
        <x:v>Pendiente</x:v>
      </x:c>
      <x:c r="H1159" s="23"/>
      <x:c r="I1159" s="23"/>
      <x:c r="J1159" s="23"/>
      <x:c r="K1159" s="23"/>
      <x:c r="L1159" s="24"/>
      <x:c r="M1159" s="23"/>
      <x:c r="N1159" s="23"/>
    </x:row>
    <x:row r="1160" ht="70" customHeight="1">
      <x:c r="A1160" s="9" t="str">
        <x:v>QA-NHD-034</x:v>
      </x:c>
      <x:c r="B1160" s="9" t="str">
        <x:v>NHD</x:v>
      </x:c>
      <x:c r="C1160" s="9" t="str">
        <x:v>NC 07 Devolución parcial / VES / propia / R1 Zonas económicas especiales / sin cobro propio</x:v>
      </x:c>
      <x:c r="D1160" s="9" t="str">
        <x:v>P0</x:v>
      </x:c>
      <x:c r="E1160" s="9" t="str">
        <x:v>Positiva</x:v>
      </x:c>
      <x:c r="F1160" s="9" t="str">
        <x:v>Navegador + HTTP + persistencia; Real DEMO y doble identificados por separado</x:v>
      </x:c>
      <x:c r="G1160" s="23" t="str">
        <x:v>Pendiente</x:v>
      </x:c>
      <x:c r="H1160" s="23"/>
      <x:c r="I1160" s="23"/>
      <x:c r="J1160" s="23"/>
      <x:c r="K1160" s="23"/>
      <x:c r="L1160" s="24"/>
      <x:c r="M1160" s="23"/>
      <x:c r="N1160" s="23"/>
    </x:row>
    <x:row r="1161" ht="70" customHeight="1">
      <x:c r="A1161" s="9" t="str">
        <x:v>QA-NHD-035</x:v>
      </x:c>
      <x:c r="B1161" s="9" t="str">
        <x:v>NHD</x:v>
      </x:c>
      <x:c r="C1161" s="9" t="str">
        <x:v>NC 07 Devolución parcial / VES / propia / R2 Zona franca de Paraguaná / sin cobro propio</x:v>
      </x:c>
      <x:c r="D1161" s="9" t="str">
        <x:v>P0</x:v>
      </x:c>
      <x:c r="E1161" s="9" t="str">
        <x:v>Positiva</x:v>
      </x:c>
      <x:c r="F1161" s="9" t="str">
        <x:v>Navegador + HTTP + persistencia; Real DEMO y doble identificados por separado</x:v>
      </x:c>
      <x:c r="G1161" s="23" t="str">
        <x:v>Pendiente</x:v>
      </x:c>
      <x:c r="H1161" s="23"/>
      <x:c r="I1161" s="23"/>
      <x:c r="J1161" s="23"/>
      <x:c r="K1161" s="23"/>
      <x:c r="L1161" s="24"/>
      <x:c r="M1161" s="23"/>
      <x:c r="N1161" s="23"/>
    </x:row>
    <x:row r="1162" ht="70" customHeight="1">
      <x:c r="A1162" s="9" t="str">
        <x:v>QA-NHD-036</x:v>
      </x:c>
      <x:c r="B1162" s="9" t="str">
        <x:v>NHD</x:v>
      </x:c>
      <x:c r="C1162" s="9" t="str">
        <x:v>NC 07 Devolución parcial / VES / propia / R3 Zona libre de Paraguaná / sin cobro propio</x:v>
      </x:c>
      <x:c r="D1162" s="9" t="str">
        <x:v>P0</x:v>
      </x:c>
      <x:c r="E1162" s="9" t="str">
        <x:v>Positiva</x:v>
      </x:c>
      <x:c r="F1162" s="9" t="str">
        <x:v>Navegador + HTTP + persistencia; Real DEMO y doble identificados por separado</x:v>
      </x:c>
      <x:c r="G1162" s="23" t="str">
        <x:v>Pendiente</x:v>
      </x:c>
      <x:c r="H1162" s="23"/>
      <x:c r="I1162" s="23"/>
      <x:c r="J1162" s="23"/>
      <x:c r="K1162" s="23"/>
      <x:c r="L1162" s="24"/>
      <x:c r="M1162" s="23"/>
      <x:c r="N1162" s="23"/>
    </x:row>
    <x:row r="1163" ht="70" customHeight="1">
      <x:c r="A1163" s="9" t="str">
        <x:v>QA-NHD-037</x:v>
      </x:c>
      <x:c r="B1163" s="9" t="str">
        <x:v>NHD</x:v>
      </x:c>
      <x:c r="C1163" s="9" t="str">
        <x:v>NC 07 Devolución parcial / VES / propia / R4 Puerto libre Santa Elena de Uairén / sin cobro propio</x:v>
      </x:c>
      <x:c r="D1163" s="9" t="str">
        <x:v>P0</x:v>
      </x:c>
      <x:c r="E1163" s="9" t="str">
        <x:v>Positiva</x:v>
      </x:c>
      <x:c r="F1163" s="9" t="str">
        <x:v>Navegador + HTTP + persistencia; Real DEMO y doble identificados por separado</x:v>
      </x:c>
      <x:c r="G1163" s="23" t="str">
        <x:v>Pendiente</x:v>
      </x:c>
      <x:c r="H1163" s="23"/>
      <x:c r="I1163" s="23"/>
      <x:c r="J1163" s="23"/>
      <x:c r="K1163" s="23"/>
      <x:c r="L1163" s="24"/>
      <x:c r="M1163" s="23"/>
      <x:c r="N1163" s="23"/>
    </x:row>
    <x:row r="1164" ht="70" customHeight="1">
      <x:c r="A1164" s="9" t="str">
        <x:v>QA-NHD-038</x:v>
      </x:c>
      <x:c r="B1164" s="9" t="str">
        <x:v>NHD</x:v>
      </x:c>
      <x:c r="C1164" s="9" t="str">
        <x:v>NC 07 Devolución parcial / VES / propia / R5 Zona Libre de Mérida / sin cobro propio</x:v>
      </x:c>
      <x:c r="D1164" s="9" t="str">
        <x:v>P0</x:v>
      </x:c>
      <x:c r="E1164" s="9" t="str">
        <x:v>Positiva</x:v>
      </x:c>
      <x:c r="F1164" s="9" t="str">
        <x:v>Navegador + HTTP + persistencia; Real DEMO y doble identificados por separado</x:v>
      </x:c>
      <x:c r="G1164" s="23" t="str">
        <x:v>Pendiente</x:v>
      </x:c>
      <x:c r="H1164" s="23"/>
      <x:c r="I1164" s="23"/>
      <x:c r="J1164" s="23"/>
      <x:c r="K1164" s="23"/>
      <x:c r="L1164" s="24"/>
      <x:c r="M1164" s="23"/>
      <x:c r="N1164" s="23"/>
    </x:row>
    <x:row r="1165" ht="70" customHeight="1">
      <x:c r="A1165" s="9" t="str">
        <x:v>QA-NHD-039</x:v>
      </x:c>
      <x:c r="B1165" s="9" t="str">
        <x:v>NHD</x:v>
      </x:c>
      <x:c r="C1165" s="9" t="str">
        <x:v>NC 07 Devolución parcial / VES / propia / R6 Puerto libre Estado Nueva Esparta / sin cobro propio</x:v>
      </x:c>
      <x:c r="D1165" s="9" t="str">
        <x:v>P0</x:v>
      </x:c>
      <x:c r="E1165" s="9" t="str">
        <x:v>Positiva</x:v>
      </x:c>
      <x:c r="F1165" s="9" t="str">
        <x:v>Navegador + HTTP + persistencia; Real DEMO y doble identificados por separado</x:v>
      </x:c>
      <x:c r="G1165" s="23" t="str">
        <x:v>Pendiente</x:v>
      </x:c>
      <x:c r="H1165" s="23"/>
      <x:c r="I1165" s="23"/>
      <x:c r="J1165" s="23"/>
      <x:c r="K1165" s="23"/>
      <x:c r="L1165" s="24"/>
      <x:c r="M1165" s="23"/>
      <x:c r="N1165" s="23"/>
    </x:row>
    <x:row r="1166" ht="70" customHeight="1">
      <x:c r="A1166" s="9" t="str">
        <x:v>QA-NHD-040</x:v>
      </x:c>
      <x:c r="B1166" s="9" t="str">
        <x:v>NHD</x:v>
      </x:c>
      <x:c r="C1166" s="9" t="str">
        <x:v>NC 07 Devolución parcial / VES / propia / R7 Dutty Free / sin cobro propio</x:v>
      </x:c>
      <x:c r="D1166" s="9" t="str">
        <x:v>P0</x:v>
      </x:c>
      <x:c r="E1166" s="9" t="str">
        <x:v>Positiva</x:v>
      </x:c>
      <x:c r="F1166" s="9" t="str">
        <x:v>Navegador + HTTP + persistencia; Real DEMO y doble identificados por separado</x:v>
      </x:c>
      <x:c r="G1166" s="23" t="str">
        <x:v>Pendiente</x:v>
      </x:c>
      <x:c r="H1166" s="23"/>
      <x:c r="I1166" s="23"/>
      <x:c r="J1166" s="23"/>
      <x:c r="K1166" s="23"/>
      <x:c r="L1166" s="24"/>
      <x:c r="M1166" s="23"/>
      <x:c r="N1166" s="23"/>
    </x:row>
    <x:row r="1167" ht="70" customHeight="1">
      <x:c r="A1167" s="9" t="str">
        <x:v>QA-NHD-041</x:v>
      </x:c>
      <x:c r="B1167" s="9" t="str">
        <x:v>NHD</x:v>
      </x:c>
      <x:c r="C1167" s="9" t="str">
        <x:v>NC 07 Devolución parcial / VES / terceros / R0 Sin régimen / sin cobro propio</x:v>
      </x:c>
      <x:c r="D1167" s="9" t="str">
        <x:v>P0</x:v>
      </x:c>
      <x:c r="E1167" s="9" t="str">
        <x:v>Positiva</x:v>
      </x:c>
      <x:c r="F1167" s="9" t="str">
        <x:v>Navegador + HTTP + persistencia; Real DEMO y doble identificados por separado</x:v>
      </x:c>
      <x:c r="G1167" s="23" t="str">
        <x:v>Pendiente</x:v>
      </x:c>
      <x:c r="H1167" s="23"/>
      <x:c r="I1167" s="23"/>
      <x:c r="J1167" s="23"/>
      <x:c r="K1167" s="23"/>
      <x:c r="L1167" s="24"/>
      <x:c r="M1167" s="23"/>
      <x:c r="N1167" s="23"/>
    </x:row>
    <x:row r="1168" ht="70" customHeight="1">
      <x:c r="A1168" s="9" t="str">
        <x:v>QA-NHD-042</x:v>
      </x:c>
      <x:c r="B1168" s="9" t="str">
        <x:v>NHD</x:v>
      </x:c>
      <x:c r="C1168" s="9" t="str">
        <x:v>NC 07 Devolución parcial / VES / terceros / R1 Zonas económicas especiales / sin cobro propio</x:v>
      </x:c>
      <x:c r="D1168" s="9" t="str">
        <x:v>P0</x:v>
      </x:c>
      <x:c r="E1168" s="9" t="str">
        <x:v>Positiva</x:v>
      </x:c>
      <x:c r="F1168" s="9" t="str">
        <x:v>Navegador + HTTP + persistencia; Real DEMO y doble identificados por separado</x:v>
      </x:c>
      <x:c r="G1168" s="23" t="str">
        <x:v>Pendiente</x:v>
      </x:c>
      <x:c r="H1168" s="23"/>
      <x:c r="I1168" s="23"/>
      <x:c r="J1168" s="23"/>
      <x:c r="K1168" s="23"/>
      <x:c r="L1168" s="24"/>
      <x:c r="M1168" s="23"/>
      <x:c r="N1168" s="23"/>
    </x:row>
    <x:row r="1169" ht="70" customHeight="1">
      <x:c r="A1169" s="9" t="str">
        <x:v>QA-NHD-043</x:v>
      </x:c>
      <x:c r="B1169" s="9" t="str">
        <x:v>NHD</x:v>
      </x:c>
      <x:c r="C1169" s="9" t="str">
        <x:v>NC 07 Devolución parcial / VES / terceros / R2 Zona franca de Paraguaná / sin cobro propio</x:v>
      </x:c>
      <x:c r="D1169" s="9" t="str">
        <x:v>P0</x:v>
      </x:c>
      <x:c r="E1169" s="9" t="str">
        <x:v>Positiva</x:v>
      </x:c>
      <x:c r="F1169" s="9" t="str">
        <x:v>Navegador + HTTP + persistencia; Real DEMO y doble identificados por separado</x:v>
      </x:c>
      <x:c r="G1169" s="23" t="str">
        <x:v>Pendiente</x:v>
      </x:c>
      <x:c r="H1169" s="23"/>
      <x:c r="I1169" s="23"/>
      <x:c r="J1169" s="23"/>
      <x:c r="K1169" s="23"/>
      <x:c r="L1169" s="24"/>
      <x:c r="M1169" s="23"/>
      <x:c r="N1169" s="23"/>
    </x:row>
    <x:row r="1170" ht="70" customHeight="1">
      <x:c r="A1170" s="9" t="str">
        <x:v>QA-NHD-044</x:v>
      </x:c>
      <x:c r="B1170" s="9" t="str">
        <x:v>NHD</x:v>
      </x:c>
      <x:c r="C1170" s="9" t="str">
        <x:v>NC 07 Devolución parcial / VES / terceros / R3 Zona libre de Paraguaná / sin cobro propio</x:v>
      </x:c>
      <x:c r="D1170" s="9" t="str">
        <x:v>P0</x:v>
      </x:c>
      <x:c r="E1170" s="9" t="str">
        <x:v>Positiva</x:v>
      </x:c>
      <x:c r="F1170" s="9" t="str">
        <x:v>Navegador + HTTP + persistencia; Real DEMO y doble identificados por separado</x:v>
      </x:c>
      <x:c r="G1170" s="23" t="str">
        <x:v>Pendiente</x:v>
      </x:c>
      <x:c r="H1170" s="23"/>
      <x:c r="I1170" s="23"/>
      <x:c r="J1170" s="23"/>
      <x:c r="K1170" s="23"/>
      <x:c r="L1170" s="24"/>
      <x:c r="M1170" s="23"/>
      <x:c r="N1170" s="23"/>
    </x:row>
    <x:row r="1171" ht="70" customHeight="1">
      <x:c r="A1171" s="9" t="str">
        <x:v>QA-NHD-045</x:v>
      </x:c>
      <x:c r="B1171" s="9" t="str">
        <x:v>NHD</x:v>
      </x:c>
      <x:c r="C1171" s="9" t="str">
        <x:v>NC 07 Devolución parcial / VES / terceros / R4 Puerto libre Santa Elena de Uairén / sin cobro propio</x:v>
      </x:c>
      <x:c r="D1171" s="9" t="str">
        <x:v>P0</x:v>
      </x:c>
      <x:c r="E1171" s="9" t="str">
        <x:v>Positiva</x:v>
      </x:c>
      <x:c r="F1171" s="9" t="str">
        <x:v>Navegador + HTTP + persistencia; Real DEMO y doble identificados por separado</x:v>
      </x:c>
      <x:c r="G1171" s="23" t="str">
        <x:v>Pendiente</x:v>
      </x:c>
      <x:c r="H1171" s="23"/>
      <x:c r="I1171" s="23"/>
      <x:c r="J1171" s="23"/>
      <x:c r="K1171" s="23"/>
      <x:c r="L1171" s="24"/>
      <x:c r="M1171" s="23"/>
      <x:c r="N1171" s="23"/>
    </x:row>
    <x:row r="1172" ht="70" customHeight="1">
      <x:c r="A1172" s="9" t="str">
        <x:v>QA-NHD-046</x:v>
      </x:c>
      <x:c r="B1172" s="9" t="str">
        <x:v>NHD</x:v>
      </x:c>
      <x:c r="C1172" s="9" t="str">
        <x:v>NC 07 Devolución parcial / VES / terceros / R5 Zona Libre de Mérida / sin cobro propio</x:v>
      </x:c>
      <x:c r="D1172" s="9" t="str">
        <x:v>P0</x:v>
      </x:c>
      <x:c r="E1172" s="9" t="str">
        <x:v>Positiva</x:v>
      </x:c>
      <x:c r="F1172" s="9" t="str">
        <x:v>Navegador + HTTP + persistencia; Real DEMO y doble identificados por separado</x:v>
      </x:c>
      <x:c r="G1172" s="23" t="str">
        <x:v>Pendiente</x:v>
      </x:c>
      <x:c r="H1172" s="23"/>
      <x:c r="I1172" s="23"/>
      <x:c r="J1172" s="23"/>
      <x:c r="K1172" s="23"/>
      <x:c r="L1172" s="24"/>
      <x:c r="M1172" s="23"/>
      <x:c r="N1172" s="23"/>
    </x:row>
    <x:row r="1173" ht="70" customHeight="1">
      <x:c r="A1173" s="9" t="str">
        <x:v>QA-NHD-047</x:v>
      </x:c>
      <x:c r="B1173" s="9" t="str">
        <x:v>NHD</x:v>
      </x:c>
      <x:c r="C1173" s="9" t="str">
        <x:v>NC 07 Devolución parcial / VES / terceros / R6 Puerto libre Estado Nueva Esparta / sin cobro propio</x:v>
      </x:c>
      <x:c r="D1173" s="9" t="str">
        <x:v>P0</x:v>
      </x:c>
      <x:c r="E1173" s="9" t="str">
        <x:v>Positiva</x:v>
      </x:c>
      <x:c r="F1173" s="9" t="str">
        <x:v>Navegador + HTTP + persistencia; Real DEMO y doble identificados por separado</x:v>
      </x:c>
      <x:c r="G1173" s="23" t="str">
        <x:v>Pendiente</x:v>
      </x:c>
      <x:c r="H1173" s="23"/>
      <x:c r="I1173" s="23"/>
      <x:c r="J1173" s="23"/>
      <x:c r="K1173" s="23"/>
      <x:c r="L1173" s="24"/>
      <x:c r="M1173" s="23"/>
      <x:c r="N1173" s="23"/>
    </x:row>
    <x:row r="1174" ht="70" customHeight="1">
      <x:c r="A1174" s="9" t="str">
        <x:v>QA-NHD-048</x:v>
      </x:c>
      <x:c r="B1174" s="9" t="str">
        <x:v>NHD</x:v>
      </x:c>
      <x:c r="C1174" s="9" t="str">
        <x:v>NC 07 Devolución parcial / VES / terceros / R7 Dutty Free / sin cobro propio</x:v>
      </x:c>
      <x:c r="D1174" s="9" t="str">
        <x:v>P0</x:v>
      </x:c>
      <x:c r="E1174" s="9" t="str">
        <x:v>Positiva</x:v>
      </x:c>
      <x:c r="F1174" s="9" t="str">
        <x:v>Navegador + HTTP + persistencia; Real DEMO y doble identificados por separado</x:v>
      </x:c>
      <x:c r="G1174" s="23" t="str">
        <x:v>Pendiente</x:v>
      </x:c>
      <x:c r="H1174" s="23"/>
      <x:c r="I1174" s="23"/>
      <x:c r="J1174" s="23"/>
      <x:c r="K1174" s="23"/>
      <x:c r="L1174" s="24"/>
      <x:c r="M1174" s="23"/>
      <x:c r="N1174" s="23"/>
    </x:row>
    <x:row r="1175" ht="70" customHeight="1">
      <x:c r="A1175" s="9" t="str">
        <x:v>QA-NHD-049</x:v>
      </x:c>
      <x:c r="B1175" s="9" t="str">
        <x:v>NHD</x:v>
      </x:c>
      <x:c r="C1175" s="9" t="str">
        <x:v>NC 07 Devolución parcial / USD / propia / R0 Sin régimen / sin cobro propio</x:v>
      </x:c>
      <x:c r="D1175" s="9" t="str">
        <x:v>P0</x:v>
      </x:c>
      <x:c r="E1175" s="9" t="str">
        <x:v>Positiva</x:v>
      </x:c>
      <x:c r="F1175" s="9" t="str">
        <x:v>Navegador + HTTP + persistencia; Real DEMO y doble identificados por separado</x:v>
      </x:c>
      <x:c r="G1175" s="23" t="str">
        <x:v>Pendiente</x:v>
      </x:c>
      <x:c r="H1175" s="23"/>
      <x:c r="I1175" s="23"/>
      <x:c r="J1175" s="23"/>
      <x:c r="K1175" s="23"/>
      <x:c r="L1175" s="24"/>
      <x:c r="M1175" s="23"/>
      <x:c r="N1175" s="23"/>
    </x:row>
    <x:row r="1176" ht="70" customHeight="1">
      <x:c r="A1176" s="9" t="str">
        <x:v>QA-NHD-050</x:v>
      </x:c>
      <x:c r="B1176" s="9" t="str">
        <x:v>NHD</x:v>
      </x:c>
      <x:c r="C1176" s="9" t="str">
        <x:v>NC 07 Devolución parcial / USD / propia / R1 Zonas económicas especiales / sin cobro propio</x:v>
      </x:c>
      <x:c r="D1176" s="9" t="str">
        <x:v>P0</x:v>
      </x:c>
      <x:c r="E1176" s="9" t="str">
        <x:v>Positiva</x:v>
      </x:c>
      <x:c r="F1176" s="9" t="str">
        <x:v>Navegador + HTTP + persistencia; Real DEMO y doble identificados por separado</x:v>
      </x:c>
      <x:c r="G1176" s="23" t="str">
        <x:v>Pendiente</x:v>
      </x:c>
      <x:c r="H1176" s="23"/>
      <x:c r="I1176" s="23"/>
      <x:c r="J1176" s="23"/>
      <x:c r="K1176" s="23"/>
      <x:c r="L1176" s="24"/>
      <x:c r="M1176" s="23"/>
      <x:c r="N1176" s="23"/>
    </x:row>
    <x:row r="1177" ht="70" customHeight="1">
      <x:c r="A1177" s="9" t="str">
        <x:v>QA-NHD-051</x:v>
      </x:c>
      <x:c r="B1177" s="9" t="str">
        <x:v>NHD</x:v>
      </x:c>
      <x:c r="C1177" s="9" t="str">
        <x:v>NC 07 Devolución parcial / USD / propia / R2 Zona franca de Paraguaná / sin cobro propio</x:v>
      </x:c>
      <x:c r="D1177" s="9" t="str">
        <x:v>P0</x:v>
      </x:c>
      <x:c r="E1177" s="9" t="str">
        <x:v>Positiva</x:v>
      </x:c>
      <x:c r="F1177" s="9" t="str">
        <x:v>Navegador + HTTP + persistencia; Real DEMO y doble identificados por separado</x:v>
      </x:c>
      <x:c r="G1177" s="23" t="str">
        <x:v>Pendiente</x:v>
      </x:c>
      <x:c r="H1177" s="23"/>
      <x:c r="I1177" s="23"/>
      <x:c r="J1177" s="23"/>
      <x:c r="K1177" s="23"/>
      <x:c r="L1177" s="24"/>
      <x:c r="M1177" s="23"/>
      <x:c r="N1177" s="23"/>
    </x:row>
    <x:row r="1178" ht="70" customHeight="1">
      <x:c r="A1178" s="9" t="str">
        <x:v>QA-NHD-052</x:v>
      </x:c>
      <x:c r="B1178" s="9" t="str">
        <x:v>NHD</x:v>
      </x:c>
      <x:c r="C1178" s="9" t="str">
        <x:v>NC 07 Devolución parcial / USD / propia / R3 Zona libre de Paraguaná / sin cobro propio</x:v>
      </x:c>
      <x:c r="D1178" s="9" t="str">
        <x:v>P0</x:v>
      </x:c>
      <x:c r="E1178" s="9" t="str">
        <x:v>Positiva</x:v>
      </x:c>
      <x:c r="F1178" s="9" t="str">
        <x:v>Navegador + HTTP + persistencia; Real DEMO y doble identificados por separado</x:v>
      </x:c>
      <x:c r="G1178" s="23" t="str">
        <x:v>Pendiente</x:v>
      </x:c>
      <x:c r="H1178" s="23"/>
      <x:c r="I1178" s="23"/>
      <x:c r="J1178" s="23"/>
      <x:c r="K1178" s="23"/>
      <x:c r="L1178" s="24"/>
      <x:c r="M1178" s="23"/>
      <x:c r="N1178" s="23"/>
    </x:row>
    <x:row r="1179" ht="70" customHeight="1">
      <x:c r="A1179" s="9" t="str">
        <x:v>QA-NHD-053</x:v>
      </x:c>
      <x:c r="B1179" s="9" t="str">
        <x:v>NHD</x:v>
      </x:c>
      <x:c r="C1179" s="9" t="str">
        <x:v>NC 07 Devolución parcial / USD / propia / R4 Puerto libre Santa Elena de Uairén / sin cobro propio</x:v>
      </x:c>
      <x:c r="D1179" s="9" t="str">
        <x:v>P0</x:v>
      </x:c>
      <x:c r="E1179" s="9" t="str">
        <x:v>Positiva</x:v>
      </x:c>
      <x:c r="F1179" s="9" t="str">
        <x:v>Navegador + HTTP + persistencia; Real DEMO y doble identificados por separado</x:v>
      </x:c>
      <x:c r="G1179" s="23" t="str">
        <x:v>Pendiente</x:v>
      </x:c>
      <x:c r="H1179" s="23"/>
      <x:c r="I1179" s="23"/>
      <x:c r="J1179" s="23"/>
      <x:c r="K1179" s="23"/>
      <x:c r="L1179" s="24"/>
      <x:c r="M1179" s="23"/>
      <x:c r="N1179" s="23"/>
    </x:row>
    <x:row r="1180" ht="70" customHeight="1">
      <x:c r="A1180" s="9" t="str">
        <x:v>QA-NHD-054</x:v>
      </x:c>
      <x:c r="B1180" s="9" t="str">
        <x:v>NHD</x:v>
      </x:c>
      <x:c r="C1180" s="9" t="str">
        <x:v>NC 07 Devolución parcial / USD / propia / R5 Zona Libre de Mérida / sin cobro propio</x:v>
      </x:c>
      <x:c r="D1180" s="9" t="str">
        <x:v>P0</x:v>
      </x:c>
      <x:c r="E1180" s="9" t="str">
        <x:v>Positiva</x:v>
      </x:c>
      <x:c r="F1180" s="9" t="str">
        <x:v>Navegador + HTTP + persistencia; Real DEMO y doble identificados por separado</x:v>
      </x:c>
      <x:c r="G1180" s="23" t="str">
        <x:v>Pendiente</x:v>
      </x:c>
      <x:c r="H1180" s="23"/>
      <x:c r="I1180" s="23"/>
      <x:c r="J1180" s="23"/>
      <x:c r="K1180" s="23"/>
      <x:c r="L1180" s="24"/>
      <x:c r="M1180" s="23"/>
      <x:c r="N1180" s="23"/>
    </x:row>
    <x:row r="1181" ht="70" customHeight="1">
      <x:c r="A1181" s="9" t="str">
        <x:v>QA-NHD-055</x:v>
      </x:c>
      <x:c r="B1181" s="9" t="str">
        <x:v>NHD</x:v>
      </x:c>
      <x:c r="C1181" s="9" t="str">
        <x:v>NC 07 Devolución parcial / USD / propia / R6 Puerto libre Estado Nueva Esparta / sin cobro propio</x:v>
      </x:c>
      <x:c r="D1181" s="9" t="str">
        <x:v>P0</x:v>
      </x:c>
      <x:c r="E1181" s="9" t="str">
        <x:v>Positiva</x:v>
      </x:c>
      <x:c r="F1181" s="9" t="str">
        <x:v>Navegador + HTTP + persistencia; Real DEMO y doble identificados por separado</x:v>
      </x:c>
      <x:c r="G1181" s="23" t="str">
        <x:v>Pendiente</x:v>
      </x:c>
      <x:c r="H1181" s="23"/>
      <x:c r="I1181" s="23"/>
      <x:c r="J1181" s="23"/>
      <x:c r="K1181" s="23"/>
      <x:c r="L1181" s="24"/>
      <x:c r="M1181" s="23"/>
      <x:c r="N1181" s="23"/>
    </x:row>
    <x:row r="1182" ht="70" customHeight="1">
      <x:c r="A1182" s="9" t="str">
        <x:v>QA-NHD-056</x:v>
      </x:c>
      <x:c r="B1182" s="9" t="str">
        <x:v>NHD</x:v>
      </x:c>
      <x:c r="C1182" s="9" t="str">
        <x:v>NC 07 Devolución parcial / USD / propia / R7 Dutty Free / sin cobro propio</x:v>
      </x:c>
      <x:c r="D1182" s="9" t="str">
        <x:v>P0</x:v>
      </x:c>
      <x:c r="E1182" s="9" t="str">
        <x:v>Positiva</x:v>
      </x:c>
      <x:c r="F1182" s="9" t="str">
        <x:v>Navegador + HTTP + persistencia; Real DEMO y doble identificados por separado</x:v>
      </x:c>
      <x:c r="G1182" s="23" t="str">
        <x:v>Pendiente</x:v>
      </x:c>
      <x:c r="H1182" s="23"/>
      <x:c r="I1182" s="23"/>
      <x:c r="J1182" s="23"/>
      <x:c r="K1182" s="23"/>
      <x:c r="L1182" s="24"/>
      <x:c r="M1182" s="23"/>
      <x:c r="N1182" s="23"/>
    </x:row>
    <x:row r="1183" ht="70" customHeight="1">
      <x:c r="A1183" s="9" t="str">
        <x:v>QA-NHD-057</x:v>
      </x:c>
      <x:c r="B1183" s="9" t="str">
        <x:v>NHD</x:v>
      </x:c>
      <x:c r="C1183" s="9" t="str">
        <x:v>NC 07 Devolución parcial / USD / terceros / R0 Sin régimen / sin cobro propio</x:v>
      </x:c>
      <x:c r="D1183" s="9" t="str">
        <x:v>P0</x:v>
      </x:c>
      <x:c r="E1183" s="9" t="str">
        <x:v>Positiva</x:v>
      </x:c>
      <x:c r="F1183" s="9" t="str">
        <x:v>Navegador + HTTP + persistencia; Real DEMO y doble identificados por separado</x:v>
      </x:c>
      <x:c r="G1183" s="23" t="str">
        <x:v>Pendiente</x:v>
      </x:c>
      <x:c r="H1183" s="23"/>
      <x:c r="I1183" s="23"/>
      <x:c r="J1183" s="23"/>
      <x:c r="K1183" s="23"/>
      <x:c r="L1183" s="24"/>
      <x:c r="M1183" s="23"/>
      <x:c r="N1183" s="23"/>
    </x:row>
    <x:row r="1184" ht="70" customHeight="1">
      <x:c r="A1184" s="9" t="str">
        <x:v>QA-NHD-058</x:v>
      </x:c>
      <x:c r="B1184" s="9" t="str">
        <x:v>NHD</x:v>
      </x:c>
      <x:c r="C1184" s="9" t="str">
        <x:v>NC 07 Devolución parcial / USD / terceros / R1 Zonas económicas especiales / sin cobro propio</x:v>
      </x:c>
      <x:c r="D1184" s="9" t="str">
        <x:v>P0</x:v>
      </x:c>
      <x:c r="E1184" s="9" t="str">
        <x:v>Positiva</x:v>
      </x:c>
      <x:c r="F1184" s="9" t="str">
        <x:v>Navegador + HTTP + persistencia; Real DEMO y doble identificados por separado</x:v>
      </x:c>
      <x:c r="G1184" s="23" t="str">
        <x:v>Pendiente</x:v>
      </x:c>
      <x:c r="H1184" s="23"/>
      <x:c r="I1184" s="23"/>
      <x:c r="J1184" s="23"/>
      <x:c r="K1184" s="23"/>
      <x:c r="L1184" s="24"/>
      <x:c r="M1184" s="23"/>
      <x:c r="N1184" s="23"/>
    </x:row>
    <x:row r="1185" ht="70" customHeight="1">
      <x:c r="A1185" s="9" t="str">
        <x:v>QA-NHD-059</x:v>
      </x:c>
      <x:c r="B1185" s="9" t="str">
        <x:v>NHD</x:v>
      </x:c>
      <x:c r="C1185" s="9" t="str">
        <x:v>NC 07 Devolución parcial / USD / terceros / R2 Zona franca de Paraguaná / sin cobro propio</x:v>
      </x:c>
      <x:c r="D1185" s="9" t="str">
        <x:v>P0</x:v>
      </x:c>
      <x:c r="E1185" s="9" t="str">
        <x:v>Positiva</x:v>
      </x:c>
      <x:c r="F1185" s="9" t="str">
        <x:v>Navegador + HTTP + persistencia; Real DEMO y doble identificados por separado</x:v>
      </x:c>
      <x:c r="G1185" s="23" t="str">
        <x:v>Pendiente</x:v>
      </x:c>
      <x:c r="H1185" s="23"/>
      <x:c r="I1185" s="23"/>
      <x:c r="J1185" s="23"/>
      <x:c r="K1185" s="23"/>
      <x:c r="L1185" s="24"/>
      <x:c r="M1185" s="23"/>
      <x:c r="N1185" s="23"/>
    </x:row>
    <x:row r="1186" ht="70" customHeight="1">
      <x:c r="A1186" s="9" t="str">
        <x:v>QA-NHD-060</x:v>
      </x:c>
      <x:c r="B1186" s="9" t="str">
        <x:v>NHD</x:v>
      </x:c>
      <x:c r="C1186" s="9" t="str">
        <x:v>NC 07 Devolución parcial / USD / terceros / R3 Zona libre de Paraguaná / sin cobro propio</x:v>
      </x:c>
      <x:c r="D1186" s="9" t="str">
        <x:v>P0</x:v>
      </x:c>
      <x:c r="E1186" s="9" t="str">
        <x:v>Positiva</x:v>
      </x:c>
      <x:c r="F1186" s="9" t="str">
        <x:v>Navegador + HTTP + persistencia; Real DEMO y doble identificados por separado</x:v>
      </x:c>
      <x:c r="G1186" s="23" t="str">
        <x:v>Pendiente</x:v>
      </x:c>
      <x:c r="H1186" s="23"/>
      <x:c r="I1186" s="23"/>
      <x:c r="J1186" s="23"/>
      <x:c r="K1186" s="23"/>
      <x:c r="L1186" s="24"/>
      <x:c r="M1186" s="23"/>
      <x:c r="N1186" s="23"/>
    </x:row>
    <x:row r="1187" ht="70" customHeight="1">
      <x:c r="A1187" s="9" t="str">
        <x:v>QA-NHD-061</x:v>
      </x:c>
      <x:c r="B1187" s="9" t="str">
        <x:v>NHD</x:v>
      </x:c>
      <x:c r="C1187" s="9" t="str">
        <x:v>NC 07 Devolución parcial / USD / terceros / R4 Puerto libre Santa Elena de Uairén / sin cobro propio</x:v>
      </x:c>
      <x:c r="D1187" s="9" t="str">
        <x:v>P0</x:v>
      </x:c>
      <x:c r="E1187" s="9" t="str">
        <x:v>Positiva</x:v>
      </x:c>
      <x:c r="F1187" s="9" t="str">
        <x:v>Navegador + HTTP + persistencia; Real DEMO y doble identificados por separado</x:v>
      </x:c>
      <x:c r="G1187" s="23" t="str">
        <x:v>Pendiente</x:v>
      </x:c>
      <x:c r="H1187" s="23"/>
      <x:c r="I1187" s="23"/>
      <x:c r="J1187" s="23"/>
      <x:c r="K1187" s="23"/>
      <x:c r="L1187" s="24"/>
      <x:c r="M1187" s="23"/>
      <x:c r="N1187" s="23"/>
    </x:row>
    <x:row r="1188" ht="70" customHeight="1">
      <x:c r="A1188" s="9" t="str">
        <x:v>QA-NHD-062</x:v>
      </x:c>
      <x:c r="B1188" s="9" t="str">
        <x:v>NHD</x:v>
      </x:c>
      <x:c r="C1188" s="9" t="str">
        <x:v>NC 07 Devolución parcial / USD / terceros / R5 Zona Libre de Mérida / sin cobro propio</x:v>
      </x:c>
      <x:c r="D1188" s="9" t="str">
        <x:v>P0</x:v>
      </x:c>
      <x:c r="E1188" s="9" t="str">
        <x:v>Positiva</x:v>
      </x:c>
      <x:c r="F1188" s="9" t="str">
        <x:v>Navegador + HTTP + persistencia; Real DEMO y doble identificados por separado</x:v>
      </x:c>
      <x:c r="G1188" s="23" t="str">
        <x:v>Pendiente</x:v>
      </x:c>
      <x:c r="H1188" s="23"/>
      <x:c r="I1188" s="23"/>
      <x:c r="J1188" s="23"/>
      <x:c r="K1188" s="23"/>
      <x:c r="L1188" s="24"/>
      <x:c r="M1188" s="23"/>
      <x:c r="N1188" s="23"/>
    </x:row>
    <x:row r="1189" ht="70" customHeight="1">
      <x:c r="A1189" s="9" t="str">
        <x:v>QA-NHD-063</x:v>
      </x:c>
      <x:c r="B1189" s="9" t="str">
        <x:v>NHD</x:v>
      </x:c>
      <x:c r="C1189" s="9" t="str">
        <x:v>NC 07 Devolución parcial / USD / terceros / R6 Puerto libre Estado Nueva Esparta / sin cobro propio</x:v>
      </x:c>
      <x:c r="D1189" s="9" t="str">
        <x:v>P0</x:v>
      </x:c>
      <x:c r="E1189" s="9" t="str">
        <x:v>Positiva</x:v>
      </x:c>
      <x:c r="F1189" s="9" t="str">
        <x:v>Navegador + HTTP + persistencia; Real DEMO y doble identificados por separado</x:v>
      </x:c>
      <x:c r="G1189" s="23" t="str">
        <x:v>Pendiente</x:v>
      </x:c>
      <x:c r="H1189" s="23"/>
      <x:c r="I1189" s="23"/>
      <x:c r="J1189" s="23"/>
      <x:c r="K1189" s="23"/>
      <x:c r="L1189" s="24"/>
      <x:c r="M1189" s="23"/>
      <x:c r="N1189" s="23"/>
    </x:row>
    <x:row r="1190" ht="70" customHeight="1">
      <x:c r="A1190" s="9" t="str">
        <x:v>QA-NHD-064</x:v>
      </x:c>
      <x:c r="B1190" s="9" t="str">
        <x:v>NHD</x:v>
      </x:c>
      <x:c r="C1190" s="9" t="str">
        <x:v>NC 07 Devolución parcial / USD / terceros / R7 Dutty Free / sin cobro propio</x:v>
      </x:c>
      <x:c r="D1190" s="9" t="str">
        <x:v>P0</x:v>
      </x:c>
      <x:c r="E1190" s="9" t="str">
        <x:v>Positiva</x:v>
      </x:c>
      <x:c r="F1190" s="9" t="str">
        <x:v>Navegador + HTTP + persistencia; Real DEMO y doble identificados por separado</x:v>
      </x:c>
      <x:c r="G1190" s="23" t="str">
        <x:v>Pendiente</x:v>
      </x:c>
      <x:c r="H1190" s="23"/>
      <x:c r="I1190" s="23"/>
      <x:c r="J1190" s="23"/>
      <x:c r="K1190" s="23"/>
      <x:c r="L1190" s="24"/>
      <x:c r="M1190" s="23"/>
      <x:c r="N1190" s="23"/>
    </x:row>
    <x:row r="1191" ht="70" customHeight="1">
      <x:c r="A1191" s="9" t="str">
        <x:v>QA-NHD-065</x:v>
      </x:c>
      <x:c r="B1191" s="9" t="str">
        <x:v>NHD</x:v>
      </x:c>
      <x:c r="C1191" s="9" t="str">
        <x:v>NC 04 Descuento / VES / propia / R0 Sin régimen / sin cobro propio</x:v>
      </x:c>
      <x:c r="D1191" s="9" t="str">
        <x:v>P0</x:v>
      </x:c>
      <x:c r="E1191" s="9" t="str">
        <x:v>Positiva</x:v>
      </x:c>
      <x:c r="F1191" s="9" t="str">
        <x:v>Navegador + HTTP + persistencia; Real DEMO y doble identificados por separado</x:v>
      </x:c>
      <x:c r="G1191" s="23" t="str">
        <x:v>Pendiente</x:v>
      </x:c>
      <x:c r="H1191" s="23"/>
      <x:c r="I1191" s="23"/>
      <x:c r="J1191" s="23"/>
      <x:c r="K1191" s="23"/>
      <x:c r="L1191" s="24"/>
      <x:c r="M1191" s="23"/>
      <x:c r="N1191" s="23"/>
    </x:row>
    <x:row r="1192" ht="70" customHeight="1">
      <x:c r="A1192" s="9" t="str">
        <x:v>QA-NHD-066</x:v>
      </x:c>
      <x:c r="B1192" s="9" t="str">
        <x:v>NHD</x:v>
      </x:c>
      <x:c r="C1192" s="9" t="str">
        <x:v>NC 04 Descuento / VES / propia / R1 Zonas económicas especiales / sin cobro propio</x:v>
      </x:c>
      <x:c r="D1192" s="9" t="str">
        <x:v>P0</x:v>
      </x:c>
      <x:c r="E1192" s="9" t="str">
        <x:v>Positiva</x:v>
      </x:c>
      <x:c r="F1192" s="9" t="str">
        <x:v>Navegador + HTTP + persistencia; Real DEMO y doble identificados por separado</x:v>
      </x:c>
      <x:c r="G1192" s="23" t="str">
        <x:v>Pendiente</x:v>
      </x:c>
      <x:c r="H1192" s="23"/>
      <x:c r="I1192" s="23"/>
      <x:c r="J1192" s="23"/>
      <x:c r="K1192" s="23"/>
      <x:c r="L1192" s="24"/>
      <x:c r="M1192" s="23"/>
      <x:c r="N1192" s="23"/>
    </x:row>
    <x:row r="1193" ht="70" customHeight="1">
      <x:c r="A1193" s="9" t="str">
        <x:v>QA-NHD-067</x:v>
      </x:c>
      <x:c r="B1193" s="9" t="str">
        <x:v>NHD</x:v>
      </x:c>
      <x:c r="C1193" s="9" t="str">
        <x:v>NC 04 Descuento / VES / propia / R2 Zona franca de Paraguaná / sin cobro propio</x:v>
      </x:c>
      <x:c r="D1193" s="9" t="str">
        <x:v>P0</x:v>
      </x:c>
      <x:c r="E1193" s="9" t="str">
        <x:v>Positiva</x:v>
      </x:c>
      <x:c r="F1193" s="9" t="str">
        <x:v>Navegador + HTTP + persistencia; Real DEMO y doble identificados por separado</x:v>
      </x:c>
      <x:c r="G1193" s="23" t="str">
        <x:v>Pendiente</x:v>
      </x:c>
      <x:c r="H1193" s="23"/>
      <x:c r="I1193" s="23"/>
      <x:c r="J1193" s="23"/>
      <x:c r="K1193" s="23"/>
      <x:c r="L1193" s="24"/>
      <x:c r="M1193" s="23"/>
      <x:c r="N1193" s="23"/>
    </x:row>
    <x:row r="1194" ht="70" customHeight="1">
      <x:c r="A1194" s="9" t="str">
        <x:v>QA-NHD-068</x:v>
      </x:c>
      <x:c r="B1194" s="9" t="str">
        <x:v>NHD</x:v>
      </x:c>
      <x:c r="C1194" s="9" t="str">
        <x:v>NC 04 Descuento / VES / propia / R3 Zona libre de Paraguaná / sin cobro propio</x:v>
      </x:c>
      <x:c r="D1194" s="9" t="str">
        <x:v>P0</x:v>
      </x:c>
      <x:c r="E1194" s="9" t="str">
        <x:v>Positiva</x:v>
      </x:c>
      <x:c r="F1194" s="9" t="str">
        <x:v>Navegador + HTTP + persistencia; Real DEMO y doble identificados por separado</x:v>
      </x:c>
      <x:c r="G1194" s="23" t="str">
        <x:v>Pendiente</x:v>
      </x:c>
      <x:c r="H1194" s="23"/>
      <x:c r="I1194" s="23"/>
      <x:c r="J1194" s="23"/>
      <x:c r="K1194" s="23"/>
      <x:c r="L1194" s="24"/>
      <x:c r="M1194" s="23"/>
      <x:c r="N1194" s="23"/>
    </x:row>
    <x:row r="1195" ht="70" customHeight="1">
      <x:c r="A1195" s="9" t="str">
        <x:v>QA-NHD-069</x:v>
      </x:c>
      <x:c r="B1195" s="9" t="str">
        <x:v>NHD</x:v>
      </x:c>
      <x:c r="C1195" s="9" t="str">
        <x:v>NC 04 Descuento / VES / propia / R4 Puerto libre Santa Elena de Uairén / sin cobro propio</x:v>
      </x:c>
      <x:c r="D1195" s="9" t="str">
        <x:v>P0</x:v>
      </x:c>
      <x:c r="E1195" s="9" t="str">
        <x:v>Positiva</x:v>
      </x:c>
      <x:c r="F1195" s="9" t="str">
        <x:v>Navegador + HTTP + persistencia; Real DEMO y doble identificados por separado</x:v>
      </x:c>
      <x:c r="G1195" s="23" t="str">
        <x:v>Pendiente</x:v>
      </x:c>
      <x:c r="H1195" s="23"/>
      <x:c r="I1195" s="23"/>
      <x:c r="J1195" s="23"/>
      <x:c r="K1195" s="23"/>
      <x:c r="L1195" s="24"/>
      <x:c r="M1195" s="23"/>
      <x:c r="N1195" s="23"/>
    </x:row>
    <x:row r="1196" ht="70" customHeight="1">
      <x:c r="A1196" s="9" t="str">
        <x:v>QA-NHD-070</x:v>
      </x:c>
      <x:c r="B1196" s="9" t="str">
        <x:v>NHD</x:v>
      </x:c>
      <x:c r="C1196" s="9" t="str">
        <x:v>NC 04 Descuento / VES / propia / R5 Zona Libre de Mérida / sin cobro propio</x:v>
      </x:c>
      <x:c r="D1196" s="9" t="str">
        <x:v>P0</x:v>
      </x:c>
      <x:c r="E1196" s="9" t="str">
        <x:v>Positiva</x:v>
      </x:c>
      <x:c r="F1196" s="9" t="str">
        <x:v>Navegador + HTTP + persistencia; Real DEMO y doble identificados por separado</x:v>
      </x:c>
      <x:c r="G1196" s="23" t="str">
        <x:v>Pendiente</x:v>
      </x:c>
      <x:c r="H1196" s="23"/>
      <x:c r="I1196" s="23"/>
      <x:c r="J1196" s="23"/>
      <x:c r="K1196" s="23"/>
      <x:c r="L1196" s="24"/>
      <x:c r="M1196" s="23"/>
      <x:c r="N1196" s="23"/>
    </x:row>
    <x:row r="1197" ht="70" customHeight="1">
      <x:c r="A1197" s="9" t="str">
        <x:v>QA-NHD-071</x:v>
      </x:c>
      <x:c r="B1197" s="9" t="str">
        <x:v>NHD</x:v>
      </x:c>
      <x:c r="C1197" s="9" t="str">
        <x:v>NC 04 Descuento / VES / propia / R6 Puerto libre Estado Nueva Esparta / sin cobro propio</x:v>
      </x:c>
      <x:c r="D1197" s="9" t="str">
        <x:v>P0</x:v>
      </x:c>
      <x:c r="E1197" s="9" t="str">
        <x:v>Positiva</x:v>
      </x:c>
      <x:c r="F1197" s="9" t="str">
        <x:v>Navegador + HTTP + persistencia; Real DEMO y doble identificados por separado</x:v>
      </x:c>
      <x:c r="G1197" s="23" t="str">
        <x:v>Pendiente</x:v>
      </x:c>
      <x:c r="H1197" s="23"/>
      <x:c r="I1197" s="23"/>
      <x:c r="J1197" s="23"/>
      <x:c r="K1197" s="23"/>
      <x:c r="L1197" s="24"/>
      <x:c r="M1197" s="23"/>
      <x:c r="N1197" s="23"/>
    </x:row>
    <x:row r="1198" ht="70" customHeight="1">
      <x:c r="A1198" s="9" t="str">
        <x:v>QA-NHD-072</x:v>
      </x:c>
      <x:c r="B1198" s="9" t="str">
        <x:v>NHD</x:v>
      </x:c>
      <x:c r="C1198" s="9" t="str">
        <x:v>NC 04 Descuento / VES / propia / R7 Dutty Free / sin cobro propio</x:v>
      </x:c>
      <x:c r="D1198" s="9" t="str">
        <x:v>P0</x:v>
      </x:c>
      <x:c r="E1198" s="9" t="str">
        <x:v>Positiva</x:v>
      </x:c>
      <x:c r="F1198" s="9" t="str">
        <x:v>Navegador + HTTP + persistencia; Real DEMO y doble identificados por separado</x:v>
      </x:c>
      <x:c r="G1198" s="23" t="str">
        <x:v>Pendiente</x:v>
      </x:c>
      <x:c r="H1198" s="23"/>
      <x:c r="I1198" s="23"/>
      <x:c r="J1198" s="23"/>
      <x:c r="K1198" s="23"/>
      <x:c r="L1198" s="24"/>
      <x:c r="M1198" s="23"/>
      <x:c r="N1198" s="23"/>
    </x:row>
    <x:row r="1199" ht="70" customHeight="1">
      <x:c r="A1199" s="9" t="str">
        <x:v>QA-NHD-073</x:v>
      </x:c>
      <x:c r="B1199" s="9" t="str">
        <x:v>NHD</x:v>
      </x:c>
      <x:c r="C1199" s="9" t="str">
        <x:v>NC 04 Descuento / VES / terceros / R0 Sin régimen / sin cobro propio</x:v>
      </x:c>
      <x:c r="D1199" s="9" t="str">
        <x:v>P0</x:v>
      </x:c>
      <x:c r="E1199" s="9" t="str">
        <x:v>Positiva</x:v>
      </x:c>
      <x:c r="F1199" s="9" t="str">
        <x:v>Navegador + HTTP + persistencia; Real DEMO y doble identificados por separado</x:v>
      </x:c>
      <x:c r="G1199" s="23" t="str">
        <x:v>Pendiente</x:v>
      </x:c>
      <x:c r="H1199" s="23"/>
      <x:c r="I1199" s="23"/>
      <x:c r="J1199" s="23"/>
      <x:c r="K1199" s="23"/>
      <x:c r="L1199" s="24"/>
      <x:c r="M1199" s="23"/>
      <x:c r="N1199" s="23"/>
    </x:row>
    <x:row r="1200" ht="70" customHeight="1">
      <x:c r="A1200" s="9" t="str">
        <x:v>QA-NHD-074</x:v>
      </x:c>
      <x:c r="B1200" s="9" t="str">
        <x:v>NHD</x:v>
      </x:c>
      <x:c r="C1200" s="9" t="str">
        <x:v>NC 04 Descuento / VES / terceros / R1 Zonas económicas especiales / sin cobro propio</x:v>
      </x:c>
      <x:c r="D1200" s="9" t="str">
        <x:v>P0</x:v>
      </x:c>
      <x:c r="E1200" s="9" t="str">
        <x:v>Positiva</x:v>
      </x:c>
      <x:c r="F1200" s="9" t="str">
        <x:v>Navegador + HTTP + persistencia; Real DEMO y doble identificados por separado</x:v>
      </x:c>
      <x:c r="G1200" s="23" t="str">
        <x:v>Pendiente</x:v>
      </x:c>
      <x:c r="H1200" s="23"/>
      <x:c r="I1200" s="23"/>
      <x:c r="J1200" s="23"/>
      <x:c r="K1200" s="23"/>
      <x:c r="L1200" s="24"/>
      <x:c r="M1200" s="23"/>
      <x:c r="N1200" s="23"/>
    </x:row>
    <x:row r="1201" ht="70" customHeight="1">
      <x:c r="A1201" s="9" t="str">
        <x:v>QA-NHD-075</x:v>
      </x:c>
      <x:c r="B1201" s="9" t="str">
        <x:v>NHD</x:v>
      </x:c>
      <x:c r="C1201" s="9" t="str">
        <x:v>NC 04 Descuento / VES / terceros / R2 Zona franca de Paraguaná / sin cobro propio</x:v>
      </x:c>
      <x:c r="D1201" s="9" t="str">
        <x:v>P0</x:v>
      </x:c>
      <x:c r="E1201" s="9" t="str">
        <x:v>Positiva</x:v>
      </x:c>
      <x:c r="F1201" s="9" t="str">
        <x:v>Navegador + HTTP + persistencia; Real DEMO y doble identificados por separado</x:v>
      </x:c>
      <x:c r="G1201" s="23" t="str">
        <x:v>Pendiente</x:v>
      </x:c>
      <x:c r="H1201" s="23"/>
      <x:c r="I1201" s="23"/>
      <x:c r="J1201" s="23"/>
      <x:c r="K1201" s="23"/>
      <x:c r="L1201" s="24"/>
      <x:c r="M1201" s="23"/>
      <x:c r="N1201" s="23"/>
    </x:row>
    <x:row r="1202" ht="70" customHeight="1">
      <x:c r="A1202" s="9" t="str">
        <x:v>QA-NHD-076</x:v>
      </x:c>
      <x:c r="B1202" s="9" t="str">
        <x:v>NHD</x:v>
      </x:c>
      <x:c r="C1202" s="9" t="str">
        <x:v>NC 04 Descuento / VES / terceros / R3 Zona libre de Paraguaná / sin cobro propio</x:v>
      </x:c>
      <x:c r="D1202" s="9" t="str">
        <x:v>P0</x:v>
      </x:c>
      <x:c r="E1202" s="9" t="str">
        <x:v>Positiva</x:v>
      </x:c>
      <x:c r="F1202" s="9" t="str">
        <x:v>Navegador + HTTP + persistencia; Real DEMO y doble identificados por separado</x:v>
      </x:c>
      <x:c r="G1202" s="23" t="str">
        <x:v>Pendiente</x:v>
      </x:c>
      <x:c r="H1202" s="23"/>
      <x:c r="I1202" s="23"/>
      <x:c r="J1202" s="23"/>
      <x:c r="K1202" s="23"/>
      <x:c r="L1202" s="24"/>
      <x:c r="M1202" s="23"/>
      <x:c r="N1202" s="23"/>
    </x:row>
    <x:row r="1203" ht="70" customHeight="1">
      <x:c r="A1203" s="9" t="str">
        <x:v>QA-NHD-077</x:v>
      </x:c>
      <x:c r="B1203" s="9" t="str">
        <x:v>NHD</x:v>
      </x:c>
      <x:c r="C1203" s="9" t="str">
        <x:v>NC 04 Descuento / VES / terceros / R4 Puerto libre Santa Elena de Uairén / sin cobro propio</x:v>
      </x:c>
      <x:c r="D1203" s="9" t="str">
        <x:v>P0</x:v>
      </x:c>
      <x:c r="E1203" s="9" t="str">
        <x:v>Positiva</x:v>
      </x:c>
      <x:c r="F1203" s="9" t="str">
        <x:v>Navegador + HTTP + persistencia; Real DEMO y doble identificados por separado</x:v>
      </x:c>
      <x:c r="G1203" s="23" t="str">
        <x:v>Pendiente</x:v>
      </x:c>
      <x:c r="H1203" s="23"/>
      <x:c r="I1203" s="23"/>
      <x:c r="J1203" s="23"/>
      <x:c r="K1203" s="23"/>
      <x:c r="L1203" s="24"/>
      <x:c r="M1203" s="23"/>
      <x:c r="N1203" s="23"/>
    </x:row>
    <x:row r="1204" ht="70" customHeight="1">
      <x:c r="A1204" s="9" t="str">
        <x:v>QA-NHD-078</x:v>
      </x:c>
      <x:c r="B1204" s="9" t="str">
        <x:v>NHD</x:v>
      </x:c>
      <x:c r="C1204" s="9" t="str">
        <x:v>NC 04 Descuento / VES / terceros / R5 Zona Libre de Mérida / sin cobro propio</x:v>
      </x:c>
      <x:c r="D1204" s="9" t="str">
        <x:v>P0</x:v>
      </x:c>
      <x:c r="E1204" s="9" t="str">
        <x:v>Positiva</x:v>
      </x:c>
      <x:c r="F1204" s="9" t="str">
        <x:v>Navegador + HTTP + persistencia; Real DEMO y doble identificados por separado</x:v>
      </x:c>
      <x:c r="G1204" s="23" t="str">
        <x:v>Pendiente</x:v>
      </x:c>
      <x:c r="H1204" s="23"/>
      <x:c r="I1204" s="23"/>
      <x:c r="J1204" s="23"/>
      <x:c r="K1204" s="23"/>
      <x:c r="L1204" s="24"/>
      <x:c r="M1204" s="23"/>
      <x:c r="N1204" s="23"/>
    </x:row>
    <x:row r="1205" ht="70" customHeight="1">
      <x:c r="A1205" s="9" t="str">
        <x:v>QA-NHD-079</x:v>
      </x:c>
      <x:c r="B1205" s="9" t="str">
        <x:v>NHD</x:v>
      </x:c>
      <x:c r="C1205" s="9" t="str">
        <x:v>NC 04 Descuento / VES / terceros / R6 Puerto libre Estado Nueva Esparta / sin cobro propio</x:v>
      </x:c>
      <x:c r="D1205" s="9" t="str">
        <x:v>P0</x:v>
      </x:c>
      <x:c r="E1205" s="9" t="str">
        <x:v>Positiva</x:v>
      </x:c>
      <x:c r="F1205" s="9" t="str">
        <x:v>Navegador + HTTP + persistencia; Real DEMO y doble identificados por separado</x:v>
      </x:c>
      <x:c r="G1205" s="23" t="str">
        <x:v>Pendiente</x:v>
      </x:c>
      <x:c r="H1205" s="23"/>
      <x:c r="I1205" s="23"/>
      <x:c r="J1205" s="23"/>
      <x:c r="K1205" s="23"/>
      <x:c r="L1205" s="24"/>
      <x:c r="M1205" s="23"/>
      <x:c r="N1205" s="23"/>
    </x:row>
    <x:row r="1206" ht="70" customHeight="1">
      <x:c r="A1206" s="9" t="str">
        <x:v>QA-NHD-080</x:v>
      </x:c>
      <x:c r="B1206" s="9" t="str">
        <x:v>NHD</x:v>
      </x:c>
      <x:c r="C1206" s="9" t="str">
        <x:v>NC 04 Descuento / VES / terceros / R7 Dutty Free / sin cobro propio</x:v>
      </x:c>
      <x:c r="D1206" s="9" t="str">
        <x:v>P0</x:v>
      </x:c>
      <x:c r="E1206" s="9" t="str">
        <x:v>Positiva</x:v>
      </x:c>
      <x:c r="F1206" s="9" t="str">
        <x:v>Navegador + HTTP + persistencia; Real DEMO y doble identificados por separado</x:v>
      </x:c>
      <x:c r="G1206" s="23" t="str">
        <x:v>Pendiente</x:v>
      </x:c>
      <x:c r="H1206" s="23"/>
      <x:c r="I1206" s="23"/>
      <x:c r="J1206" s="23"/>
      <x:c r="K1206" s="23"/>
      <x:c r="L1206" s="24"/>
      <x:c r="M1206" s="23"/>
      <x:c r="N1206" s="23"/>
    </x:row>
    <x:row r="1207" ht="70" customHeight="1">
      <x:c r="A1207" s="9" t="str">
        <x:v>QA-NHD-081</x:v>
      </x:c>
      <x:c r="B1207" s="9" t="str">
        <x:v>NHD</x:v>
      </x:c>
      <x:c r="C1207" s="9" t="str">
        <x:v>NC 04 Descuento / USD / propia / R0 Sin régimen / sin cobro propio</x:v>
      </x:c>
      <x:c r="D1207" s="9" t="str">
        <x:v>P0</x:v>
      </x:c>
      <x:c r="E1207" s="9" t="str">
        <x:v>Positiva</x:v>
      </x:c>
      <x:c r="F1207" s="9" t="str">
        <x:v>Navegador + HTTP + persistencia; Real DEMO y doble identificados por separado</x:v>
      </x:c>
      <x:c r="G1207" s="23" t="str">
        <x:v>Pendiente</x:v>
      </x:c>
      <x:c r="H1207" s="23"/>
      <x:c r="I1207" s="23"/>
      <x:c r="J1207" s="23"/>
      <x:c r="K1207" s="23"/>
      <x:c r="L1207" s="24"/>
      <x:c r="M1207" s="23"/>
      <x:c r="N1207" s="23"/>
    </x:row>
    <x:row r="1208" ht="70" customHeight="1">
      <x:c r="A1208" s="9" t="str">
        <x:v>QA-NHD-082</x:v>
      </x:c>
      <x:c r="B1208" s="9" t="str">
        <x:v>NHD</x:v>
      </x:c>
      <x:c r="C1208" s="9" t="str">
        <x:v>NC 04 Descuento / USD / propia / R1 Zonas económicas especiales / sin cobro propio</x:v>
      </x:c>
      <x:c r="D1208" s="9" t="str">
        <x:v>P0</x:v>
      </x:c>
      <x:c r="E1208" s="9" t="str">
        <x:v>Positiva</x:v>
      </x:c>
      <x:c r="F1208" s="9" t="str">
        <x:v>Navegador + HTTP + persistencia; Real DEMO y doble identificados por separado</x:v>
      </x:c>
      <x:c r="G1208" s="23" t="str">
        <x:v>Pendiente</x:v>
      </x:c>
      <x:c r="H1208" s="23"/>
      <x:c r="I1208" s="23"/>
      <x:c r="J1208" s="23"/>
      <x:c r="K1208" s="23"/>
      <x:c r="L1208" s="24"/>
      <x:c r="M1208" s="23"/>
      <x:c r="N1208" s="23"/>
    </x:row>
    <x:row r="1209" ht="70" customHeight="1">
      <x:c r="A1209" s="9" t="str">
        <x:v>QA-NHD-083</x:v>
      </x:c>
      <x:c r="B1209" s="9" t="str">
        <x:v>NHD</x:v>
      </x:c>
      <x:c r="C1209" s="9" t="str">
        <x:v>NC 04 Descuento / USD / propia / R2 Zona franca de Paraguaná / sin cobro propio</x:v>
      </x:c>
      <x:c r="D1209" s="9" t="str">
        <x:v>P0</x:v>
      </x:c>
      <x:c r="E1209" s="9" t="str">
        <x:v>Positiva</x:v>
      </x:c>
      <x:c r="F1209" s="9" t="str">
        <x:v>Navegador + HTTP + persistencia; Real DEMO y doble identificados por separado</x:v>
      </x:c>
      <x:c r="G1209" s="23" t="str">
        <x:v>Pendiente</x:v>
      </x:c>
      <x:c r="H1209" s="23"/>
      <x:c r="I1209" s="23"/>
      <x:c r="J1209" s="23"/>
      <x:c r="K1209" s="23"/>
      <x:c r="L1209" s="24"/>
      <x:c r="M1209" s="23"/>
      <x:c r="N1209" s="23"/>
    </x:row>
    <x:row r="1210" ht="70" customHeight="1">
      <x:c r="A1210" s="9" t="str">
        <x:v>QA-NHD-084</x:v>
      </x:c>
      <x:c r="B1210" s="9" t="str">
        <x:v>NHD</x:v>
      </x:c>
      <x:c r="C1210" s="9" t="str">
        <x:v>NC 04 Descuento / USD / propia / R3 Zona libre de Paraguaná / sin cobro propio</x:v>
      </x:c>
      <x:c r="D1210" s="9" t="str">
        <x:v>P0</x:v>
      </x:c>
      <x:c r="E1210" s="9" t="str">
        <x:v>Positiva</x:v>
      </x:c>
      <x:c r="F1210" s="9" t="str">
        <x:v>Navegador + HTTP + persistencia; Real DEMO y doble identificados por separado</x:v>
      </x:c>
      <x:c r="G1210" s="23" t="str">
        <x:v>Pendiente</x:v>
      </x:c>
      <x:c r="H1210" s="23"/>
      <x:c r="I1210" s="23"/>
      <x:c r="J1210" s="23"/>
      <x:c r="K1210" s="23"/>
      <x:c r="L1210" s="24"/>
      <x:c r="M1210" s="23"/>
      <x:c r="N1210" s="23"/>
    </x:row>
    <x:row r="1211" ht="70" customHeight="1">
      <x:c r="A1211" s="9" t="str">
        <x:v>QA-NHD-085</x:v>
      </x:c>
      <x:c r="B1211" s="9" t="str">
        <x:v>NHD</x:v>
      </x:c>
      <x:c r="C1211" s="9" t="str">
        <x:v>NC 04 Descuento / USD / propia / R4 Puerto libre Santa Elena de Uairén / sin cobro propio</x:v>
      </x:c>
      <x:c r="D1211" s="9" t="str">
        <x:v>P0</x:v>
      </x:c>
      <x:c r="E1211" s="9" t="str">
        <x:v>Positiva</x:v>
      </x:c>
      <x:c r="F1211" s="9" t="str">
        <x:v>Navegador + HTTP + persistencia; Real DEMO y doble identificados por separado</x:v>
      </x:c>
      <x:c r="G1211" s="23" t="str">
        <x:v>Pendiente</x:v>
      </x:c>
      <x:c r="H1211" s="23"/>
      <x:c r="I1211" s="23"/>
      <x:c r="J1211" s="23"/>
      <x:c r="K1211" s="23"/>
      <x:c r="L1211" s="24"/>
      <x:c r="M1211" s="23"/>
      <x:c r="N1211" s="23"/>
    </x:row>
    <x:row r="1212" ht="70" customHeight="1">
      <x:c r="A1212" s="9" t="str">
        <x:v>QA-NHD-086</x:v>
      </x:c>
      <x:c r="B1212" s="9" t="str">
        <x:v>NHD</x:v>
      </x:c>
      <x:c r="C1212" s="9" t="str">
        <x:v>NC 04 Descuento / USD / propia / R5 Zona Libre de Mérida / sin cobro propio</x:v>
      </x:c>
      <x:c r="D1212" s="9" t="str">
        <x:v>P0</x:v>
      </x:c>
      <x:c r="E1212" s="9" t="str">
        <x:v>Positiva</x:v>
      </x:c>
      <x:c r="F1212" s="9" t="str">
        <x:v>Navegador + HTTP + persistencia; Real DEMO y doble identificados por separado</x:v>
      </x:c>
      <x:c r="G1212" s="23" t="str">
        <x:v>Pendiente</x:v>
      </x:c>
      <x:c r="H1212" s="23"/>
      <x:c r="I1212" s="23"/>
      <x:c r="J1212" s="23"/>
      <x:c r="K1212" s="23"/>
      <x:c r="L1212" s="24"/>
      <x:c r="M1212" s="23"/>
      <x:c r="N1212" s="23"/>
    </x:row>
    <x:row r="1213" ht="70" customHeight="1">
      <x:c r="A1213" s="9" t="str">
        <x:v>QA-NHD-087</x:v>
      </x:c>
      <x:c r="B1213" s="9" t="str">
        <x:v>NHD</x:v>
      </x:c>
      <x:c r="C1213" s="9" t="str">
        <x:v>NC 04 Descuento / USD / propia / R6 Puerto libre Estado Nueva Esparta / sin cobro propio</x:v>
      </x:c>
      <x:c r="D1213" s="9" t="str">
        <x:v>P0</x:v>
      </x:c>
      <x:c r="E1213" s="9" t="str">
        <x:v>Positiva</x:v>
      </x:c>
      <x:c r="F1213" s="9" t="str">
        <x:v>Navegador + HTTP + persistencia; Real DEMO y doble identificados por separado</x:v>
      </x:c>
      <x:c r="G1213" s="23" t="str">
        <x:v>Pendiente</x:v>
      </x:c>
      <x:c r="H1213" s="23"/>
      <x:c r="I1213" s="23"/>
      <x:c r="J1213" s="23"/>
      <x:c r="K1213" s="23"/>
      <x:c r="L1213" s="24"/>
      <x:c r="M1213" s="23"/>
      <x:c r="N1213" s="23"/>
    </x:row>
    <x:row r="1214" ht="70" customHeight="1">
      <x:c r="A1214" s="9" t="str">
        <x:v>QA-NHD-088</x:v>
      </x:c>
      <x:c r="B1214" s="9" t="str">
        <x:v>NHD</x:v>
      </x:c>
      <x:c r="C1214" s="9" t="str">
        <x:v>NC 04 Descuento / USD / propia / R7 Dutty Free / sin cobro propio</x:v>
      </x:c>
      <x:c r="D1214" s="9" t="str">
        <x:v>P0</x:v>
      </x:c>
      <x:c r="E1214" s="9" t="str">
        <x:v>Positiva</x:v>
      </x:c>
      <x:c r="F1214" s="9" t="str">
        <x:v>Navegador + HTTP + persistencia; Real DEMO y doble identificados por separado</x:v>
      </x:c>
      <x:c r="G1214" s="23" t="str">
        <x:v>Pendiente</x:v>
      </x:c>
      <x:c r="H1214" s="23"/>
      <x:c r="I1214" s="23"/>
      <x:c r="J1214" s="23"/>
      <x:c r="K1214" s="23"/>
      <x:c r="L1214" s="24"/>
      <x:c r="M1214" s="23"/>
      <x:c r="N1214" s="23"/>
    </x:row>
    <x:row r="1215" ht="70" customHeight="1">
      <x:c r="A1215" s="9" t="str">
        <x:v>QA-NHD-089</x:v>
      </x:c>
      <x:c r="B1215" s="9" t="str">
        <x:v>NHD</x:v>
      </x:c>
      <x:c r="C1215" s="9" t="str">
        <x:v>NC 04 Descuento / USD / terceros / R0 Sin régimen / sin cobro propio</x:v>
      </x:c>
      <x:c r="D1215" s="9" t="str">
        <x:v>P0</x:v>
      </x:c>
      <x:c r="E1215" s="9" t="str">
        <x:v>Positiva</x:v>
      </x:c>
      <x:c r="F1215" s="9" t="str">
        <x:v>Navegador + HTTP + persistencia; Real DEMO y doble identificados por separado</x:v>
      </x:c>
      <x:c r="G1215" s="23" t="str">
        <x:v>Pendiente</x:v>
      </x:c>
      <x:c r="H1215" s="23"/>
      <x:c r="I1215" s="23"/>
      <x:c r="J1215" s="23"/>
      <x:c r="K1215" s="23"/>
      <x:c r="L1215" s="24"/>
      <x:c r="M1215" s="23"/>
      <x:c r="N1215" s="23"/>
    </x:row>
    <x:row r="1216" ht="70" customHeight="1">
      <x:c r="A1216" s="9" t="str">
        <x:v>QA-NHD-090</x:v>
      </x:c>
      <x:c r="B1216" s="9" t="str">
        <x:v>NHD</x:v>
      </x:c>
      <x:c r="C1216" s="9" t="str">
        <x:v>NC 04 Descuento / USD / terceros / R1 Zonas económicas especiales / sin cobro propio</x:v>
      </x:c>
      <x:c r="D1216" s="9" t="str">
        <x:v>P0</x:v>
      </x:c>
      <x:c r="E1216" s="9" t="str">
        <x:v>Positiva</x:v>
      </x:c>
      <x:c r="F1216" s="9" t="str">
        <x:v>Navegador + HTTP + persistencia; Real DEMO y doble identificados por separado</x:v>
      </x:c>
      <x:c r="G1216" s="23" t="str">
        <x:v>Pendiente</x:v>
      </x:c>
      <x:c r="H1216" s="23"/>
      <x:c r="I1216" s="23"/>
      <x:c r="J1216" s="23"/>
      <x:c r="K1216" s="23"/>
      <x:c r="L1216" s="24"/>
      <x:c r="M1216" s="23"/>
      <x:c r="N1216" s="23"/>
    </x:row>
    <x:row r="1217" ht="70" customHeight="1">
      <x:c r="A1217" s="9" t="str">
        <x:v>QA-NHD-091</x:v>
      </x:c>
      <x:c r="B1217" s="9" t="str">
        <x:v>NHD</x:v>
      </x:c>
      <x:c r="C1217" s="9" t="str">
        <x:v>NC 04 Descuento / USD / terceros / R2 Zona franca de Paraguaná / sin cobro propio</x:v>
      </x:c>
      <x:c r="D1217" s="9" t="str">
        <x:v>P0</x:v>
      </x:c>
      <x:c r="E1217" s="9" t="str">
        <x:v>Positiva</x:v>
      </x:c>
      <x:c r="F1217" s="9" t="str">
        <x:v>Navegador + HTTP + persistencia; Real DEMO y doble identificados por separado</x:v>
      </x:c>
      <x:c r="G1217" s="23" t="str">
        <x:v>Pendiente</x:v>
      </x:c>
      <x:c r="H1217" s="23"/>
      <x:c r="I1217" s="23"/>
      <x:c r="J1217" s="23"/>
      <x:c r="K1217" s="23"/>
      <x:c r="L1217" s="24"/>
      <x:c r="M1217" s="23"/>
      <x:c r="N1217" s="23"/>
    </x:row>
    <x:row r="1218" ht="70" customHeight="1">
      <x:c r="A1218" s="9" t="str">
        <x:v>QA-NHD-092</x:v>
      </x:c>
      <x:c r="B1218" s="9" t="str">
        <x:v>NHD</x:v>
      </x:c>
      <x:c r="C1218" s="9" t="str">
        <x:v>NC 04 Descuento / USD / terceros / R3 Zona libre de Paraguaná / sin cobro propio</x:v>
      </x:c>
      <x:c r="D1218" s="9" t="str">
        <x:v>P0</x:v>
      </x:c>
      <x:c r="E1218" s="9" t="str">
        <x:v>Positiva</x:v>
      </x:c>
      <x:c r="F1218" s="9" t="str">
        <x:v>Navegador + HTTP + persistencia; Real DEMO y doble identificados por separado</x:v>
      </x:c>
      <x:c r="G1218" s="23" t="str">
        <x:v>Pendiente</x:v>
      </x:c>
      <x:c r="H1218" s="23"/>
      <x:c r="I1218" s="23"/>
      <x:c r="J1218" s="23"/>
      <x:c r="K1218" s="23"/>
      <x:c r="L1218" s="24"/>
      <x:c r="M1218" s="23"/>
      <x:c r="N1218" s="23"/>
    </x:row>
    <x:row r="1219" ht="70" customHeight="1">
      <x:c r="A1219" s="9" t="str">
        <x:v>QA-NHD-093</x:v>
      </x:c>
      <x:c r="B1219" s="9" t="str">
        <x:v>NHD</x:v>
      </x:c>
      <x:c r="C1219" s="9" t="str">
        <x:v>NC 04 Descuento / USD / terceros / R4 Puerto libre Santa Elena de Uairén / sin cobro propio</x:v>
      </x:c>
      <x:c r="D1219" s="9" t="str">
        <x:v>P0</x:v>
      </x:c>
      <x:c r="E1219" s="9" t="str">
        <x:v>Positiva</x:v>
      </x:c>
      <x:c r="F1219" s="9" t="str">
        <x:v>Navegador + HTTP + persistencia; Real DEMO y doble identificados por separado</x:v>
      </x:c>
      <x:c r="G1219" s="23" t="str">
        <x:v>Pendiente</x:v>
      </x:c>
      <x:c r="H1219" s="23"/>
      <x:c r="I1219" s="23"/>
      <x:c r="J1219" s="23"/>
      <x:c r="K1219" s="23"/>
      <x:c r="L1219" s="24"/>
      <x:c r="M1219" s="23"/>
      <x:c r="N1219" s="23"/>
    </x:row>
    <x:row r="1220" ht="70" customHeight="1">
      <x:c r="A1220" s="9" t="str">
        <x:v>QA-NHD-094</x:v>
      </x:c>
      <x:c r="B1220" s="9" t="str">
        <x:v>NHD</x:v>
      </x:c>
      <x:c r="C1220" s="9" t="str">
        <x:v>NC 04 Descuento / USD / terceros / R5 Zona Libre de Mérida / sin cobro propio</x:v>
      </x:c>
      <x:c r="D1220" s="9" t="str">
        <x:v>P0</x:v>
      </x:c>
      <x:c r="E1220" s="9" t="str">
        <x:v>Positiva</x:v>
      </x:c>
      <x:c r="F1220" s="9" t="str">
        <x:v>Navegador + HTTP + persistencia; Real DEMO y doble identificados por separado</x:v>
      </x:c>
      <x:c r="G1220" s="23" t="str">
        <x:v>Pendiente</x:v>
      </x:c>
      <x:c r="H1220" s="23"/>
      <x:c r="I1220" s="23"/>
      <x:c r="J1220" s="23"/>
      <x:c r="K1220" s="23"/>
      <x:c r="L1220" s="24"/>
      <x:c r="M1220" s="23"/>
      <x:c r="N1220" s="23"/>
    </x:row>
    <x:row r="1221" ht="70" customHeight="1">
      <x:c r="A1221" s="9" t="str">
        <x:v>QA-NHD-095</x:v>
      </x:c>
      <x:c r="B1221" s="9" t="str">
        <x:v>NHD</x:v>
      </x:c>
      <x:c r="C1221" s="9" t="str">
        <x:v>NC 04 Descuento / USD / terceros / R6 Puerto libre Estado Nueva Esparta / sin cobro propio</x:v>
      </x:c>
      <x:c r="D1221" s="9" t="str">
        <x:v>P0</x:v>
      </x:c>
      <x:c r="E1221" s="9" t="str">
        <x:v>Positiva</x:v>
      </x:c>
      <x:c r="F1221" s="9" t="str">
        <x:v>Navegador + HTTP + persistencia; Real DEMO y doble identificados por separado</x:v>
      </x:c>
      <x:c r="G1221" s="23" t="str">
        <x:v>Pendiente</x:v>
      </x:c>
      <x:c r="H1221" s="23"/>
      <x:c r="I1221" s="23"/>
      <x:c r="J1221" s="23"/>
      <x:c r="K1221" s="23"/>
      <x:c r="L1221" s="24"/>
      <x:c r="M1221" s="23"/>
      <x:c r="N1221" s="23"/>
    </x:row>
    <x:row r="1222" ht="70" customHeight="1">
      <x:c r="A1222" s="9" t="str">
        <x:v>QA-NHD-096</x:v>
      </x:c>
      <x:c r="B1222" s="9" t="str">
        <x:v>NHD</x:v>
      </x:c>
      <x:c r="C1222" s="9" t="str">
        <x:v>NC 04 Descuento / USD / terceros / R7 Dutty Free / sin cobro propio</x:v>
      </x:c>
      <x:c r="D1222" s="9" t="str">
        <x:v>P0</x:v>
      </x:c>
      <x:c r="E1222" s="9" t="str">
        <x:v>Positiva</x:v>
      </x:c>
      <x:c r="F1222" s="9" t="str">
        <x:v>Navegador + HTTP + persistencia; Real DEMO y doble identificados por separado</x:v>
      </x:c>
      <x:c r="G1222" s="23" t="str">
        <x:v>Pendiente</x:v>
      </x:c>
      <x:c r="H1222" s="23"/>
      <x:c r="I1222" s="23"/>
      <x:c r="J1222" s="23"/>
      <x:c r="K1222" s="23"/>
      <x:c r="L1222" s="24"/>
      <x:c r="M1222" s="23"/>
      <x:c r="N1222" s="23"/>
    </x:row>
    <x:row r="1223" ht="70" customHeight="1">
      <x:c r="A1223" s="9" t="str">
        <x:v>QA-NHD-097</x:v>
      </x:c>
      <x:c r="B1223" s="9" t="str">
        <x:v>NHD</x:v>
      </x:c>
      <x:c r="C1223" s="9" t="str">
        <x:v>NC 09 Corrección de precios / VES / propia / R0 Sin régimen / sin cobro propio</x:v>
      </x:c>
      <x:c r="D1223" s="9" t="str">
        <x:v>P0</x:v>
      </x:c>
      <x:c r="E1223" s="9" t="str">
        <x:v>Positiva</x:v>
      </x:c>
      <x:c r="F1223" s="9" t="str">
        <x:v>Navegador + HTTP + persistencia; Real DEMO y doble identificados por separado</x:v>
      </x:c>
      <x:c r="G1223" s="23" t="str">
        <x:v>Pendiente</x:v>
      </x:c>
      <x:c r="H1223" s="23"/>
      <x:c r="I1223" s="23"/>
      <x:c r="J1223" s="23"/>
      <x:c r="K1223" s="23"/>
      <x:c r="L1223" s="24"/>
      <x:c r="M1223" s="23"/>
      <x:c r="N1223" s="23"/>
    </x:row>
    <x:row r="1224" ht="70" customHeight="1">
      <x:c r="A1224" s="9" t="str">
        <x:v>QA-NHD-098</x:v>
      </x:c>
      <x:c r="B1224" s="9" t="str">
        <x:v>NHD</x:v>
      </x:c>
      <x:c r="C1224" s="9" t="str">
        <x:v>NC 09 Corrección de precios / VES / propia / R1 Zonas económicas especiales / sin cobro propio</x:v>
      </x:c>
      <x:c r="D1224" s="9" t="str">
        <x:v>P0</x:v>
      </x:c>
      <x:c r="E1224" s="9" t="str">
        <x:v>Positiva</x:v>
      </x:c>
      <x:c r="F1224" s="9" t="str">
        <x:v>Navegador + HTTP + persistencia; Real DEMO y doble identificados por separado</x:v>
      </x:c>
      <x:c r="G1224" s="23" t="str">
        <x:v>Pendiente</x:v>
      </x:c>
      <x:c r="H1224" s="23"/>
      <x:c r="I1224" s="23"/>
      <x:c r="J1224" s="23"/>
      <x:c r="K1224" s="23"/>
      <x:c r="L1224" s="24"/>
      <x:c r="M1224" s="23"/>
      <x:c r="N1224" s="23"/>
    </x:row>
    <x:row r="1225" ht="70" customHeight="1">
      <x:c r="A1225" s="9" t="str">
        <x:v>QA-NHD-099</x:v>
      </x:c>
      <x:c r="B1225" s="9" t="str">
        <x:v>NHD</x:v>
      </x:c>
      <x:c r="C1225" s="9" t="str">
        <x:v>NC 09 Corrección de precios / VES / propia / R2 Zona franca de Paraguaná / sin cobro propio</x:v>
      </x:c>
      <x:c r="D1225" s="9" t="str">
        <x:v>P0</x:v>
      </x:c>
      <x:c r="E1225" s="9" t="str">
        <x:v>Positiva</x:v>
      </x:c>
      <x:c r="F1225" s="9" t="str">
        <x:v>Navegador + HTTP + persistencia; Real DEMO y doble identificados por separado</x:v>
      </x:c>
      <x:c r="G1225" s="23" t="str">
        <x:v>Pendiente</x:v>
      </x:c>
      <x:c r="H1225" s="23"/>
      <x:c r="I1225" s="23"/>
      <x:c r="J1225" s="23"/>
      <x:c r="K1225" s="23"/>
      <x:c r="L1225" s="24"/>
      <x:c r="M1225" s="23"/>
      <x:c r="N1225" s="23"/>
    </x:row>
    <x:row r="1226" ht="70" customHeight="1">
      <x:c r="A1226" s="9" t="str">
        <x:v>QA-NHD-100</x:v>
      </x:c>
      <x:c r="B1226" s="9" t="str">
        <x:v>NHD</x:v>
      </x:c>
      <x:c r="C1226" s="9" t="str">
        <x:v>NC 09 Corrección de precios / VES / propia / R3 Zona libre de Paraguaná / sin cobro propio</x:v>
      </x:c>
      <x:c r="D1226" s="9" t="str">
        <x:v>P0</x:v>
      </x:c>
      <x:c r="E1226" s="9" t="str">
        <x:v>Positiva</x:v>
      </x:c>
      <x:c r="F1226" s="9" t="str">
        <x:v>Navegador + HTTP + persistencia; Real DEMO y doble identificados por separado</x:v>
      </x:c>
      <x:c r="G1226" s="23" t="str">
        <x:v>Pendiente</x:v>
      </x:c>
      <x:c r="H1226" s="23"/>
      <x:c r="I1226" s="23"/>
      <x:c r="J1226" s="23"/>
      <x:c r="K1226" s="23"/>
      <x:c r="L1226" s="24"/>
      <x:c r="M1226" s="23"/>
      <x:c r="N1226" s="23"/>
    </x:row>
    <x:row r="1227" ht="70" customHeight="1">
      <x:c r="A1227" s="9" t="str">
        <x:v>QA-NHD-101</x:v>
      </x:c>
      <x:c r="B1227" s="9" t="str">
        <x:v>NHD</x:v>
      </x:c>
      <x:c r="C1227" s="9" t="str">
        <x:v>NC 09 Corrección de precios / VES / propia / R4 Puerto libre Santa Elena de Uairén / sin cobro propio</x:v>
      </x:c>
      <x:c r="D1227" s="9" t="str">
        <x:v>P0</x:v>
      </x:c>
      <x:c r="E1227" s="9" t="str">
        <x:v>Positiva</x:v>
      </x:c>
      <x:c r="F1227" s="9" t="str">
        <x:v>Navegador + HTTP + persistencia; Real DEMO y doble identificados por separado</x:v>
      </x:c>
      <x:c r="G1227" s="23" t="str">
        <x:v>Pendiente</x:v>
      </x:c>
      <x:c r="H1227" s="23"/>
      <x:c r="I1227" s="23"/>
      <x:c r="J1227" s="23"/>
      <x:c r="K1227" s="23"/>
      <x:c r="L1227" s="24"/>
      <x:c r="M1227" s="23"/>
      <x:c r="N1227" s="23"/>
    </x:row>
    <x:row r="1228" ht="70" customHeight="1">
      <x:c r="A1228" s="9" t="str">
        <x:v>QA-NHD-102</x:v>
      </x:c>
      <x:c r="B1228" s="9" t="str">
        <x:v>NHD</x:v>
      </x:c>
      <x:c r="C1228" s="9" t="str">
        <x:v>NC 09 Corrección de precios / VES / propia / R5 Zona Libre de Mérida / sin cobro propio</x:v>
      </x:c>
      <x:c r="D1228" s="9" t="str">
        <x:v>P0</x:v>
      </x:c>
      <x:c r="E1228" s="9" t="str">
        <x:v>Positiva</x:v>
      </x:c>
      <x:c r="F1228" s="9" t="str">
        <x:v>Navegador + HTTP + persistencia; Real DEMO y doble identificados por separado</x:v>
      </x:c>
      <x:c r="G1228" s="23" t="str">
        <x:v>Pendiente</x:v>
      </x:c>
      <x:c r="H1228" s="23"/>
      <x:c r="I1228" s="23"/>
      <x:c r="J1228" s="23"/>
      <x:c r="K1228" s="23"/>
      <x:c r="L1228" s="24"/>
      <x:c r="M1228" s="23"/>
      <x:c r="N1228" s="23"/>
    </x:row>
    <x:row r="1229" ht="70" customHeight="1">
      <x:c r="A1229" s="9" t="str">
        <x:v>QA-NHD-103</x:v>
      </x:c>
      <x:c r="B1229" s="9" t="str">
        <x:v>NHD</x:v>
      </x:c>
      <x:c r="C1229" s="9" t="str">
        <x:v>NC 09 Corrección de precios / VES / propia / R6 Puerto libre Estado Nueva Esparta / sin cobro propio</x:v>
      </x:c>
      <x:c r="D1229" s="9" t="str">
        <x:v>P0</x:v>
      </x:c>
      <x:c r="E1229" s="9" t="str">
        <x:v>Positiva</x:v>
      </x:c>
      <x:c r="F1229" s="9" t="str">
        <x:v>Navegador + HTTP + persistencia; Real DEMO y doble identificados por separado</x:v>
      </x:c>
      <x:c r="G1229" s="23" t="str">
        <x:v>Pendiente</x:v>
      </x:c>
      <x:c r="H1229" s="23"/>
      <x:c r="I1229" s="23"/>
      <x:c r="J1229" s="23"/>
      <x:c r="K1229" s="23"/>
      <x:c r="L1229" s="24"/>
      <x:c r="M1229" s="23"/>
      <x:c r="N1229" s="23"/>
    </x:row>
    <x:row r="1230" ht="70" customHeight="1">
      <x:c r="A1230" s="9" t="str">
        <x:v>QA-NHD-104</x:v>
      </x:c>
      <x:c r="B1230" s="9" t="str">
        <x:v>NHD</x:v>
      </x:c>
      <x:c r="C1230" s="9" t="str">
        <x:v>NC 09 Corrección de precios / VES / propia / R7 Dutty Free / sin cobro propio</x:v>
      </x:c>
      <x:c r="D1230" s="9" t="str">
        <x:v>P0</x:v>
      </x:c>
      <x:c r="E1230" s="9" t="str">
        <x:v>Positiva</x:v>
      </x:c>
      <x:c r="F1230" s="9" t="str">
        <x:v>Navegador + HTTP + persistencia; Real DEMO y doble identificados por separado</x:v>
      </x:c>
      <x:c r="G1230" s="23" t="str">
        <x:v>Pendiente</x:v>
      </x:c>
      <x:c r="H1230" s="23"/>
      <x:c r="I1230" s="23"/>
      <x:c r="J1230" s="23"/>
      <x:c r="K1230" s="23"/>
      <x:c r="L1230" s="24"/>
      <x:c r="M1230" s="23"/>
      <x:c r="N1230" s="23"/>
    </x:row>
    <x:row r="1231" ht="70" customHeight="1">
      <x:c r="A1231" s="9" t="str">
        <x:v>QA-NHD-105</x:v>
      </x:c>
      <x:c r="B1231" s="9" t="str">
        <x:v>NHD</x:v>
      </x:c>
      <x:c r="C1231" s="9" t="str">
        <x:v>NC 09 Corrección de precios / VES / terceros / R0 Sin régimen / sin cobro propio</x:v>
      </x:c>
      <x:c r="D1231" s="9" t="str">
        <x:v>P0</x:v>
      </x:c>
      <x:c r="E1231" s="9" t="str">
        <x:v>Positiva</x:v>
      </x:c>
      <x:c r="F1231" s="9" t="str">
        <x:v>Navegador + HTTP + persistencia; Real DEMO y doble identificados por separado</x:v>
      </x:c>
      <x:c r="G1231" s="23" t="str">
        <x:v>Pendiente</x:v>
      </x:c>
      <x:c r="H1231" s="23"/>
      <x:c r="I1231" s="23"/>
      <x:c r="J1231" s="23"/>
      <x:c r="K1231" s="23"/>
      <x:c r="L1231" s="24"/>
      <x:c r="M1231" s="23"/>
      <x:c r="N1231" s="23"/>
    </x:row>
    <x:row r="1232" ht="70" customHeight="1">
      <x:c r="A1232" s="9" t="str">
        <x:v>QA-NHD-106</x:v>
      </x:c>
      <x:c r="B1232" s="9" t="str">
        <x:v>NHD</x:v>
      </x:c>
      <x:c r="C1232" s="9" t="str">
        <x:v>NC 09 Corrección de precios / VES / terceros / R1 Zonas económicas especiales / sin cobro propio</x:v>
      </x:c>
      <x:c r="D1232" s="9" t="str">
        <x:v>P0</x:v>
      </x:c>
      <x:c r="E1232" s="9" t="str">
        <x:v>Positiva</x:v>
      </x:c>
      <x:c r="F1232" s="9" t="str">
        <x:v>Navegador + HTTP + persistencia; Real DEMO y doble identificados por separado</x:v>
      </x:c>
      <x:c r="G1232" s="23" t="str">
        <x:v>Pendiente</x:v>
      </x:c>
      <x:c r="H1232" s="23"/>
      <x:c r="I1232" s="23"/>
      <x:c r="J1232" s="23"/>
      <x:c r="K1232" s="23"/>
      <x:c r="L1232" s="24"/>
      <x:c r="M1232" s="23"/>
      <x:c r="N1232" s="23"/>
    </x:row>
    <x:row r="1233" ht="70" customHeight="1">
      <x:c r="A1233" s="9" t="str">
        <x:v>QA-NHD-107</x:v>
      </x:c>
      <x:c r="B1233" s="9" t="str">
        <x:v>NHD</x:v>
      </x:c>
      <x:c r="C1233" s="9" t="str">
        <x:v>NC 09 Corrección de precios / VES / terceros / R2 Zona franca de Paraguaná / sin cobro propio</x:v>
      </x:c>
      <x:c r="D1233" s="9" t="str">
        <x:v>P0</x:v>
      </x:c>
      <x:c r="E1233" s="9" t="str">
        <x:v>Positiva</x:v>
      </x:c>
      <x:c r="F1233" s="9" t="str">
        <x:v>Navegador + HTTP + persistencia; Real DEMO y doble identificados por separado</x:v>
      </x:c>
      <x:c r="G1233" s="23" t="str">
        <x:v>Pendiente</x:v>
      </x:c>
      <x:c r="H1233" s="23"/>
      <x:c r="I1233" s="23"/>
      <x:c r="J1233" s="23"/>
      <x:c r="K1233" s="23"/>
      <x:c r="L1233" s="24"/>
      <x:c r="M1233" s="23"/>
      <x:c r="N1233" s="23"/>
    </x:row>
    <x:row r="1234" ht="70" customHeight="1">
      <x:c r="A1234" s="9" t="str">
        <x:v>QA-NHD-108</x:v>
      </x:c>
      <x:c r="B1234" s="9" t="str">
        <x:v>NHD</x:v>
      </x:c>
      <x:c r="C1234" s="9" t="str">
        <x:v>NC 09 Corrección de precios / VES / terceros / R3 Zona libre de Paraguaná / sin cobro propio</x:v>
      </x:c>
      <x:c r="D1234" s="9" t="str">
        <x:v>P0</x:v>
      </x:c>
      <x:c r="E1234" s="9" t="str">
        <x:v>Positiva</x:v>
      </x:c>
      <x:c r="F1234" s="9" t="str">
        <x:v>Navegador + HTTP + persistencia; Real DEMO y doble identificados por separado</x:v>
      </x:c>
      <x:c r="G1234" s="23" t="str">
        <x:v>Pendiente</x:v>
      </x:c>
      <x:c r="H1234" s="23"/>
      <x:c r="I1234" s="23"/>
      <x:c r="J1234" s="23"/>
      <x:c r="K1234" s="23"/>
      <x:c r="L1234" s="24"/>
      <x:c r="M1234" s="23"/>
      <x:c r="N1234" s="23"/>
    </x:row>
    <x:row r="1235" ht="70" customHeight="1">
      <x:c r="A1235" s="9" t="str">
        <x:v>QA-NHD-109</x:v>
      </x:c>
      <x:c r="B1235" s="9" t="str">
        <x:v>NHD</x:v>
      </x:c>
      <x:c r="C1235" s="9" t="str">
        <x:v>NC 09 Corrección de precios / VES / terceros / R4 Puerto libre Santa Elena de Uairén / sin cobro propio</x:v>
      </x:c>
      <x:c r="D1235" s="9" t="str">
        <x:v>P0</x:v>
      </x:c>
      <x:c r="E1235" s="9" t="str">
        <x:v>Positiva</x:v>
      </x:c>
      <x:c r="F1235" s="9" t="str">
        <x:v>Navegador + HTTP + persistencia; Real DEMO y doble identificados por separado</x:v>
      </x:c>
      <x:c r="G1235" s="23" t="str">
        <x:v>Pendiente</x:v>
      </x:c>
      <x:c r="H1235" s="23"/>
      <x:c r="I1235" s="23"/>
      <x:c r="J1235" s="23"/>
      <x:c r="K1235" s="23"/>
      <x:c r="L1235" s="24"/>
      <x:c r="M1235" s="23"/>
      <x:c r="N1235" s="23"/>
    </x:row>
    <x:row r="1236" ht="70" customHeight="1">
      <x:c r="A1236" s="9" t="str">
        <x:v>QA-NHD-110</x:v>
      </x:c>
      <x:c r="B1236" s="9" t="str">
        <x:v>NHD</x:v>
      </x:c>
      <x:c r="C1236" s="9" t="str">
        <x:v>NC 09 Corrección de precios / VES / terceros / R5 Zona Libre de Mérida / sin cobro propio</x:v>
      </x:c>
      <x:c r="D1236" s="9" t="str">
        <x:v>P0</x:v>
      </x:c>
      <x:c r="E1236" s="9" t="str">
        <x:v>Positiva</x:v>
      </x:c>
      <x:c r="F1236" s="9" t="str">
        <x:v>Navegador + HTTP + persistencia; Real DEMO y doble identificados por separado</x:v>
      </x:c>
      <x:c r="G1236" s="23" t="str">
        <x:v>Pendiente</x:v>
      </x:c>
      <x:c r="H1236" s="23"/>
      <x:c r="I1236" s="23"/>
      <x:c r="J1236" s="23"/>
      <x:c r="K1236" s="23"/>
      <x:c r="L1236" s="24"/>
      <x:c r="M1236" s="23"/>
      <x:c r="N1236" s="23"/>
    </x:row>
    <x:row r="1237" ht="70" customHeight="1">
      <x:c r="A1237" s="9" t="str">
        <x:v>QA-NHD-111</x:v>
      </x:c>
      <x:c r="B1237" s="9" t="str">
        <x:v>NHD</x:v>
      </x:c>
      <x:c r="C1237" s="9" t="str">
        <x:v>NC 09 Corrección de precios / VES / terceros / R6 Puerto libre Estado Nueva Esparta / sin cobro propio</x:v>
      </x:c>
      <x:c r="D1237" s="9" t="str">
        <x:v>P0</x:v>
      </x:c>
      <x:c r="E1237" s="9" t="str">
        <x:v>Positiva</x:v>
      </x:c>
      <x:c r="F1237" s="9" t="str">
        <x:v>Navegador + HTTP + persistencia; Real DEMO y doble identificados por separado</x:v>
      </x:c>
      <x:c r="G1237" s="23" t="str">
        <x:v>Pendiente</x:v>
      </x:c>
      <x:c r="H1237" s="23"/>
      <x:c r="I1237" s="23"/>
      <x:c r="J1237" s="23"/>
      <x:c r="K1237" s="23"/>
      <x:c r="L1237" s="24"/>
      <x:c r="M1237" s="23"/>
      <x:c r="N1237" s="23"/>
    </x:row>
    <x:row r="1238" ht="70" customHeight="1">
      <x:c r="A1238" s="9" t="str">
        <x:v>QA-NHD-112</x:v>
      </x:c>
      <x:c r="B1238" s="9" t="str">
        <x:v>NHD</x:v>
      </x:c>
      <x:c r="C1238" s="9" t="str">
        <x:v>NC 09 Corrección de precios / VES / terceros / R7 Dutty Free / sin cobro propio</x:v>
      </x:c>
      <x:c r="D1238" s="9" t="str">
        <x:v>P0</x:v>
      </x:c>
      <x:c r="E1238" s="9" t="str">
        <x:v>Positiva</x:v>
      </x:c>
      <x:c r="F1238" s="9" t="str">
        <x:v>Navegador + HTTP + persistencia; Real DEMO y doble identificados por separado</x:v>
      </x:c>
      <x:c r="G1238" s="23" t="str">
        <x:v>Pendiente</x:v>
      </x:c>
      <x:c r="H1238" s="23"/>
      <x:c r="I1238" s="23"/>
      <x:c r="J1238" s="23"/>
      <x:c r="K1238" s="23"/>
      <x:c r="L1238" s="24"/>
      <x:c r="M1238" s="23"/>
      <x:c r="N1238" s="23"/>
    </x:row>
    <x:row r="1239" ht="70" customHeight="1">
      <x:c r="A1239" s="9" t="str">
        <x:v>QA-NHD-113</x:v>
      </x:c>
      <x:c r="B1239" s="9" t="str">
        <x:v>NHD</x:v>
      </x:c>
      <x:c r="C1239" s="9" t="str">
        <x:v>NC 09 Corrección de precios / USD / propia / R0 Sin régimen / sin cobro propio</x:v>
      </x:c>
      <x:c r="D1239" s="9" t="str">
        <x:v>P0</x:v>
      </x:c>
      <x:c r="E1239" s="9" t="str">
        <x:v>Positiva</x:v>
      </x:c>
      <x:c r="F1239" s="9" t="str">
        <x:v>Navegador + HTTP + persistencia; Real DEMO y doble identificados por separado</x:v>
      </x:c>
      <x:c r="G1239" s="23" t="str">
        <x:v>Pendiente</x:v>
      </x:c>
      <x:c r="H1239" s="23"/>
      <x:c r="I1239" s="23"/>
      <x:c r="J1239" s="23"/>
      <x:c r="K1239" s="23"/>
      <x:c r="L1239" s="24"/>
      <x:c r="M1239" s="23"/>
      <x:c r="N1239" s="23"/>
    </x:row>
    <x:row r="1240" ht="70" customHeight="1">
      <x:c r="A1240" s="9" t="str">
        <x:v>QA-NHD-114</x:v>
      </x:c>
      <x:c r="B1240" s="9" t="str">
        <x:v>NHD</x:v>
      </x:c>
      <x:c r="C1240" s="9" t="str">
        <x:v>NC 09 Corrección de precios / USD / propia / R1 Zonas económicas especiales / sin cobro propio</x:v>
      </x:c>
      <x:c r="D1240" s="9" t="str">
        <x:v>P0</x:v>
      </x:c>
      <x:c r="E1240" s="9" t="str">
        <x:v>Positiva</x:v>
      </x:c>
      <x:c r="F1240" s="9" t="str">
        <x:v>Navegador + HTTP + persistencia; Real DEMO y doble identificados por separado</x:v>
      </x:c>
      <x:c r="G1240" s="23" t="str">
        <x:v>Pendiente</x:v>
      </x:c>
      <x:c r="H1240" s="23"/>
      <x:c r="I1240" s="23"/>
      <x:c r="J1240" s="23"/>
      <x:c r="K1240" s="23"/>
      <x:c r="L1240" s="24"/>
      <x:c r="M1240" s="23"/>
      <x:c r="N1240" s="23"/>
    </x:row>
    <x:row r="1241" ht="70" customHeight="1">
      <x:c r="A1241" s="9" t="str">
        <x:v>QA-NHD-115</x:v>
      </x:c>
      <x:c r="B1241" s="9" t="str">
        <x:v>NHD</x:v>
      </x:c>
      <x:c r="C1241" s="9" t="str">
        <x:v>NC 09 Corrección de precios / USD / propia / R2 Zona franca de Paraguaná / sin cobro propio</x:v>
      </x:c>
      <x:c r="D1241" s="9" t="str">
        <x:v>P0</x:v>
      </x:c>
      <x:c r="E1241" s="9" t="str">
        <x:v>Positiva</x:v>
      </x:c>
      <x:c r="F1241" s="9" t="str">
        <x:v>Navegador + HTTP + persistencia; Real DEMO y doble identificados por separado</x:v>
      </x:c>
      <x:c r="G1241" s="23" t="str">
        <x:v>Pendiente</x:v>
      </x:c>
      <x:c r="H1241" s="23"/>
      <x:c r="I1241" s="23"/>
      <x:c r="J1241" s="23"/>
      <x:c r="K1241" s="23"/>
      <x:c r="L1241" s="24"/>
      <x:c r="M1241" s="23"/>
      <x:c r="N1241" s="23"/>
    </x:row>
    <x:row r="1242" ht="70" customHeight="1">
      <x:c r="A1242" s="9" t="str">
        <x:v>QA-NHD-116</x:v>
      </x:c>
      <x:c r="B1242" s="9" t="str">
        <x:v>NHD</x:v>
      </x:c>
      <x:c r="C1242" s="9" t="str">
        <x:v>NC 09 Corrección de precios / USD / propia / R3 Zona libre de Paraguaná / sin cobro propio</x:v>
      </x:c>
      <x:c r="D1242" s="9" t="str">
        <x:v>P0</x:v>
      </x:c>
      <x:c r="E1242" s="9" t="str">
        <x:v>Positiva</x:v>
      </x:c>
      <x:c r="F1242" s="9" t="str">
        <x:v>Navegador + HTTP + persistencia; Real DEMO y doble identificados por separado</x:v>
      </x:c>
      <x:c r="G1242" s="23" t="str">
        <x:v>Pendiente</x:v>
      </x:c>
      <x:c r="H1242" s="23"/>
      <x:c r="I1242" s="23"/>
      <x:c r="J1242" s="23"/>
      <x:c r="K1242" s="23"/>
      <x:c r="L1242" s="24"/>
      <x:c r="M1242" s="23"/>
      <x:c r="N1242" s="23"/>
    </x:row>
    <x:row r="1243" ht="70" customHeight="1">
      <x:c r="A1243" s="9" t="str">
        <x:v>QA-NHD-117</x:v>
      </x:c>
      <x:c r="B1243" s="9" t="str">
        <x:v>NHD</x:v>
      </x:c>
      <x:c r="C1243" s="9" t="str">
        <x:v>NC 09 Corrección de precios / USD / propia / R4 Puerto libre Santa Elena de Uairén / sin cobro propio</x:v>
      </x:c>
      <x:c r="D1243" s="9" t="str">
        <x:v>P0</x:v>
      </x:c>
      <x:c r="E1243" s="9" t="str">
        <x:v>Positiva</x:v>
      </x:c>
      <x:c r="F1243" s="9" t="str">
        <x:v>Navegador + HTTP + persistencia; Real DEMO y doble identificados por separado</x:v>
      </x:c>
      <x:c r="G1243" s="23" t="str">
        <x:v>Pendiente</x:v>
      </x:c>
      <x:c r="H1243" s="23"/>
      <x:c r="I1243" s="23"/>
      <x:c r="J1243" s="23"/>
      <x:c r="K1243" s="23"/>
      <x:c r="L1243" s="24"/>
      <x:c r="M1243" s="23"/>
      <x:c r="N1243" s="23"/>
    </x:row>
    <x:row r="1244" ht="70" customHeight="1">
      <x:c r="A1244" s="9" t="str">
        <x:v>QA-NHD-118</x:v>
      </x:c>
      <x:c r="B1244" s="9" t="str">
        <x:v>NHD</x:v>
      </x:c>
      <x:c r="C1244" s="9" t="str">
        <x:v>NC 09 Corrección de precios / USD / propia / R5 Zona Libre de Mérida / sin cobro propio</x:v>
      </x:c>
      <x:c r="D1244" s="9" t="str">
        <x:v>P0</x:v>
      </x:c>
      <x:c r="E1244" s="9" t="str">
        <x:v>Positiva</x:v>
      </x:c>
      <x:c r="F1244" s="9" t="str">
        <x:v>Navegador + HTTP + persistencia; Real DEMO y doble identificados por separado</x:v>
      </x:c>
      <x:c r="G1244" s="23" t="str">
        <x:v>Pendiente</x:v>
      </x:c>
      <x:c r="H1244" s="23"/>
      <x:c r="I1244" s="23"/>
      <x:c r="J1244" s="23"/>
      <x:c r="K1244" s="23"/>
      <x:c r="L1244" s="24"/>
      <x:c r="M1244" s="23"/>
      <x:c r="N1244" s="23"/>
    </x:row>
    <x:row r="1245" ht="70" customHeight="1">
      <x:c r="A1245" s="9" t="str">
        <x:v>QA-NHD-119</x:v>
      </x:c>
      <x:c r="B1245" s="9" t="str">
        <x:v>NHD</x:v>
      </x:c>
      <x:c r="C1245" s="9" t="str">
        <x:v>NC 09 Corrección de precios / USD / propia / R6 Puerto libre Estado Nueva Esparta / sin cobro propio</x:v>
      </x:c>
      <x:c r="D1245" s="9" t="str">
        <x:v>P0</x:v>
      </x:c>
      <x:c r="E1245" s="9" t="str">
        <x:v>Positiva</x:v>
      </x:c>
      <x:c r="F1245" s="9" t="str">
        <x:v>Navegador + HTTP + persistencia; Real DEMO y doble identificados por separado</x:v>
      </x:c>
      <x:c r="G1245" s="23" t="str">
        <x:v>Pendiente</x:v>
      </x:c>
      <x:c r="H1245" s="23"/>
      <x:c r="I1245" s="23"/>
      <x:c r="J1245" s="23"/>
      <x:c r="K1245" s="23"/>
      <x:c r="L1245" s="24"/>
      <x:c r="M1245" s="23"/>
      <x:c r="N1245" s="23"/>
    </x:row>
    <x:row r="1246" ht="70" customHeight="1">
      <x:c r="A1246" s="9" t="str">
        <x:v>QA-NHD-120</x:v>
      </x:c>
      <x:c r="B1246" s="9" t="str">
        <x:v>NHD</x:v>
      </x:c>
      <x:c r="C1246" s="9" t="str">
        <x:v>NC 09 Corrección de precios / USD / propia / R7 Dutty Free / sin cobro propio</x:v>
      </x:c>
      <x:c r="D1246" s="9" t="str">
        <x:v>P0</x:v>
      </x:c>
      <x:c r="E1246" s="9" t="str">
        <x:v>Positiva</x:v>
      </x:c>
      <x:c r="F1246" s="9" t="str">
        <x:v>Navegador + HTTP + persistencia; Real DEMO y doble identificados por separado</x:v>
      </x:c>
      <x:c r="G1246" s="23" t="str">
        <x:v>Pendiente</x:v>
      </x:c>
      <x:c r="H1246" s="23"/>
      <x:c r="I1246" s="23"/>
      <x:c r="J1246" s="23"/>
      <x:c r="K1246" s="23"/>
      <x:c r="L1246" s="24"/>
      <x:c r="M1246" s="23"/>
      <x:c r="N1246" s="23"/>
    </x:row>
    <x:row r="1247" ht="70" customHeight="1">
      <x:c r="A1247" s="9" t="str">
        <x:v>QA-NHD-121</x:v>
      </x:c>
      <x:c r="B1247" s="9" t="str">
        <x:v>NHD</x:v>
      </x:c>
      <x:c r="C1247" s="9" t="str">
        <x:v>NC 09 Corrección de precios / USD / terceros / R0 Sin régimen / sin cobro propio</x:v>
      </x:c>
      <x:c r="D1247" s="9" t="str">
        <x:v>P0</x:v>
      </x:c>
      <x:c r="E1247" s="9" t="str">
        <x:v>Positiva</x:v>
      </x:c>
      <x:c r="F1247" s="9" t="str">
        <x:v>Navegador + HTTP + persistencia; Real DEMO y doble identificados por separado</x:v>
      </x:c>
      <x:c r="G1247" s="23" t="str">
        <x:v>Pendiente</x:v>
      </x:c>
      <x:c r="H1247" s="23"/>
      <x:c r="I1247" s="23"/>
      <x:c r="J1247" s="23"/>
      <x:c r="K1247" s="23"/>
      <x:c r="L1247" s="24"/>
      <x:c r="M1247" s="23"/>
      <x:c r="N1247" s="23"/>
    </x:row>
    <x:row r="1248" ht="70" customHeight="1">
      <x:c r="A1248" s="9" t="str">
        <x:v>QA-NHD-122</x:v>
      </x:c>
      <x:c r="B1248" s="9" t="str">
        <x:v>NHD</x:v>
      </x:c>
      <x:c r="C1248" s="9" t="str">
        <x:v>NC 09 Corrección de precios / USD / terceros / R1 Zonas económicas especiales / sin cobro propio</x:v>
      </x:c>
      <x:c r="D1248" s="9" t="str">
        <x:v>P0</x:v>
      </x:c>
      <x:c r="E1248" s="9" t="str">
        <x:v>Positiva</x:v>
      </x:c>
      <x:c r="F1248" s="9" t="str">
        <x:v>Navegador + HTTP + persistencia; Real DEMO y doble identificados por separado</x:v>
      </x:c>
      <x:c r="G1248" s="23" t="str">
        <x:v>Pendiente</x:v>
      </x:c>
      <x:c r="H1248" s="23"/>
      <x:c r="I1248" s="23"/>
      <x:c r="J1248" s="23"/>
      <x:c r="K1248" s="23"/>
      <x:c r="L1248" s="24"/>
      <x:c r="M1248" s="23"/>
      <x:c r="N1248" s="23"/>
    </x:row>
    <x:row r="1249" ht="70" customHeight="1">
      <x:c r="A1249" s="9" t="str">
        <x:v>QA-NHD-123</x:v>
      </x:c>
      <x:c r="B1249" s="9" t="str">
        <x:v>NHD</x:v>
      </x:c>
      <x:c r="C1249" s="9" t="str">
        <x:v>NC 09 Corrección de precios / USD / terceros / R2 Zona franca de Paraguaná / sin cobro propio</x:v>
      </x:c>
      <x:c r="D1249" s="9" t="str">
        <x:v>P0</x:v>
      </x:c>
      <x:c r="E1249" s="9" t="str">
        <x:v>Positiva</x:v>
      </x:c>
      <x:c r="F1249" s="9" t="str">
        <x:v>Navegador + HTTP + persistencia; Real DEMO y doble identificados por separado</x:v>
      </x:c>
      <x:c r="G1249" s="23" t="str">
        <x:v>Pendiente</x:v>
      </x:c>
      <x:c r="H1249" s="23"/>
      <x:c r="I1249" s="23"/>
      <x:c r="J1249" s="23"/>
      <x:c r="K1249" s="23"/>
      <x:c r="L1249" s="24"/>
      <x:c r="M1249" s="23"/>
      <x:c r="N1249" s="23"/>
    </x:row>
    <x:row r="1250" ht="70" customHeight="1">
      <x:c r="A1250" s="9" t="str">
        <x:v>QA-NHD-124</x:v>
      </x:c>
      <x:c r="B1250" s="9" t="str">
        <x:v>NHD</x:v>
      </x:c>
      <x:c r="C1250" s="9" t="str">
        <x:v>NC 09 Corrección de precios / USD / terceros / R3 Zona libre de Paraguaná / sin cobro propio</x:v>
      </x:c>
      <x:c r="D1250" s="9" t="str">
        <x:v>P0</x:v>
      </x:c>
      <x:c r="E1250" s="9" t="str">
        <x:v>Positiva</x:v>
      </x:c>
      <x:c r="F1250" s="9" t="str">
        <x:v>Navegador + HTTP + persistencia; Real DEMO y doble identificados por separado</x:v>
      </x:c>
      <x:c r="G1250" s="23" t="str">
        <x:v>Pendiente</x:v>
      </x:c>
      <x:c r="H1250" s="23"/>
      <x:c r="I1250" s="23"/>
      <x:c r="J1250" s="23"/>
      <x:c r="K1250" s="23"/>
      <x:c r="L1250" s="24"/>
      <x:c r="M1250" s="23"/>
      <x:c r="N1250" s="23"/>
    </x:row>
    <x:row r="1251" ht="70" customHeight="1">
      <x:c r="A1251" s="9" t="str">
        <x:v>QA-NHD-125</x:v>
      </x:c>
      <x:c r="B1251" s="9" t="str">
        <x:v>NHD</x:v>
      </x:c>
      <x:c r="C1251" s="9" t="str">
        <x:v>NC 09 Corrección de precios / USD / terceros / R4 Puerto libre Santa Elena de Uairén / sin cobro propio</x:v>
      </x:c>
      <x:c r="D1251" s="9" t="str">
        <x:v>P0</x:v>
      </x:c>
      <x:c r="E1251" s="9" t="str">
        <x:v>Positiva</x:v>
      </x:c>
      <x:c r="F1251" s="9" t="str">
        <x:v>Navegador + HTTP + persistencia; Real DEMO y doble identificados por separado</x:v>
      </x:c>
      <x:c r="G1251" s="23" t="str">
        <x:v>Pendiente</x:v>
      </x:c>
      <x:c r="H1251" s="23"/>
      <x:c r="I1251" s="23"/>
      <x:c r="J1251" s="23"/>
      <x:c r="K1251" s="23"/>
      <x:c r="L1251" s="24"/>
      <x:c r="M1251" s="23"/>
      <x:c r="N1251" s="23"/>
    </x:row>
    <x:row r="1252" ht="70" customHeight="1">
      <x:c r="A1252" s="9" t="str">
        <x:v>QA-NHD-126</x:v>
      </x:c>
      <x:c r="B1252" s="9" t="str">
        <x:v>NHD</x:v>
      </x:c>
      <x:c r="C1252" s="9" t="str">
        <x:v>NC 09 Corrección de precios / USD / terceros / R5 Zona Libre de Mérida / sin cobro propio</x:v>
      </x:c>
      <x:c r="D1252" s="9" t="str">
        <x:v>P0</x:v>
      </x:c>
      <x:c r="E1252" s="9" t="str">
        <x:v>Positiva</x:v>
      </x:c>
      <x:c r="F1252" s="9" t="str">
        <x:v>Navegador + HTTP + persistencia; Real DEMO y doble identificados por separado</x:v>
      </x:c>
      <x:c r="G1252" s="23" t="str">
        <x:v>Pendiente</x:v>
      </x:c>
      <x:c r="H1252" s="23"/>
      <x:c r="I1252" s="23"/>
      <x:c r="J1252" s="23"/>
      <x:c r="K1252" s="23"/>
      <x:c r="L1252" s="24"/>
      <x:c r="M1252" s="23"/>
      <x:c r="N1252" s="23"/>
    </x:row>
    <x:row r="1253" ht="70" customHeight="1">
      <x:c r="A1253" s="9" t="str">
        <x:v>QA-NHD-127</x:v>
      </x:c>
      <x:c r="B1253" s="9" t="str">
        <x:v>NHD</x:v>
      </x:c>
      <x:c r="C1253" s="9" t="str">
        <x:v>NC 09 Corrección de precios / USD / terceros / R6 Puerto libre Estado Nueva Esparta / sin cobro propio</x:v>
      </x:c>
      <x:c r="D1253" s="9" t="str">
        <x:v>P0</x:v>
      </x:c>
      <x:c r="E1253" s="9" t="str">
        <x:v>Positiva</x:v>
      </x:c>
      <x:c r="F1253" s="9" t="str">
        <x:v>Navegador + HTTP + persistencia; Real DEMO y doble identificados por separado</x:v>
      </x:c>
      <x:c r="G1253" s="23" t="str">
        <x:v>Pendiente</x:v>
      </x:c>
      <x:c r="H1253" s="23"/>
      <x:c r="I1253" s="23"/>
      <x:c r="J1253" s="23"/>
      <x:c r="K1253" s="23"/>
      <x:c r="L1253" s="24"/>
      <x:c r="M1253" s="23"/>
      <x:c r="N1253" s="23"/>
    </x:row>
    <x:row r="1254" ht="70" customHeight="1">
      <x:c r="A1254" s="9" t="str">
        <x:v>QA-NHD-128</x:v>
      </x:c>
      <x:c r="B1254" s="9" t="str">
        <x:v>NHD</x:v>
      </x:c>
      <x:c r="C1254" s="9" t="str">
        <x:v>NC 09 Corrección de precios / USD / terceros / R7 Dutty Free / sin cobro propio</x:v>
      </x:c>
      <x:c r="D1254" s="9" t="str">
        <x:v>P0</x:v>
      </x:c>
      <x:c r="E1254" s="9" t="str">
        <x:v>Positiva</x:v>
      </x:c>
      <x:c r="F1254" s="9" t="str">
        <x:v>Navegador + HTTP + persistencia; Real DEMO y doble identificados por separado</x:v>
      </x:c>
      <x:c r="G1254" s="23" t="str">
        <x:v>Pendiente</x:v>
      </x:c>
      <x:c r="H1254" s="23"/>
      <x:c r="I1254" s="23"/>
      <x:c r="J1254" s="23"/>
      <x:c r="K1254" s="23"/>
      <x:c r="L1254" s="24"/>
      <x:c r="M1254" s="23"/>
      <x:c r="N1254" s="23"/>
    </x:row>
    <x:row r="1255" ht="70" customHeight="1">
      <x:c r="A1255" s="9" t="str">
        <x:v>QA-NHD-129</x:v>
      </x:c>
      <x:c r="B1255" s="9" t="str">
        <x:v>NHD</x:v>
      </x:c>
      <x:c r="C1255" s="9" t="str">
        <x:v>ND 02 Incremento de precios / VES / propia / R0 Sin régimen / sin cobro propio</x:v>
      </x:c>
      <x:c r="D1255" s="9" t="str">
        <x:v>P0</x:v>
      </x:c>
      <x:c r="E1255" s="9" t="str">
        <x:v>Positiva</x:v>
      </x:c>
      <x:c r="F1255" s="9" t="str">
        <x:v>Navegador + HTTP + persistencia; Real DEMO y doble identificados por separado</x:v>
      </x:c>
      <x:c r="G1255" s="23" t="str">
        <x:v>Pendiente</x:v>
      </x:c>
      <x:c r="H1255" s="23"/>
      <x:c r="I1255" s="23"/>
      <x:c r="J1255" s="23"/>
      <x:c r="K1255" s="23"/>
      <x:c r="L1255" s="24"/>
      <x:c r="M1255" s="23"/>
      <x:c r="N1255" s="23"/>
    </x:row>
    <x:row r="1256" ht="70" customHeight="1">
      <x:c r="A1256" s="9" t="str">
        <x:v>QA-NHD-130</x:v>
      </x:c>
      <x:c r="B1256" s="9" t="str">
        <x:v>NHD</x:v>
      </x:c>
      <x:c r="C1256" s="9" t="str">
        <x:v>ND 02 Incremento de precios / VES / propia / R1 Zonas económicas especiales / sin cobro propio</x:v>
      </x:c>
      <x:c r="D1256" s="9" t="str">
        <x:v>P0</x:v>
      </x:c>
      <x:c r="E1256" s="9" t="str">
        <x:v>Positiva</x:v>
      </x:c>
      <x:c r="F1256" s="9" t="str">
        <x:v>Navegador + HTTP + persistencia; Real DEMO y doble identificados por separado</x:v>
      </x:c>
      <x:c r="G1256" s="23" t="str">
        <x:v>Pendiente</x:v>
      </x:c>
      <x:c r="H1256" s="23"/>
      <x:c r="I1256" s="23"/>
      <x:c r="J1256" s="23"/>
      <x:c r="K1256" s="23"/>
      <x:c r="L1256" s="24"/>
      <x:c r="M1256" s="23"/>
      <x:c r="N1256" s="23"/>
    </x:row>
    <x:row r="1257" ht="70" customHeight="1">
      <x:c r="A1257" s="9" t="str">
        <x:v>QA-NHD-131</x:v>
      </x:c>
      <x:c r="B1257" s="9" t="str">
        <x:v>NHD</x:v>
      </x:c>
      <x:c r="C1257" s="9" t="str">
        <x:v>ND 02 Incremento de precios / VES / propia / R2 Zona franca de Paraguaná / sin cobro propio</x:v>
      </x:c>
      <x:c r="D1257" s="9" t="str">
        <x:v>P0</x:v>
      </x:c>
      <x:c r="E1257" s="9" t="str">
        <x:v>Positiva</x:v>
      </x:c>
      <x:c r="F1257" s="9" t="str">
        <x:v>Navegador + HTTP + persistencia; Real DEMO y doble identificados por separado</x:v>
      </x:c>
      <x:c r="G1257" s="23" t="str">
        <x:v>Pendiente</x:v>
      </x:c>
      <x:c r="H1257" s="23"/>
      <x:c r="I1257" s="23"/>
      <x:c r="J1257" s="23"/>
      <x:c r="K1257" s="23"/>
      <x:c r="L1257" s="24"/>
      <x:c r="M1257" s="23"/>
      <x:c r="N1257" s="23"/>
    </x:row>
    <x:row r="1258" ht="70" customHeight="1">
      <x:c r="A1258" s="9" t="str">
        <x:v>QA-NHD-132</x:v>
      </x:c>
      <x:c r="B1258" s="9" t="str">
        <x:v>NHD</x:v>
      </x:c>
      <x:c r="C1258" s="9" t="str">
        <x:v>ND 02 Incremento de precios / VES / propia / R3 Zona libre de Paraguaná / sin cobro propio</x:v>
      </x:c>
      <x:c r="D1258" s="9" t="str">
        <x:v>P0</x:v>
      </x:c>
      <x:c r="E1258" s="9" t="str">
        <x:v>Positiva</x:v>
      </x:c>
      <x:c r="F1258" s="9" t="str">
        <x:v>Navegador + HTTP + persistencia; Real DEMO y doble identificados por separado</x:v>
      </x:c>
      <x:c r="G1258" s="23" t="str">
        <x:v>Pendiente</x:v>
      </x:c>
      <x:c r="H1258" s="23"/>
      <x:c r="I1258" s="23"/>
      <x:c r="J1258" s="23"/>
      <x:c r="K1258" s="23"/>
      <x:c r="L1258" s="24"/>
      <x:c r="M1258" s="23"/>
      <x:c r="N1258" s="23"/>
    </x:row>
    <x:row r="1259" ht="70" customHeight="1">
      <x:c r="A1259" s="9" t="str">
        <x:v>QA-NHD-133</x:v>
      </x:c>
      <x:c r="B1259" s="9" t="str">
        <x:v>NHD</x:v>
      </x:c>
      <x:c r="C1259" s="9" t="str">
        <x:v>ND 02 Incremento de precios / VES / propia / R4 Puerto libre Santa Elena de Uairén / sin cobro propio</x:v>
      </x:c>
      <x:c r="D1259" s="9" t="str">
        <x:v>P0</x:v>
      </x:c>
      <x:c r="E1259" s="9" t="str">
        <x:v>Positiva</x:v>
      </x:c>
      <x:c r="F1259" s="9" t="str">
        <x:v>Navegador + HTTP + persistencia; Real DEMO y doble identificados por separado</x:v>
      </x:c>
      <x:c r="G1259" s="23" t="str">
        <x:v>Pendiente</x:v>
      </x:c>
      <x:c r="H1259" s="23"/>
      <x:c r="I1259" s="23"/>
      <x:c r="J1259" s="23"/>
      <x:c r="K1259" s="23"/>
      <x:c r="L1259" s="24"/>
      <x:c r="M1259" s="23"/>
      <x:c r="N1259" s="23"/>
    </x:row>
    <x:row r="1260" ht="70" customHeight="1">
      <x:c r="A1260" s="9" t="str">
        <x:v>QA-NHD-134</x:v>
      </x:c>
      <x:c r="B1260" s="9" t="str">
        <x:v>NHD</x:v>
      </x:c>
      <x:c r="C1260" s="9" t="str">
        <x:v>ND 02 Incremento de precios / VES / propia / R5 Zona Libre de Mérida / sin cobro propio</x:v>
      </x:c>
      <x:c r="D1260" s="9" t="str">
        <x:v>P0</x:v>
      </x:c>
      <x:c r="E1260" s="9" t="str">
        <x:v>Positiva</x:v>
      </x:c>
      <x:c r="F1260" s="9" t="str">
        <x:v>Navegador + HTTP + persistencia; Real DEMO y doble identificados por separado</x:v>
      </x:c>
      <x:c r="G1260" s="23" t="str">
        <x:v>Pendiente</x:v>
      </x:c>
      <x:c r="H1260" s="23"/>
      <x:c r="I1260" s="23"/>
      <x:c r="J1260" s="23"/>
      <x:c r="K1260" s="23"/>
      <x:c r="L1260" s="24"/>
      <x:c r="M1260" s="23"/>
      <x:c r="N1260" s="23"/>
    </x:row>
    <x:row r="1261" ht="70" customHeight="1">
      <x:c r="A1261" s="9" t="str">
        <x:v>QA-NHD-135</x:v>
      </x:c>
      <x:c r="B1261" s="9" t="str">
        <x:v>NHD</x:v>
      </x:c>
      <x:c r="C1261" s="9" t="str">
        <x:v>ND 02 Incremento de precios / VES / propia / R6 Puerto libre Estado Nueva Esparta / sin cobro propio</x:v>
      </x:c>
      <x:c r="D1261" s="9" t="str">
        <x:v>P0</x:v>
      </x:c>
      <x:c r="E1261" s="9" t="str">
        <x:v>Positiva</x:v>
      </x:c>
      <x:c r="F1261" s="9" t="str">
        <x:v>Navegador + HTTP + persistencia; Real DEMO y doble identificados por separado</x:v>
      </x:c>
      <x:c r="G1261" s="23" t="str">
        <x:v>Pendiente</x:v>
      </x:c>
      <x:c r="H1261" s="23"/>
      <x:c r="I1261" s="23"/>
      <x:c r="J1261" s="23"/>
      <x:c r="K1261" s="23"/>
      <x:c r="L1261" s="24"/>
      <x:c r="M1261" s="23"/>
      <x:c r="N1261" s="23"/>
    </x:row>
    <x:row r="1262" ht="70" customHeight="1">
      <x:c r="A1262" s="9" t="str">
        <x:v>QA-NHD-136</x:v>
      </x:c>
      <x:c r="B1262" s="9" t="str">
        <x:v>NHD</x:v>
      </x:c>
      <x:c r="C1262" s="9" t="str">
        <x:v>ND 02 Incremento de precios / VES / propia / R7 Dutty Free / sin cobro propio</x:v>
      </x:c>
      <x:c r="D1262" s="9" t="str">
        <x:v>P0</x:v>
      </x:c>
      <x:c r="E1262" s="9" t="str">
        <x:v>Positiva</x:v>
      </x:c>
      <x:c r="F1262" s="9" t="str">
        <x:v>Navegador + HTTP + persistencia; Real DEMO y doble identificados por separado</x:v>
      </x:c>
      <x:c r="G1262" s="23" t="str">
        <x:v>Pendiente</x:v>
      </x:c>
      <x:c r="H1262" s="23"/>
      <x:c r="I1262" s="23"/>
      <x:c r="J1262" s="23"/>
      <x:c r="K1262" s="23"/>
      <x:c r="L1262" s="24"/>
      <x:c r="M1262" s="23"/>
      <x:c r="N1262" s="23"/>
    </x:row>
    <x:row r="1263" ht="70" customHeight="1">
      <x:c r="A1263" s="9" t="str">
        <x:v>QA-NHD-137</x:v>
      </x:c>
      <x:c r="B1263" s="9" t="str">
        <x:v>NHD</x:v>
      </x:c>
      <x:c r="C1263" s="9" t="str">
        <x:v>ND 02 Incremento de precios / VES / terceros / R0 Sin régimen / sin cobro propio</x:v>
      </x:c>
      <x:c r="D1263" s="9" t="str">
        <x:v>P0</x:v>
      </x:c>
      <x:c r="E1263" s="9" t="str">
        <x:v>Positiva</x:v>
      </x:c>
      <x:c r="F1263" s="9" t="str">
        <x:v>Navegador + HTTP + persistencia; Real DEMO y doble identificados por separado</x:v>
      </x:c>
      <x:c r="G1263" s="23" t="str">
        <x:v>Pendiente</x:v>
      </x:c>
      <x:c r="H1263" s="23"/>
      <x:c r="I1263" s="23"/>
      <x:c r="J1263" s="23"/>
      <x:c r="K1263" s="23"/>
      <x:c r="L1263" s="24"/>
      <x:c r="M1263" s="23"/>
      <x:c r="N1263" s="23"/>
    </x:row>
    <x:row r="1264" ht="70" customHeight="1">
      <x:c r="A1264" s="9" t="str">
        <x:v>QA-NHD-138</x:v>
      </x:c>
      <x:c r="B1264" s="9" t="str">
        <x:v>NHD</x:v>
      </x:c>
      <x:c r="C1264" s="9" t="str">
        <x:v>ND 02 Incremento de precios / VES / terceros / R1 Zonas económicas especiales / sin cobro propio</x:v>
      </x:c>
      <x:c r="D1264" s="9" t="str">
        <x:v>P0</x:v>
      </x:c>
      <x:c r="E1264" s="9" t="str">
        <x:v>Positiva</x:v>
      </x:c>
      <x:c r="F1264" s="9" t="str">
        <x:v>Navegador + HTTP + persistencia; Real DEMO y doble identificados por separado</x:v>
      </x:c>
      <x:c r="G1264" s="23" t="str">
        <x:v>Pendiente</x:v>
      </x:c>
      <x:c r="H1264" s="23"/>
      <x:c r="I1264" s="23"/>
      <x:c r="J1264" s="23"/>
      <x:c r="K1264" s="23"/>
      <x:c r="L1264" s="24"/>
      <x:c r="M1264" s="23"/>
      <x:c r="N1264" s="23"/>
    </x:row>
    <x:row r="1265" ht="70" customHeight="1">
      <x:c r="A1265" s="9" t="str">
        <x:v>QA-NHD-139</x:v>
      </x:c>
      <x:c r="B1265" s="9" t="str">
        <x:v>NHD</x:v>
      </x:c>
      <x:c r="C1265" s="9" t="str">
        <x:v>ND 02 Incremento de precios / VES / terceros / R2 Zona franca de Paraguaná / sin cobro propio</x:v>
      </x:c>
      <x:c r="D1265" s="9" t="str">
        <x:v>P0</x:v>
      </x:c>
      <x:c r="E1265" s="9" t="str">
        <x:v>Positiva</x:v>
      </x:c>
      <x:c r="F1265" s="9" t="str">
        <x:v>Navegador + HTTP + persistencia; Real DEMO y doble identificados por separado</x:v>
      </x:c>
      <x:c r="G1265" s="23" t="str">
        <x:v>Pendiente</x:v>
      </x:c>
      <x:c r="H1265" s="23"/>
      <x:c r="I1265" s="23"/>
      <x:c r="J1265" s="23"/>
      <x:c r="K1265" s="23"/>
      <x:c r="L1265" s="24"/>
      <x:c r="M1265" s="23"/>
      <x:c r="N1265" s="23"/>
    </x:row>
    <x:row r="1266" ht="70" customHeight="1">
      <x:c r="A1266" s="9" t="str">
        <x:v>QA-NHD-140</x:v>
      </x:c>
      <x:c r="B1266" s="9" t="str">
        <x:v>NHD</x:v>
      </x:c>
      <x:c r="C1266" s="9" t="str">
        <x:v>ND 02 Incremento de precios / VES / terceros / R3 Zona libre de Paraguaná / sin cobro propio</x:v>
      </x:c>
      <x:c r="D1266" s="9" t="str">
        <x:v>P0</x:v>
      </x:c>
      <x:c r="E1266" s="9" t="str">
        <x:v>Positiva</x:v>
      </x:c>
      <x:c r="F1266" s="9" t="str">
        <x:v>Navegador + HTTP + persistencia; Real DEMO y doble identificados por separado</x:v>
      </x:c>
      <x:c r="G1266" s="23" t="str">
        <x:v>Pendiente</x:v>
      </x:c>
      <x:c r="H1266" s="23"/>
      <x:c r="I1266" s="23"/>
      <x:c r="J1266" s="23"/>
      <x:c r="K1266" s="23"/>
      <x:c r="L1266" s="24"/>
      <x:c r="M1266" s="23"/>
      <x:c r="N1266" s="23"/>
    </x:row>
    <x:row r="1267" ht="70" customHeight="1">
      <x:c r="A1267" s="9" t="str">
        <x:v>QA-NHD-141</x:v>
      </x:c>
      <x:c r="B1267" s="9" t="str">
        <x:v>NHD</x:v>
      </x:c>
      <x:c r="C1267" s="9" t="str">
        <x:v>ND 02 Incremento de precios / VES / terceros / R4 Puerto libre Santa Elena de Uairén / sin cobro propio</x:v>
      </x:c>
      <x:c r="D1267" s="9" t="str">
        <x:v>P0</x:v>
      </x:c>
      <x:c r="E1267" s="9" t="str">
        <x:v>Positiva</x:v>
      </x:c>
      <x:c r="F1267" s="9" t="str">
        <x:v>Navegador + HTTP + persistencia; Real DEMO y doble identificados por separado</x:v>
      </x:c>
      <x:c r="G1267" s="23" t="str">
        <x:v>Pendiente</x:v>
      </x:c>
      <x:c r="H1267" s="23"/>
      <x:c r="I1267" s="23"/>
      <x:c r="J1267" s="23"/>
      <x:c r="K1267" s="23"/>
      <x:c r="L1267" s="24"/>
      <x:c r="M1267" s="23"/>
      <x:c r="N1267" s="23"/>
    </x:row>
    <x:row r="1268" ht="70" customHeight="1">
      <x:c r="A1268" s="9" t="str">
        <x:v>QA-NHD-142</x:v>
      </x:c>
      <x:c r="B1268" s="9" t="str">
        <x:v>NHD</x:v>
      </x:c>
      <x:c r="C1268" s="9" t="str">
        <x:v>ND 02 Incremento de precios / VES / terceros / R5 Zona Libre de Mérida / sin cobro propio</x:v>
      </x:c>
      <x:c r="D1268" s="9" t="str">
        <x:v>P0</x:v>
      </x:c>
      <x:c r="E1268" s="9" t="str">
        <x:v>Positiva</x:v>
      </x:c>
      <x:c r="F1268" s="9" t="str">
        <x:v>Navegador + HTTP + persistencia; Real DEMO y doble identificados por separado</x:v>
      </x:c>
      <x:c r="G1268" s="23" t="str">
        <x:v>Pendiente</x:v>
      </x:c>
      <x:c r="H1268" s="23"/>
      <x:c r="I1268" s="23"/>
      <x:c r="J1268" s="23"/>
      <x:c r="K1268" s="23"/>
      <x:c r="L1268" s="24"/>
      <x:c r="M1268" s="23"/>
      <x:c r="N1268" s="23"/>
    </x:row>
    <x:row r="1269" ht="70" customHeight="1">
      <x:c r="A1269" s="9" t="str">
        <x:v>QA-NHD-143</x:v>
      </x:c>
      <x:c r="B1269" s="9" t="str">
        <x:v>NHD</x:v>
      </x:c>
      <x:c r="C1269" s="9" t="str">
        <x:v>ND 02 Incremento de precios / VES / terceros / R6 Puerto libre Estado Nueva Esparta / sin cobro propio</x:v>
      </x:c>
      <x:c r="D1269" s="9" t="str">
        <x:v>P0</x:v>
      </x:c>
      <x:c r="E1269" s="9" t="str">
        <x:v>Positiva</x:v>
      </x:c>
      <x:c r="F1269" s="9" t="str">
        <x:v>Navegador + HTTP + persistencia; Real DEMO y doble identificados por separado</x:v>
      </x:c>
      <x:c r="G1269" s="23" t="str">
        <x:v>Pendiente</x:v>
      </x:c>
      <x:c r="H1269" s="23"/>
      <x:c r="I1269" s="23"/>
      <x:c r="J1269" s="23"/>
      <x:c r="K1269" s="23"/>
      <x:c r="L1269" s="24"/>
      <x:c r="M1269" s="23"/>
      <x:c r="N1269" s="23"/>
    </x:row>
    <x:row r="1270" ht="70" customHeight="1">
      <x:c r="A1270" s="9" t="str">
        <x:v>QA-NHD-144</x:v>
      </x:c>
      <x:c r="B1270" s="9" t="str">
        <x:v>NHD</x:v>
      </x:c>
      <x:c r="C1270" s="9" t="str">
        <x:v>ND 02 Incremento de precios / VES / terceros / R7 Dutty Free / sin cobro propio</x:v>
      </x:c>
      <x:c r="D1270" s="9" t="str">
        <x:v>P0</x:v>
      </x:c>
      <x:c r="E1270" s="9" t="str">
        <x:v>Positiva</x:v>
      </x:c>
      <x:c r="F1270" s="9" t="str">
        <x:v>Navegador + HTTP + persistencia; Real DEMO y doble identificados por separado</x:v>
      </x:c>
      <x:c r="G1270" s="23" t="str">
        <x:v>Pendiente</x:v>
      </x:c>
      <x:c r="H1270" s="23"/>
      <x:c r="I1270" s="23"/>
      <x:c r="J1270" s="23"/>
      <x:c r="K1270" s="23"/>
      <x:c r="L1270" s="24"/>
      <x:c r="M1270" s="23"/>
      <x:c r="N1270" s="23"/>
    </x:row>
    <x:row r="1271" ht="70" customHeight="1">
      <x:c r="A1271" s="9" t="str">
        <x:v>QA-NHD-145</x:v>
      </x:c>
      <x:c r="B1271" s="9" t="str">
        <x:v>NHD</x:v>
      </x:c>
      <x:c r="C1271" s="9" t="str">
        <x:v>ND 02 Incremento de precios / USD / propia / R0 Sin régimen / sin cobro propio</x:v>
      </x:c>
      <x:c r="D1271" s="9" t="str">
        <x:v>P0</x:v>
      </x:c>
      <x:c r="E1271" s="9" t="str">
        <x:v>Positiva</x:v>
      </x:c>
      <x:c r="F1271" s="9" t="str">
        <x:v>Navegador + HTTP + persistencia; Real DEMO y doble identificados por separado</x:v>
      </x:c>
      <x:c r="G1271" s="23" t="str">
        <x:v>Pendiente</x:v>
      </x:c>
      <x:c r="H1271" s="23"/>
      <x:c r="I1271" s="23"/>
      <x:c r="J1271" s="23"/>
      <x:c r="K1271" s="23"/>
      <x:c r="L1271" s="24"/>
      <x:c r="M1271" s="23"/>
      <x:c r="N1271" s="23"/>
    </x:row>
    <x:row r="1272" ht="70" customHeight="1">
      <x:c r="A1272" s="9" t="str">
        <x:v>QA-NHD-146</x:v>
      </x:c>
      <x:c r="B1272" s="9" t="str">
        <x:v>NHD</x:v>
      </x:c>
      <x:c r="C1272" s="9" t="str">
        <x:v>ND 02 Incremento de precios / USD / propia / R1 Zonas económicas especiales / sin cobro propio</x:v>
      </x:c>
      <x:c r="D1272" s="9" t="str">
        <x:v>P0</x:v>
      </x:c>
      <x:c r="E1272" s="9" t="str">
        <x:v>Positiva</x:v>
      </x:c>
      <x:c r="F1272" s="9" t="str">
        <x:v>Navegador + HTTP + persistencia; Real DEMO y doble identificados por separado</x:v>
      </x:c>
      <x:c r="G1272" s="23" t="str">
        <x:v>Pendiente</x:v>
      </x:c>
      <x:c r="H1272" s="23"/>
      <x:c r="I1272" s="23"/>
      <x:c r="J1272" s="23"/>
      <x:c r="K1272" s="23"/>
      <x:c r="L1272" s="24"/>
      <x:c r="M1272" s="23"/>
      <x:c r="N1272" s="23"/>
    </x:row>
    <x:row r="1273" ht="70" customHeight="1">
      <x:c r="A1273" s="9" t="str">
        <x:v>QA-NHD-147</x:v>
      </x:c>
      <x:c r="B1273" s="9" t="str">
        <x:v>NHD</x:v>
      </x:c>
      <x:c r="C1273" s="9" t="str">
        <x:v>ND 02 Incremento de precios / USD / propia / R2 Zona franca de Paraguaná / sin cobro propio</x:v>
      </x:c>
      <x:c r="D1273" s="9" t="str">
        <x:v>P0</x:v>
      </x:c>
      <x:c r="E1273" s="9" t="str">
        <x:v>Positiva</x:v>
      </x:c>
      <x:c r="F1273" s="9" t="str">
        <x:v>Navegador + HTTP + persistencia; Real DEMO y doble identificados por separado</x:v>
      </x:c>
      <x:c r="G1273" s="23" t="str">
        <x:v>Pendiente</x:v>
      </x:c>
      <x:c r="H1273" s="23"/>
      <x:c r="I1273" s="23"/>
      <x:c r="J1273" s="23"/>
      <x:c r="K1273" s="23"/>
      <x:c r="L1273" s="24"/>
      <x:c r="M1273" s="23"/>
      <x:c r="N1273" s="23"/>
    </x:row>
    <x:row r="1274" ht="70" customHeight="1">
      <x:c r="A1274" s="9" t="str">
        <x:v>QA-NHD-148</x:v>
      </x:c>
      <x:c r="B1274" s="9" t="str">
        <x:v>NHD</x:v>
      </x:c>
      <x:c r="C1274" s="9" t="str">
        <x:v>ND 02 Incremento de precios / USD / propia / R3 Zona libre de Paraguaná / sin cobro propio</x:v>
      </x:c>
      <x:c r="D1274" s="9" t="str">
        <x:v>P0</x:v>
      </x:c>
      <x:c r="E1274" s="9" t="str">
        <x:v>Positiva</x:v>
      </x:c>
      <x:c r="F1274" s="9" t="str">
        <x:v>Navegador + HTTP + persistencia; Real DEMO y doble identificados por separado</x:v>
      </x:c>
      <x:c r="G1274" s="23" t="str">
        <x:v>Pendiente</x:v>
      </x:c>
      <x:c r="H1274" s="23"/>
      <x:c r="I1274" s="23"/>
      <x:c r="J1274" s="23"/>
      <x:c r="K1274" s="23"/>
      <x:c r="L1274" s="24"/>
      <x:c r="M1274" s="23"/>
      <x:c r="N1274" s="23"/>
    </x:row>
    <x:row r="1275" ht="70" customHeight="1">
      <x:c r="A1275" s="9" t="str">
        <x:v>QA-NHD-149</x:v>
      </x:c>
      <x:c r="B1275" s="9" t="str">
        <x:v>NHD</x:v>
      </x:c>
      <x:c r="C1275" s="9" t="str">
        <x:v>ND 02 Incremento de precios / USD / propia / R4 Puerto libre Santa Elena de Uairén / sin cobro propio</x:v>
      </x:c>
      <x:c r="D1275" s="9" t="str">
        <x:v>P0</x:v>
      </x:c>
      <x:c r="E1275" s="9" t="str">
        <x:v>Positiva</x:v>
      </x:c>
      <x:c r="F1275" s="9" t="str">
        <x:v>Navegador + HTTP + persistencia; Real DEMO y doble identificados por separado</x:v>
      </x:c>
      <x:c r="G1275" s="23" t="str">
        <x:v>Pendiente</x:v>
      </x:c>
      <x:c r="H1275" s="23"/>
      <x:c r="I1275" s="23"/>
      <x:c r="J1275" s="23"/>
      <x:c r="K1275" s="23"/>
      <x:c r="L1275" s="24"/>
      <x:c r="M1275" s="23"/>
      <x:c r="N1275" s="23"/>
    </x:row>
    <x:row r="1276" ht="70" customHeight="1">
      <x:c r="A1276" s="9" t="str">
        <x:v>QA-NHD-150</x:v>
      </x:c>
      <x:c r="B1276" s="9" t="str">
        <x:v>NHD</x:v>
      </x:c>
      <x:c r="C1276" s="9" t="str">
        <x:v>ND 02 Incremento de precios / USD / propia / R5 Zona Libre de Mérida / sin cobro propio</x:v>
      </x:c>
      <x:c r="D1276" s="9" t="str">
        <x:v>P0</x:v>
      </x:c>
      <x:c r="E1276" s="9" t="str">
        <x:v>Positiva</x:v>
      </x:c>
      <x:c r="F1276" s="9" t="str">
        <x:v>Navegador + HTTP + persistencia; Real DEMO y doble identificados por separado</x:v>
      </x:c>
      <x:c r="G1276" s="23" t="str">
        <x:v>Pendiente</x:v>
      </x:c>
      <x:c r="H1276" s="23"/>
      <x:c r="I1276" s="23"/>
      <x:c r="J1276" s="23"/>
      <x:c r="K1276" s="23"/>
      <x:c r="L1276" s="24"/>
      <x:c r="M1276" s="23"/>
      <x:c r="N1276" s="23"/>
    </x:row>
    <x:row r="1277" ht="70" customHeight="1">
      <x:c r="A1277" s="9" t="str">
        <x:v>QA-NHD-151</x:v>
      </x:c>
      <x:c r="B1277" s="9" t="str">
        <x:v>NHD</x:v>
      </x:c>
      <x:c r="C1277" s="9" t="str">
        <x:v>ND 02 Incremento de precios / USD / propia / R6 Puerto libre Estado Nueva Esparta / sin cobro propio</x:v>
      </x:c>
      <x:c r="D1277" s="9" t="str">
        <x:v>P0</x:v>
      </x:c>
      <x:c r="E1277" s="9" t="str">
        <x:v>Positiva</x:v>
      </x:c>
      <x:c r="F1277" s="9" t="str">
        <x:v>Navegador + HTTP + persistencia; Real DEMO y doble identificados por separado</x:v>
      </x:c>
      <x:c r="G1277" s="23" t="str">
        <x:v>Pendiente</x:v>
      </x:c>
      <x:c r="H1277" s="23"/>
      <x:c r="I1277" s="23"/>
      <x:c r="J1277" s="23"/>
      <x:c r="K1277" s="23"/>
      <x:c r="L1277" s="24"/>
      <x:c r="M1277" s="23"/>
      <x:c r="N1277" s="23"/>
    </x:row>
    <x:row r="1278" ht="70" customHeight="1">
      <x:c r="A1278" s="9" t="str">
        <x:v>QA-NHD-152</x:v>
      </x:c>
      <x:c r="B1278" s="9" t="str">
        <x:v>NHD</x:v>
      </x:c>
      <x:c r="C1278" s="9" t="str">
        <x:v>ND 02 Incremento de precios / USD / propia / R7 Dutty Free / sin cobro propio</x:v>
      </x:c>
      <x:c r="D1278" s="9" t="str">
        <x:v>P0</x:v>
      </x:c>
      <x:c r="E1278" s="9" t="str">
        <x:v>Positiva</x:v>
      </x:c>
      <x:c r="F1278" s="9" t="str">
        <x:v>Navegador + HTTP + persistencia; Real DEMO y doble identificados por separado</x:v>
      </x:c>
      <x:c r="G1278" s="23" t="str">
        <x:v>Pendiente</x:v>
      </x:c>
      <x:c r="H1278" s="23"/>
      <x:c r="I1278" s="23"/>
      <x:c r="J1278" s="23"/>
      <x:c r="K1278" s="23"/>
      <x:c r="L1278" s="24"/>
      <x:c r="M1278" s="23"/>
      <x:c r="N1278" s="23"/>
    </x:row>
    <x:row r="1279" ht="70" customHeight="1">
      <x:c r="A1279" s="9" t="str">
        <x:v>QA-NHD-153</x:v>
      </x:c>
      <x:c r="B1279" s="9" t="str">
        <x:v>NHD</x:v>
      </x:c>
      <x:c r="C1279" s="9" t="str">
        <x:v>ND 02 Incremento de precios / USD / terceros / R0 Sin régimen / sin cobro propio</x:v>
      </x:c>
      <x:c r="D1279" s="9" t="str">
        <x:v>P0</x:v>
      </x:c>
      <x:c r="E1279" s="9" t="str">
        <x:v>Positiva</x:v>
      </x:c>
      <x:c r="F1279" s="9" t="str">
        <x:v>Navegador + HTTP + persistencia; Real DEMO y doble identificados por separado</x:v>
      </x:c>
      <x:c r="G1279" s="23" t="str">
        <x:v>Pendiente</x:v>
      </x:c>
      <x:c r="H1279" s="23"/>
      <x:c r="I1279" s="23"/>
      <x:c r="J1279" s="23"/>
      <x:c r="K1279" s="23"/>
      <x:c r="L1279" s="24"/>
      <x:c r="M1279" s="23"/>
      <x:c r="N1279" s="23"/>
    </x:row>
    <x:row r="1280" ht="70" customHeight="1">
      <x:c r="A1280" s="9" t="str">
        <x:v>QA-NHD-154</x:v>
      </x:c>
      <x:c r="B1280" s="9" t="str">
        <x:v>NHD</x:v>
      </x:c>
      <x:c r="C1280" s="9" t="str">
        <x:v>ND 02 Incremento de precios / USD / terceros / R1 Zonas económicas especiales / sin cobro propio</x:v>
      </x:c>
      <x:c r="D1280" s="9" t="str">
        <x:v>P0</x:v>
      </x:c>
      <x:c r="E1280" s="9" t="str">
        <x:v>Positiva</x:v>
      </x:c>
      <x:c r="F1280" s="9" t="str">
        <x:v>Navegador + HTTP + persistencia; Real DEMO y doble identificados por separado</x:v>
      </x:c>
      <x:c r="G1280" s="23" t="str">
        <x:v>Pendiente</x:v>
      </x:c>
      <x:c r="H1280" s="23"/>
      <x:c r="I1280" s="23"/>
      <x:c r="J1280" s="23"/>
      <x:c r="K1280" s="23"/>
      <x:c r="L1280" s="24"/>
      <x:c r="M1280" s="23"/>
      <x:c r="N1280" s="23"/>
    </x:row>
    <x:row r="1281" ht="70" customHeight="1">
      <x:c r="A1281" s="9" t="str">
        <x:v>QA-NHD-155</x:v>
      </x:c>
      <x:c r="B1281" s="9" t="str">
        <x:v>NHD</x:v>
      </x:c>
      <x:c r="C1281" s="9" t="str">
        <x:v>ND 02 Incremento de precios / USD / terceros / R2 Zona franca de Paraguaná / sin cobro propio</x:v>
      </x:c>
      <x:c r="D1281" s="9" t="str">
        <x:v>P0</x:v>
      </x:c>
      <x:c r="E1281" s="9" t="str">
        <x:v>Positiva</x:v>
      </x:c>
      <x:c r="F1281" s="9" t="str">
        <x:v>Navegador + HTTP + persistencia; Real DEMO y doble identificados por separado</x:v>
      </x:c>
      <x:c r="G1281" s="23" t="str">
        <x:v>Pendiente</x:v>
      </x:c>
      <x:c r="H1281" s="23"/>
      <x:c r="I1281" s="23"/>
      <x:c r="J1281" s="23"/>
      <x:c r="K1281" s="23"/>
      <x:c r="L1281" s="24"/>
      <x:c r="M1281" s="23"/>
      <x:c r="N1281" s="23"/>
    </x:row>
    <x:row r="1282" ht="70" customHeight="1">
      <x:c r="A1282" s="9" t="str">
        <x:v>QA-NHD-156</x:v>
      </x:c>
      <x:c r="B1282" s="9" t="str">
        <x:v>NHD</x:v>
      </x:c>
      <x:c r="C1282" s="9" t="str">
        <x:v>ND 02 Incremento de precios / USD / terceros / R3 Zona libre de Paraguaná / sin cobro propio</x:v>
      </x:c>
      <x:c r="D1282" s="9" t="str">
        <x:v>P0</x:v>
      </x:c>
      <x:c r="E1282" s="9" t="str">
        <x:v>Positiva</x:v>
      </x:c>
      <x:c r="F1282" s="9" t="str">
        <x:v>Navegador + HTTP + persistencia; Real DEMO y doble identificados por separado</x:v>
      </x:c>
      <x:c r="G1282" s="23" t="str">
        <x:v>Pendiente</x:v>
      </x:c>
      <x:c r="H1282" s="23"/>
      <x:c r="I1282" s="23"/>
      <x:c r="J1282" s="23"/>
      <x:c r="K1282" s="23"/>
      <x:c r="L1282" s="24"/>
      <x:c r="M1282" s="23"/>
      <x:c r="N1282" s="23"/>
    </x:row>
    <x:row r="1283" ht="70" customHeight="1">
      <x:c r="A1283" s="9" t="str">
        <x:v>QA-NHD-157</x:v>
      </x:c>
      <x:c r="B1283" s="9" t="str">
        <x:v>NHD</x:v>
      </x:c>
      <x:c r="C1283" s="9" t="str">
        <x:v>ND 02 Incremento de precios / USD / terceros / R4 Puerto libre Santa Elena de Uairén / sin cobro propio</x:v>
      </x:c>
      <x:c r="D1283" s="9" t="str">
        <x:v>P0</x:v>
      </x:c>
      <x:c r="E1283" s="9" t="str">
        <x:v>Positiva</x:v>
      </x:c>
      <x:c r="F1283" s="9" t="str">
        <x:v>Navegador + HTTP + persistencia; Real DEMO y doble identificados por separado</x:v>
      </x:c>
      <x:c r="G1283" s="23" t="str">
        <x:v>Pendiente</x:v>
      </x:c>
      <x:c r="H1283" s="23"/>
      <x:c r="I1283" s="23"/>
      <x:c r="J1283" s="23"/>
      <x:c r="K1283" s="23"/>
      <x:c r="L1283" s="24"/>
      <x:c r="M1283" s="23"/>
      <x:c r="N1283" s="23"/>
    </x:row>
    <x:row r="1284" ht="70" customHeight="1">
      <x:c r="A1284" s="9" t="str">
        <x:v>QA-NHD-158</x:v>
      </x:c>
      <x:c r="B1284" s="9" t="str">
        <x:v>NHD</x:v>
      </x:c>
      <x:c r="C1284" s="9" t="str">
        <x:v>ND 02 Incremento de precios / USD / terceros / R5 Zona Libre de Mérida / sin cobro propio</x:v>
      </x:c>
      <x:c r="D1284" s="9" t="str">
        <x:v>P0</x:v>
      </x:c>
      <x:c r="E1284" s="9" t="str">
        <x:v>Positiva</x:v>
      </x:c>
      <x:c r="F1284" s="9" t="str">
        <x:v>Navegador + HTTP + persistencia; Real DEMO y doble identificados por separado</x:v>
      </x:c>
      <x:c r="G1284" s="23" t="str">
        <x:v>Pendiente</x:v>
      </x:c>
      <x:c r="H1284" s="23"/>
      <x:c r="I1284" s="23"/>
      <x:c r="J1284" s="23"/>
      <x:c r="K1284" s="23"/>
      <x:c r="L1284" s="24"/>
      <x:c r="M1284" s="23"/>
      <x:c r="N1284" s="23"/>
    </x:row>
    <x:row r="1285" ht="70" customHeight="1">
      <x:c r="A1285" s="9" t="str">
        <x:v>QA-NHD-159</x:v>
      </x:c>
      <x:c r="B1285" s="9" t="str">
        <x:v>NHD</x:v>
      </x:c>
      <x:c r="C1285" s="9" t="str">
        <x:v>ND 02 Incremento de precios / USD / terceros / R6 Puerto libre Estado Nueva Esparta / sin cobro propio</x:v>
      </x:c>
      <x:c r="D1285" s="9" t="str">
        <x:v>P0</x:v>
      </x:c>
      <x:c r="E1285" s="9" t="str">
        <x:v>Positiva</x:v>
      </x:c>
      <x:c r="F1285" s="9" t="str">
        <x:v>Navegador + HTTP + persistencia; Real DEMO y doble identificados por separado</x:v>
      </x:c>
      <x:c r="G1285" s="23" t="str">
        <x:v>Pendiente</x:v>
      </x:c>
      <x:c r="H1285" s="23"/>
      <x:c r="I1285" s="23"/>
      <x:c r="J1285" s="23"/>
      <x:c r="K1285" s="23"/>
      <x:c r="L1285" s="24"/>
      <x:c r="M1285" s="23"/>
      <x:c r="N1285" s="23"/>
    </x:row>
    <x:row r="1286" ht="70" customHeight="1">
      <x:c r="A1286" s="9" t="str">
        <x:v>QA-NHD-160</x:v>
      </x:c>
      <x:c r="B1286" s="9" t="str">
        <x:v>NHD</x:v>
      </x:c>
      <x:c r="C1286" s="9" t="str">
        <x:v>ND 02 Incremento de precios / USD / terceros / R7 Dutty Free / sin cobro propio</x:v>
      </x:c>
      <x:c r="D1286" s="9" t="str">
        <x:v>P0</x:v>
      </x:c>
      <x:c r="E1286" s="9" t="str">
        <x:v>Positiva</x:v>
      </x:c>
      <x:c r="F1286" s="9" t="str">
        <x:v>Navegador + HTTP + persistencia; Real DEMO y doble identificados por separado</x:v>
      </x:c>
      <x:c r="G1286" s="23" t="str">
        <x:v>Pendiente</x:v>
      </x:c>
      <x:c r="H1286" s="23"/>
      <x:c r="I1286" s="23"/>
      <x:c r="J1286" s="23"/>
      <x:c r="K1286" s="23"/>
      <x:c r="L1286" s="24"/>
      <x:c r="M1286" s="23"/>
      <x:c r="N1286" s="23"/>
    </x:row>
    <x:row r="1287" ht="70" customHeight="1">
      <x:c r="A1287" s="9" t="str">
        <x:v>QA-NHD-161</x:v>
      </x:c>
      <x:c r="B1287" s="9" t="str">
        <x:v>NHD</x:v>
      </x:c>
      <x:c r="C1287" s="9" t="str">
        <x:v>ND 01 Intereses / VES / propia / R0 Sin régimen / sin cobro propio</x:v>
      </x:c>
      <x:c r="D1287" s="9" t="str">
        <x:v>P0</x:v>
      </x:c>
      <x:c r="E1287" s="9" t="str">
        <x:v>Positiva</x:v>
      </x:c>
      <x:c r="F1287" s="9" t="str">
        <x:v>Navegador + HTTP + persistencia; Real DEMO y doble identificados por separado</x:v>
      </x:c>
      <x:c r="G1287" s="23" t="str">
        <x:v>Pendiente</x:v>
      </x:c>
      <x:c r="H1287" s="23"/>
      <x:c r="I1287" s="23"/>
      <x:c r="J1287" s="23"/>
      <x:c r="K1287" s="23"/>
      <x:c r="L1287" s="24"/>
      <x:c r="M1287" s="23"/>
      <x:c r="N1287" s="23"/>
    </x:row>
    <x:row r="1288" ht="70" customHeight="1">
      <x:c r="A1288" s="9" t="str">
        <x:v>QA-NHD-162</x:v>
      </x:c>
      <x:c r="B1288" s="9" t="str">
        <x:v>NHD</x:v>
      </x:c>
      <x:c r="C1288" s="9" t="str">
        <x:v>ND 01 Intereses / VES / propia / R1 Zonas económicas especiales / sin cobro propio</x:v>
      </x:c>
      <x:c r="D1288" s="9" t="str">
        <x:v>P0</x:v>
      </x:c>
      <x:c r="E1288" s="9" t="str">
        <x:v>Positiva</x:v>
      </x:c>
      <x:c r="F1288" s="9" t="str">
        <x:v>Navegador + HTTP + persistencia; Real DEMO y doble identificados por separado</x:v>
      </x:c>
      <x:c r="G1288" s="23" t="str">
        <x:v>Pendiente</x:v>
      </x:c>
      <x:c r="H1288" s="23"/>
      <x:c r="I1288" s="23"/>
      <x:c r="J1288" s="23"/>
      <x:c r="K1288" s="23"/>
      <x:c r="L1288" s="24"/>
      <x:c r="M1288" s="23"/>
      <x:c r="N1288" s="23"/>
    </x:row>
    <x:row r="1289" ht="70" customHeight="1">
      <x:c r="A1289" s="9" t="str">
        <x:v>QA-NHD-163</x:v>
      </x:c>
      <x:c r="B1289" s="9" t="str">
        <x:v>NHD</x:v>
      </x:c>
      <x:c r="C1289" s="9" t="str">
        <x:v>ND 01 Intereses / VES / propia / R2 Zona franca de Paraguaná / sin cobro propio</x:v>
      </x:c>
      <x:c r="D1289" s="9" t="str">
        <x:v>P0</x:v>
      </x:c>
      <x:c r="E1289" s="9" t="str">
        <x:v>Positiva</x:v>
      </x:c>
      <x:c r="F1289" s="9" t="str">
        <x:v>Navegador + HTTP + persistencia; Real DEMO y doble identificados por separado</x:v>
      </x:c>
      <x:c r="G1289" s="23" t="str">
        <x:v>Pendiente</x:v>
      </x:c>
      <x:c r="H1289" s="23"/>
      <x:c r="I1289" s="23"/>
      <x:c r="J1289" s="23"/>
      <x:c r="K1289" s="23"/>
      <x:c r="L1289" s="24"/>
      <x:c r="M1289" s="23"/>
      <x:c r="N1289" s="23"/>
    </x:row>
    <x:row r="1290" ht="70" customHeight="1">
      <x:c r="A1290" s="9" t="str">
        <x:v>QA-NHD-164</x:v>
      </x:c>
      <x:c r="B1290" s="9" t="str">
        <x:v>NHD</x:v>
      </x:c>
      <x:c r="C1290" s="9" t="str">
        <x:v>ND 01 Intereses / VES / propia / R3 Zona libre de Paraguaná / sin cobro propio</x:v>
      </x:c>
      <x:c r="D1290" s="9" t="str">
        <x:v>P0</x:v>
      </x:c>
      <x:c r="E1290" s="9" t="str">
        <x:v>Positiva</x:v>
      </x:c>
      <x:c r="F1290" s="9" t="str">
        <x:v>Navegador + HTTP + persistencia; Real DEMO y doble identificados por separado</x:v>
      </x:c>
      <x:c r="G1290" s="23" t="str">
        <x:v>Pendiente</x:v>
      </x:c>
      <x:c r="H1290" s="23"/>
      <x:c r="I1290" s="23"/>
      <x:c r="J1290" s="23"/>
      <x:c r="K1290" s="23"/>
      <x:c r="L1290" s="24"/>
      <x:c r="M1290" s="23"/>
      <x:c r="N1290" s="23"/>
    </x:row>
    <x:row r="1291" ht="70" customHeight="1">
      <x:c r="A1291" s="9" t="str">
        <x:v>QA-NHD-165</x:v>
      </x:c>
      <x:c r="B1291" s="9" t="str">
        <x:v>NHD</x:v>
      </x:c>
      <x:c r="C1291" s="9" t="str">
        <x:v>ND 01 Intereses / VES / propia / R4 Puerto libre Santa Elena de Uairén / sin cobro propio</x:v>
      </x:c>
      <x:c r="D1291" s="9" t="str">
        <x:v>P0</x:v>
      </x:c>
      <x:c r="E1291" s="9" t="str">
        <x:v>Positiva</x:v>
      </x:c>
      <x:c r="F1291" s="9" t="str">
        <x:v>Navegador + HTTP + persistencia; Real DEMO y doble identificados por separado</x:v>
      </x:c>
      <x:c r="G1291" s="23" t="str">
        <x:v>Pendiente</x:v>
      </x:c>
      <x:c r="H1291" s="23"/>
      <x:c r="I1291" s="23"/>
      <x:c r="J1291" s="23"/>
      <x:c r="K1291" s="23"/>
      <x:c r="L1291" s="24"/>
      <x:c r="M1291" s="23"/>
      <x:c r="N1291" s="23"/>
    </x:row>
    <x:row r="1292" ht="70" customHeight="1">
      <x:c r="A1292" s="9" t="str">
        <x:v>QA-NHD-166</x:v>
      </x:c>
      <x:c r="B1292" s="9" t="str">
        <x:v>NHD</x:v>
      </x:c>
      <x:c r="C1292" s="9" t="str">
        <x:v>ND 01 Intereses / VES / propia / R5 Zona Libre de Mérida / sin cobro propio</x:v>
      </x:c>
      <x:c r="D1292" s="9" t="str">
        <x:v>P0</x:v>
      </x:c>
      <x:c r="E1292" s="9" t="str">
        <x:v>Positiva</x:v>
      </x:c>
      <x:c r="F1292" s="9" t="str">
        <x:v>Navegador + HTTP + persistencia; Real DEMO y doble identificados por separado</x:v>
      </x:c>
      <x:c r="G1292" s="23" t="str">
        <x:v>Pendiente</x:v>
      </x:c>
      <x:c r="H1292" s="23"/>
      <x:c r="I1292" s="23"/>
      <x:c r="J1292" s="23"/>
      <x:c r="K1292" s="23"/>
      <x:c r="L1292" s="24"/>
      <x:c r="M1292" s="23"/>
      <x:c r="N1292" s="23"/>
    </x:row>
    <x:row r="1293" ht="70" customHeight="1">
      <x:c r="A1293" s="9" t="str">
        <x:v>QA-NHD-167</x:v>
      </x:c>
      <x:c r="B1293" s="9" t="str">
        <x:v>NHD</x:v>
      </x:c>
      <x:c r="C1293" s="9" t="str">
        <x:v>ND 01 Intereses / VES / propia / R6 Puerto libre Estado Nueva Esparta / sin cobro propio</x:v>
      </x:c>
      <x:c r="D1293" s="9" t="str">
        <x:v>P0</x:v>
      </x:c>
      <x:c r="E1293" s="9" t="str">
        <x:v>Positiva</x:v>
      </x:c>
      <x:c r="F1293" s="9" t="str">
        <x:v>Navegador + HTTP + persistencia; Real DEMO y doble identificados por separado</x:v>
      </x:c>
      <x:c r="G1293" s="23" t="str">
        <x:v>Pendiente</x:v>
      </x:c>
      <x:c r="H1293" s="23"/>
      <x:c r="I1293" s="23"/>
      <x:c r="J1293" s="23"/>
      <x:c r="K1293" s="23"/>
      <x:c r="L1293" s="24"/>
      <x:c r="M1293" s="23"/>
      <x:c r="N1293" s="23"/>
    </x:row>
    <x:row r="1294" ht="70" customHeight="1">
      <x:c r="A1294" s="9" t="str">
        <x:v>QA-NHD-168</x:v>
      </x:c>
      <x:c r="B1294" s="9" t="str">
        <x:v>NHD</x:v>
      </x:c>
      <x:c r="C1294" s="9" t="str">
        <x:v>ND 01 Intereses / VES / propia / R7 Dutty Free / sin cobro propio</x:v>
      </x:c>
      <x:c r="D1294" s="9" t="str">
        <x:v>P0</x:v>
      </x:c>
      <x:c r="E1294" s="9" t="str">
        <x:v>Positiva</x:v>
      </x:c>
      <x:c r="F1294" s="9" t="str">
        <x:v>Navegador + HTTP + persistencia; Real DEMO y doble identificados por separado</x:v>
      </x:c>
      <x:c r="G1294" s="23" t="str">
        <x:v>Pendiente</x:v>
      </x:c>
      <x:c r="H1294" s="23"/>
      <x:c r="I1294" s="23"/>
      <x:c r="J1294" s="23"/>
      <x:c r="K1294" s="23"/>
      <x:c r="L1294" s="24"/>
      <x:c r="M1294" s="23"/>
      <x:c r="N1294" s="23"/>
    </x:row>
    <x:row r="1295" ht="70" customHeight="1">
      <x:c r="A1295" s="9" t="str">
        <x:v>QA-NHD-169</x:v>
      </x:c>
      <x:c r="B1295" s="9" t="str">
        <x:v>NHD</x:v>
      </x:c>
      <x:c r="C1295" s="9" t="str">
        <x:v>ND 01 Intereses / VES / terceros / R0 Sin régimen / sin cobro propio</x:v>
      </x:c>
      <x:c r="D1295" s="9" t="str">
        <x:v>P0</x:v>
      </x:c>
      <x:c r="E1295" s="9" t="str">
        <x:v>Positiva</x:v>
      </x:c>
      <x:c r="F1295" s="9" t="str">
        <x:v>Navegador + HTTP + persistencia; Real DEMO y doble identificados por separado</x:v>
      </x:c>
      <x:c r="G1295" s="23" t="str">
        <x:v>Pendiente</x:v>
      </x:c>
      <x:c r="H1295" s="23"/>
      <x:c r="I1295" s="23"/>
      <x:c r="J1295" s="23"/>
      <x:c r="K1295" s="23"/>
      <x:c r="L1295" s="24"/>
      <x:c r="M1295" s="23"/>
      <x:c r="N1295" s="23"/>
    </x:row>
    <x:row r="1296" ht="70" customHeight="1">
      <x:c r="A1296" s="9" t="str">
        <x:v>QA-NHD-170</x:v>
      </x:c>
      <x:c r="B1296" s="9" t="str">
        <x:v>NHD</x:v>
      </x:c>
      <x:c r="C1296" s="9" t="str">
        <x:v>ND 01 Intereses / VES / terceros / R1 Zonas económicas especiales / sin cobro propio</x:v>
      </x:c>
      <x:c r="D1296" s="9" t="str">
        <x:v>P0</x:v>
      </x:c>
      <x:c r="E1296" s="9" t="str">
        <x:v>Positiva</x:v>
      </x:c>
      <x:c r="F1296" s="9" t="str">
        <x:v>Navegador + HTTP + persistencia; Real DEMO y doble identificados por separado</x:v>
      </x:c>
      <x:c r="G1296" s="23" t="str">
        <x:v>Pendiente</x:v>
      </x:c>
      <x:c r="H1296" s="23"/>
      <x:c r="I1296" s="23"/>
      <x:c r="J1296" s="23"/>
      <x:c r="K1296" s="23"/>
      <x:c r="L1296" s="24"/>
      <x:c r="M1296" s="23"/>
      <x:c r="N1296" s="23"/>
    </x:row>
    <x:row r="1297" ht="70" customHeight="1">
      <x:c r="A1297" s="9" t="str">
        <x:v>QA-NHD-171</x:v>
      </x:c>
      <x:c r="B1297" s="9" t="str">
        <x:v>NHD</x:v>
      </x:c>
      <x:c r="C1297" s="9" t="str">
        <x:v>ND 01 Intereses / VES / terceros / R2 Zona franca de Paraguaná / sin cobro propio</x:v>
      </x:c>
      <x:c r="D1297" s="9" t="str">
        <x:v>P0</x:v>
      </x:c>
      <x:c r="E1297" s="9" t="str">
        <x:v>Positiva</x:v>
      </x:c>
      <x:c r="F1297" s="9" t="str">
        <x:v>Navegador + HTTP + persistencia; Real DEMO y doble identificados por separado</x:v>
      </x:c>
      <x:c r="G1297" s="23" t="str">
        <x:v>Pendiente</x:v>
      </x:c>
      <x:c r="H1297" s="23"/>
      <x:c r="I1297" s="23"/>
      <x:c r="J1297" s="23"/>
      <x:c r="K1297" s="23"/>
      <x:c r="L1297" s="24"/>
      <x:c r="M1297" s="23"/>
      <x:c r="N1297" s="23"/>
    </x:row>
    <x:row r="1298" ht="70" customHeight="1">
      <x:c r="A1298" s="9" t="str">
        <x:v>QA-NHD-172</x:v>
      </x:c>
      <x:c r="B1298" s="9" t="str">
        <x:v>NHD</x:v>
      </x:c>
      <x:c r="C1298" s="9" t="str">
        <x:v>ND 01 Intereses / VES / terceros / R3 Zona libre de Paraguaná / sin cobro propio</x:v>
      </x:c>
      <x:c r="D1298" s="9" t="str">
        <x:v>P0</x:v>
      </x:c>
      <x:c r="E1298" s="9" t="str">
        <x:v>Positiva</x:v>
      </x:c>
      <x:c r="F1298" s="9" t="str">
        <x:v>Navegador + HTTP + persistencia; Real DEMO y doble identificados por separado</x:v>
      </x:c>
      <x:c r="G1298" s="23" t="str">
        <x:v>Pendiente</x:v>
      </x:c>
      <x:c r="H1298" s="23"/>
      <x:c r="I1298" s="23"/>
      <x:c r="J1298" s="23"/>
      <x:c r="K1298" s="23"/>
      <x:c r="L1298" s="24"/>
      <x:c r="M1298" s="23"/>
      <x:c r="N1298" s="23"/>
    </x:row>
    <x:row r="1299" ht="70" customHeight="1">
      <x:c r="A1299" s="9" t="str">
        <x:v>QA-NHD-173</x:v>
      </x:c>
      <x:c r="B1299" s="9" t="str">
        <x:v>NHD</x:v>
      </x:c>
      <x:c r="C1299" s="9" t="str">
        <x:v>ND 01 Intereses / VES / terceros / R4 Puerto libre Santa Elena de Uairén / sin cobro propio</x:v>
      </x:c>
      <x:c r="D1299" s="9" t="str">
        <x:v>P0</x:v>
      </x:c>
      <x:c r="E1299" s="9" t="str">
        <x:v>Positiva</x:v>
      </x:c>
      <x:c r="F1299" s="9" t="str">
        <x:v>Navegador + HTTP + persistencia; Real DEMO y doble identificados por separado</x:v>
      </x:c>
      <x:c r="G1299" s="23" t="str">
        <x:v>Pendiente</x:v>
      </x:c>
      <x:c r="H1299" s="23"/>
      <x:c r="I1299" s="23"/>
      <x:c r="J1299" s="23"/>
      <x:c r="K1299" s="23"/>
      <x:c r="L1299" s="24"/>
      <x:c r="M1299" s="23"/>
      <x:c r="N1299" s="23"/>
    </x:row>
    <x:row r="1300" ht="70" customHeight="1">
      <x:c r="A1300" s="9" t="str">
        <x:v>QA-NHD-174</x:v>
      </x:c>
      <x:c r="B1300" s="9" t="str">
        <x:v>NHD</x:v>
      </x:c>
      <x:c r="C1300" s="9" t="str">
        <x:v>ND 01 Intereses / VES / terceros / R5 Zona Libre de Mérida / sin cobro propio</x:v>
      </x:c>
      <x:c r="D1300" s="9" t="str">
        <x:v>P0</x:v>
      </x:c>
      <x:c r="E1300" s="9" t="str">
        <x:v>Positiva</x:v>
      </x:c>
      <x:c r="F1300" s="9" t="str">
        <x:v>Navegador + HTTP + persistencia; Real DEMO y doble identificados por separado</x:v>
      </x:c>
      <x:c r="G1300" s="23" t="str">
        <x:v>Pendiente</x:v>
      </x:c>
      <x:c r="H1300" s="23"/>
      <x:c r="I1300" s="23"/>
      <x:c r="J1300" s="23"/>
      <x:c r="K1300" s="23"/>
      <x:c r="L1300" s="24"/>
      <x:c r="M1300" s="23"/>
      <x:c r="N1300" s="23"/>
    </x:row>
    <x:row r="1301" ht="70" customHeight="1">
      <x:c r="A1301" s="9" t="str">
        <x:v>QA-NHD-175</x:v>
      </x:c>
      <x:c r="B1301" s="9" t="str">
        <x:v>NHD</x:v>
      </x:c>
      <x:c r="C1301" s="9" t="str">
        <x:v>ND 01 Intereses / VES / terceros / R6 Puerto libre Estado Nueva Esparta / sin cobro propio</x:v>
      </x:c>
      <x:c r="D1301" s="9" t="str">
        <x:v>P0</x:v>
      </x:c>
      <x:c r="E1301" s="9" t="str">
        <x:v>Positiva</x:v>
      </x:c>
      <x:c r="F1301" s="9" t="str">
        <x:v>Navegador + HTTP + persistencia; Real DEMO y doble identificados por separado</x:v>
      </x:c>
      <x:c r="G1301" s="23" t="str">
        <x:v>Pendiente</x:v>
      </x:c>
      <x:c r="H1301" s="23"/>
      <x:c r="I1301" s="23"/>
      <x:c r="J1301" s="23"/>
      <x:c r="K1301" s="23"/>
      <x:c r="L1301" s="24"/>
      <x:c r="M1301" s="23"/>
      <x:c r="N1301" s="23"/>
    </x:row>
    <x:row r="1302" ht="70" customHeight="1">
      <x:c r="A1302" s="9" t="str">
        <x:v>QA-NHD-176</x:v>
      </x:c>
      <x:c r="B1302" s="9" t="str">
        <x:v>NHD</x:v>
      </x:c>
      <x:c r="C1302" s="9" t="str">
        <x:v>ND 01 Intereses / VES / terceros / R7 Dutty Free / sin cobro propio</x:v>
      </x:c>
      <x:c r="D1302" s="9" t="str">
        <x:v>P0</x:v>
      </x:c>
      <x:c r="E1302" s="9" t="str">
        <x:v>Positiva</x:v>
      </x:c>
      <x:c r="F1302" s="9" t="str">
        <x:v>Navegador + HTTP + persistencia; Real DEMO y doble identificados por separado</x:v>
      </x:c>
      <x:c r="G1302" s="23" t="str">
        <x:v>Pendiente</x:v>
      </x:c>
      <x:c r="H1302" s="23"/>
      <x:c r="I1302" s="23"/>
      <x:c r="J1302" s="23"/>
      <x:c r="K1302" s="23"/>
      <x:c r="L1302" s="24"/>
      <x:c r="M1302" s="23"/>
      <x:c r="N1302" s="23"/>
    </x:row>
    <x:row r="1303" ht="70" customHeight="1">
      <x:c r="A1303" s="9" t="str">
        <x:v>QA-NHD-177</x:v>
      </x:c>
      <x:c r="B1303" s="9" t="str">
        <x:v>NHD</x:v>
      </x:c>
      <x:c r="C1303" s="9" t="str">
        <x:v>ND 01 Intereses / USD / propia / R0 Sin régimen / sin cobro propio</x:v>
      </x:c>
      <x:c r="D1303" s="9" t="str">
        <x:v>P0</x:v>
      </x:c>
      <x:c r="E1303" s="9" t="str">
        <x:v>Positiva</x:v>
      </x:c>
      <x:c r="F1303" s="9" t="str">
        <x:v>Navegador + HTTP + persistencia; Real DEMO y doble identificados por separado</x:v>
      </x:c>
      <x:c r="G1303" s="23" t="str">
        <x:v>Pendiente</x:v>
      </x:c>
      <x:c r="H1303" s="23"/>
      <x:c r="I1303" s="23"/>
      <x:c r="J1303" s="23"/>
      <x:c r="K1303" s="23"/>
      <x:c r="L1303" s="24"/>
      <x:c r="M1303" s="23"/>
      <x:c r="N1303" s="23"/>
    </x:row>
    <x:row r="1304" ht="70" customHeight="1">
      <x:c r="A1304" s="9" t="str">
        <x:v>QA-NHD-178</x:v>
      </x:c>
      <x:c r="B1304" s="9" t="str">
        <x:v>NHD</x:v>
      </x:c>
      <x:c r="C1304" s="9" t="str">
        <x:v>ND 01 Intereses / USD / propia / R1 Zonas económicas especiales / sin cobro propio</x:v>
      </x:c>
      <x:c r="D1304" s="9" t="str">
        <x:v>P0</x:v>
      </x:c>
      <x:c r="E1304" s="9" t="str">
        <x:v>Positiva</x:v>
      </x:c>
      <x:c r="F1304" s="9" t="str">
        <x:v>Navegador + HTTP + persistencia; Real DEMO y doble identificados por separado</x:v>
      </x:c>
      <x:c r="G1304" s="23" t="str">
        <x:v>Pendiente</x:v>
      </x:c>
      <x:c r="H1304" s="23"/>
      <x:c r="I1304" s="23"/>
      <x:c r="J1304" s="23"/>
      <x:c r="K1304" s="23"/>
      <x:c r="L1304" s="24"/>
      <x:c r="M1304" s="23"/>
      <x:c r="N1304" s="23"/>
    </x:row>
    <x:row r="1305" ht="70" customHeight="1">
      <x:c r="A1305" s="9" t="str">
        <x:v>QA-NHD-179</x:v>
      </x:c>
      <x:c r="B1305" s="9" t="str">
        <x:v>NHD</x:v>
      </x:c>
      <x:c r="C1305" s="9" t="str">
        <x:v>ND 01 Intereses / USD / propia / R2 Zona franca de Paraguaná / sin cobro propio</x:v>
      </x:c>
      <x:c r="D1305" s="9" t="str">
        <x:v>P0</x:v>
      </x:c>
      <x:c r="E1305" s="9" t="str">
        <x:v>Positiva</x:v>
      </x:c>
      <x:c r="F1305" s="9" t="str">
        <x:v>Navegador + HTTP + persistencia; Real DEMO y doble identificados por separado</x:v>
      </x:c>
      <x:c r="G1305" s="23" t="str">
        <x:v>Pendiente</x:v>
      </x:c>
      <x:c r="H1305" s="23"/>
      <x:c r="I1305" s="23"/>
      <x:c r="J1305" s="23"/>
      <x:c r="K1305" s="23"/>
      <x:c r="L1305" s="24"/>
      <x:c r="M1305" s="23"/>
      <x:c r="N1305" s="23"/>
    </x:row>
    <x:row r="1306" ht="70" customHeight="1">
      <x:c r="A1306" s="9" t="str">
        <x:v>QA-NHD-180</x:v>
      </x:c>
      <x:c r="B1306" s="9" t="str">
        <x:v>NHD</x:v>
      </x:c>
      <x:c r="C1306" s="9" t="str">
        <x:v>ND 01 Intereses / USD / propia / R3 Zona libre de Paraguaná / sin cobro propio</x:v>
      </x:c>
      <x:c r="D1306" s="9" t="str">
        <x:v>P0</x:v>
      </x:c>
      <x:c r="E1306" s="9" t="str">
        <x:v>Positiva</x:v>
      </x:c>
      <x:c r="F1306" s="9" t="str">
        <x:v>Navegador + HTTP + persistencia; Real DEMO y doble identificados por separado</x:v>
      </x:c>
      <x:c r="G1306" s="23" t="str">
        <x:v>Pendiente</x:v>
      </x:c>
      <x:c r="H1306" s="23"/>
      <x:c r="I1306" s="23"/>
      <x:c r="J1306" s="23"/>
      <x:c r="K1306" s="23"/>
      <x:c r="L1306" s="24"/>
      <x:c r="M1306" s="23"/>
      <x:c r="N1306" s="23"/>
    </x:row>
    <x:row r="1307" ht="70" customHeight="1">
      <x:c r="A1307" s="9" t="str">
        <x:v>QA-NHD-181</x:v>
      </x:c>
      <x:c r="B1307" s="9" t="str">
        <x:v>NHD</x:v>
      </x:c>
      <x:c r="C1307" s="9" t="str">
        <x:v>ND 01 Intereses / USD / propia / R4 Puerto libre Santa Elena de Uairén / sin cobro propio</x:v>
      </x:c>
      <x:c r="D1307" s="9" t="str">
        <x:v>P0</x:v>
      </x:c>
      <x:c r="E1307" s="9" t="str">
        <x:v>Positiva</x:v>
      </x:c>
      <x:c r="F1307" s="9" t="str">
        <x:v>Navegador + HTTP + persistencia; Real DEMO y doble identificados por separado</x:v>
      </x:c>
      <x:c r="G1307" s="23" t="str">
        <x:v>Pendiente</x:v>
      </x:c>
      <x:c r="H1307" s="23"/>
      <x:c r="I1307" s="23"/>
      <x:c r="J1307" s="23"/>
      <x:c r="K1307" s="23"/>
      <x:c r="L1307" s="24"/>
      <x:c r="M1307" s="23"/>
      <x:c r="N1307" s="23"/>
    </x:row>
    <x:row r="1308" ht="70" customHeight="1">
      <x:c r="A1308" s="9" t="str">
        <x:v>QA-NHD-182</x:v>
      </x:c>
      <x:c r="B1308" s="9" t="str">
        <x:v>NHD</x:v>
      </x:c>
      <x:c r="C1308" s="9" t="str">
        <x:v>ND 01 Intereses / USD / propia / R5 Zona Libre de Mérida / sin cobro propio</x:v>
      </x:c>
      <x:c r="D1308" s="9" t="str">
        <x:v>P0</x:v>
      </x:c>
      <x:c r="E1308" s="9" t="str">
        <x:v>Positiva</x:v>
      </x:c>
      <x:c r="F1308" s="9" t="str">
        <x:v>Navegador + HTTP + persistencia; Real DEMO y doble identificados por separado</x:v>
      </x:c>
      <x:c r="G1308" s="23" t="str">
        <x:v>Pendiente</x:v>
      </x:c>
      <x:c r="H1308" s="23"/>
      <x:c r="I1308" s="23"/>
      <x:c r="J1308" s="23"/>
      <x:c r="K1308" s="23"/>
      <x:c r="L1308" s="24"/>
      <x:c r="M1308" s="23"/>
      <x:c r="N1308" s="23"/>
    </x:row>
    <x:row r="1309" ht="70" customHeight="1">
      <x:c r="A1309" s="9" t="str">
        <x:v>QA-NHD-183</x:v>
      </x:c>
      <x:c r="B1309" s="9" t="str">
        <x:v>NHD</x:v>
      </x:c>
      <x:c r="C1309" s="9" t="str">
        <x:v>ND 01 Intereses / USD / propia / R6 Puerto libre Estado Nueva Esparta / sin cobro propio</x:v>
      </x:c>
      <x:c r="D1309" s="9" t="str">
        <x:v>P0</x:v>
      </x:c>
      <x:c r="E1309" s="9" t="str">
        <x:v>Positiva</x:v>
      </x:c>
      <x:c r="F1309" s="9" t="str">
        <x:v>Navegador + HTTP + persistencia; Real DEMO y doble identificados por separado</x:v>
      </x:c>
      <x:c r="G1309" s="23" t="str">
        <x:v>Pendiente</x:v>
      </x:c>
      <x:c r="H1309" s="23"/>
      <x:c r="I1309" s="23"/>
      <x:c r="J1309" s="23"/>
      <x:c r="K1309" s="23"/>
      <x:c r="L1309" s="24"/>
      <x:c r="M1309" s="23"/>
      <x:c r="N1309" s="23"/>
    </x:row>
    <x:row r="1310" ht="70" customHeight="1">
      <x:c r="A1310" s="9" t="str">
        <x:v>QA-NHD-184</x:v>
      </x:c>
      <x:c r="B1310" s="9" t="str">
        <x:v>NHD</x:v>
      </x:c>
      <x:c r="C1310" s="9" t="str">
        <x:v>ND 01 Intereses / USD / propia / R7 Dutty Free / sin cobro propio</x:v>
      </x:c>
      <x:c r="D1310" s="9" t="str">
        <x:v>P0</x:v>
      </x:c>
      <x:c r="E1310" s="9" t="str">
        <x:v>Positiva</x:v>
      </x:c>
      <x:c r="F1310" s="9" t="str">
        <x:v>Navegador + HTTP + persistencia; Real DEMO y doble identificados por separado</x:v>
      </x:c>
      <x:c r="G1310" s="23" t="str">
        <x:v>Pendiente</x:v>
      </x:c>
      <x:c r="H1310" s="23"/>
      <x:c r="I1310" s="23"/>
      <x:c r="J1310" s="23"/>
      <x:c r="K1310" s="23"/>
      <x:c r="L1310" s="24"/>
      <x:c r="M1310" s="23"/>
      <x:c r="N1310" s="23"/>
    </x:row>
    <x:row r="1311" ht="70" customHeight="1">
      <x:c r="A1311" s="9" t="str">
        <x:v>QA-NHD-185</x:v>
      </x:c>
      <x:c r="B1311" s="9" t="str">
        <x:v>NHD</x:v>
      </x:c>
      <x:c r="C1311" s="9" t="str">
        <x:v>ND 01 Intereses / USD / terceros / R0 Sin régimen / sin cobro propio</x:v>
      </x:c>
      <x:c r="D1311" s="9" t="str">
        <x:v>P0</x:v>
      </x:c>
      <x:c r="E1311" s="9" t="str">
        <x:v>Positiva</x:v>
      </x:c>
      <x:c r="F1311" s="9" t="str">
        <x:v>Navegador + HTTP + persistencia; Real DEMO y doble identificados por separado</x:v>
      </x:c>
      <x:c r="G1311" s="23" t="str">
        <x:v>Pendiente</x:v>
      </x:c>
      <x:c r="H1311" s="23"/>
      <x:c r="I1311" s="23"/>
      <x:c r="J1311" s="23"/>
      <x:c r="K1311" s="23"/>
      <x:c r="L1311" s="24"/>
      <x:c r="M1311" s="23"/>
      <x:c r="N1311" s="23"/>
    </x:row>
    <x:row r="1312" ht="70" customHeight="1">
      <x:c r="A1312" s="9" t="str">
        <x:v>QA-NHD-186</x:v>
      </x:c>
      <x:c r="B1312" s="9" t="str">
        <x:v>NHD</x:v>
      </x:c>
      <x:c r="C1312" s="9" t="str">
        <x:v>ND 01 Intereses / USD / terceros / R1 Zonas económicas especiales / sin cobro propio</x:v>
      </x:c>
      <x:c r="D1312" s="9" t="str">
        <x:v>P0</x:v>
      </x:c>
      <x:c r="E1312" s="9" t="str">
        <x:v>Positiva</x:v>
      </x:c>
      <x:c r="F1312" s="9" t="str">
        <x:v>Navegador + HTTP + persistencia; Real DEMO y doble identificados por separado</x:v>
      </x:c>
      <x:c r="G1312" s="23" t="str">
        <x:v>Pendiente</x:v>
      </x:c>
      <x:c r="H1312" s="23"/>
      <x:c r="I1312" s="23"/>
      <x:c r="J1312" s="23"/>
      <x:c r="K1312" s="23"/>
      <x:c r="L1312" s="24"/>
      <x:c r="M1312" s="23"/>
      <x:c r="N1312" s="23"/>
    </x:row>
    <x:row r="1313" ht="70" customHeight="1">
      <x:c r="A1313" s="9" t="str">
        <x:v>QA-NHD-187</x:v>
      </x:c>
      <x:c r="B1313" s="9" t="str">
        <x:v>NHD</x:v>
      </x:c>
      <x:c r="C1313" s="9" t="str">
        <x:v>ND 01 Intereses / USD / terceros / R2 Zona franca de Paraguaná / sin cobro propio</x:v>
      </x:c>
      <x:c r="D1313" s="9" t="str">
        <x:v>P0</x:v>
      </x:c>
      <x:c r="E1313" s="9" t="str">
        <x:v>Positiva</x:v>
      </x:c>
      <x:c r="F1313" s="9" t="str">
        <x:v>Navegador + HTTP + persistencia; Real DEMO y doble identificados por separado</x:v>
      </x:c>
      <x:c r="G1313" s="23" t="str">
        <x:v>Pendiente</x:v>
      </x:c>
      <x:c r="H1313" s="23"/>
      <x:c r="I1313" s="23"/>
      <x:c r="J1313" s="23"/>
      <x:c r="K1313" s="23"/>
      <x:c r="L1313" s="24"/>
      <x:c r="M1313" s="23"/>
      <x:c r="N1313" s="23"/>
    </x:row>
    <x:row r="1314" ht="70" customHeight="1">
      <x:c r="A1314" s="9" t="str">
        <x:v>QA-NHD-188</x:v>
      </x:c>
      <x:c r="B1314" s="9" t="str">
        <x:v>NHD</x:v>
      </x:c>
      <x:c r="C1314" s="9" t="str">
        <x:v>ND 01 Intereses / USD / terceros / R3 Zona libre de Paraguaná / sin cobro propio</x:v>
      </x:c>
      <x:c r="D1314" s="9" t="str">
        <x:v>P0</x:v>
      </x:c>
      <x:c r="E1314" s="9" t="str">
        <x:v>Positiva</x:v>
      </x:c>
      <x:c r="F1314" s="9" t="str">
        <x:v>Navegador + HTTP + persistencia; Real DEMO y doble identificados por separado</x:v>
      </x:c>
      <x:c r="G1314" s="23" t="str">
        <x:v>Pendiente</x:v>
      </x:c>
      <x:c r="H1314" s="23"/>
      <x:c r="I1314" s="23"/>
      <x:c r="J1314" s="23"/>
      <x:c r="K1314" s="23"/>
      <x:c r="L1314" s="24"/>
      <x:c r="M1314" s="23"/>
      <x:c r="N1314" s="23"/>
    </x:row>
    <x:row r="1315" ht="70" customHeight="1">
      <x:c r="A1315" s="9" t="str">
        <x:v>QA-NHD-189</x:v>
      </x:c>
      <x:c r="B1315" s="9" t="str">
        <x:v>NHD</x:v>
      </x:c>
      <x:c r="C1315" s="9" t="str">
        <x:v>ND 01 Intereses / USD / terceros / R4 Puerto libre Santa Elena de Uairén / sin cobro propio</x:v>
      </x:c>
      <x:c r="D1315" s="9" t="str">
        <x:v>P0</x:v>
      </x:c>
      <x:c r="E1315" s="9" t="str">
        <x:v>Positiva</x:v>
      </x:c>
      <x:c r="F1315" s="9" t="str">
        <x:v>Navegador + HTTP + persistencia; Real DEMO y doble identificados por separado</x:v>
      </x:c>
      <x:c r="G1315" s="23" t="str">
        <x:v>Pendiente</x:v>
      </x:c>
      <x:c r="H1315" s="23"/>
      <x:c r="I1315" s="23"/>
      <x:c r="J1315" s="23"/>
      <x:c r="K1315" s="23"/>
      <x:c r="L1315" s="24"/>
      <x:c r="M1315" s="23"/>
      <x:c r="N1315" s="23"/>
    </x:row>
    <x:row r="1316" ht="70" customHeight="1">
      <x:c r="A1316" s="9" t="str">
        <x:v>QA-NHD-190</x:v>
      </x:c>
      <x:c r="B1316" s="9" t="str">
        <x:v>NHD</x:v>
      </x:c>
      <x:c r="C1316" s="9" t="str">
        <x:v>ND 01 Intereses / USD / terceros / R5 Zona Libre de Mérida / sin cobro propio</x:v>
      </x:c>
      <x:c r="D1316" s="9" t="str">
        <x:v>P0</x:v>
      </x:c>
      <x:c r="E1316" s="9" t="str">
        <x:v>Positiva</x:v>
      </x:c>
      <x:c r="F1316" s="9" t="str">
        <x:v>Navegador + HTTP + persistencia; Real DEMO y doble identificados por separado</x:v>
      </x:c>
      <x:c r="G1316" s="23" t="str">
        <x:v>Pendiente</x:v>
      </x:c>
      <x:c r="H1316" s="23"/>
      <x:c r="I1316" s="23"/>
      <x:c r="J1316" s="23"/>
      <x:c r="K1316" s="23"/>
      <x:c r="L1316" s="24"/>
      <x:c r="M1316" s="23"/>
      <x:c r="N1316" s="23"/>
    </x:row>
    <x:row r="1317" ht="70" customHeight="1">
      <x:c r="A1317" s="9" t="str">
        <x:v>QA-NHD-191</x:v>
      </x:c>
      <x:c r="B1317" s="9" t="str">
        <x:v>NHD</x:v>
      </x:c>
      <x:c r="C1317" s="9" t="str">
        <x:v>ND 01 Intereses / USD / terceros / R6 Puerto libre Estado Nueva Esparta / sin cobro propio</x:v>
      </x:c>
      <x:c r="D1317" s="9" t="str">
        <x:v>P0</x:v>
      </x:c>
      <x:c r="E1317" s="9" t="str">
        <x:v>Positiva</x:v>
      </x:c>
      <x:c r="F1317" s="9" t="str">
        <x:v>Navegador + HTTP + persistencia; Real DEMO y doble identificados por separado</x:v>
      </x:c>
      <x:c r="G1317" s="23" t="str">
        <x:v>Pendiente</x:v>
      </x:c>
      <x:c r="H1317" s="23"/>
      <x:c r="I1317" s="23"/>
      <x:c r="J1317" s="23"/>
      <x:c r="K1317" s="23"/>
      <x:c r="L1317" s="24"/>
      <x:c r="M1317" s="23"/>
      <x:c r="N1317" s="23"/>
    </x:row>
    <x:row r="1318" ht="70" customHeight="1">
      <x:c r="A1318" s="9" t="str">
        <x:v>QA-NHD-192</x:v>
      </x:c>
      <x:c r="B1318" s="9" t="str">
        <x:v>NHD</x:v>
      </x:c>
      <x:c r="C1318" s="9" t="str">
        <x:v>ND 01 Intereses / USD / terceros / R7 Dutty Free / sin cobro propio</x:v>
      </x:c>
      <x:c r="D1318" s="9" t="str">
        <x:v>P0</x:v>
      </x:c>
      <x:c r="E1318" s="9" t="str">
        <x:v>Positiva</x:v>
      </x:c>
      <x:c r="F1318" s="9" t="str">
        <x:v>Navegador + HTTP + persistencia; Real DEMO y doble identificados por separado</x:v>
      </x:c>
      <x:c r="G1318" s="23" t="str">
        <x:v>Pendiente</x:v>
      </x:c>
      <x:c r="H1318" s="23"/>
      <x:c r="I1318" s="23"/>
      <x:c r="J1318" s="23"/>
      <x:c r="K1318" s="23"/>
      <x:c r="L1318" s="24"/>
      <x:c r="M1318" s="23"/>
      <x:c r="N1318" s="23"/>
    </x:row>
    <x:row r="1319" ht="70" customHeight="1">
      <x:c r="A1319" s="9" t="str">
        <x:v>QA-NHD-193</x:v>
      </x:c>
      <x:c r="B1319" s="9" t="str">
        <x:v>NHD</x:v>
      </x:c>
      <x:c r="C1319" s="9" t="str">
        <x:v>ND 03 Fletes y gastos / VES / propia / R0 Sin régimen / sin cobro propio</x:v>
      </x:c>
      <x:c r="D1319" s="9" t="str">
        <x:v>P0</x:v>
      </x:c>
      <x:c r="E1319" s="9" t="str">
        <x:v>Positiva</x:v>
      </x:c>
      <x:c r="F1319" s="9" t="str">
        <x:v>Navegador + HTTP + persistencia; Real DEMO y doble identificados por separado</x:v>
      </x:c>
      <x:c r="G1319" s="23" t="str">
        <x:v>Pendiente</x:v>
      </x:c>
      <x:c r="H1319" s="23"/>
      <x:c r="I1319" s="23"/>
      <x:c r="J1319" s="23"/>
      <x:c r="K1319" s="23"/>
      <x:c r="L1319" s="24"/>
      <x:c r="M1319" s="23"/>
      <x:c r="N1319" s="23"/>
    </x:row>
    <x:row r="1320" ht="70" customHeight="1">
      <x:c r="A1320" s="9" t="str">
        <x:v>QA-NHD-194</x:v>
      </x:c>
      <x:c r="B1320" s="9" t="str">
        <x:v>NHD</x:v>
      </x:c>
      <x:c r="C1320" s="9" t="str">
        <x:v>ND 03 Fletes y gastos / VES / propia / R1 Zonas económicas especiales / sin cobro propio</x:v>
      </x:c>
      <x:c r="D1320" s="9" t="str">
        <x:v>P0</x:v>
      </x:c>
      <x:c r="E1320" s="9" t="str">
        <x:v>Positiva</x:v>
      </x:c>
      <x:c r="F1320" s="9" t="str">
        <x:v>Navegador + HTTP + persistencia; Real DEMO y doble identificados por separado</x:v>
      </x:c>
      <x:c r="G1320" s="23" t="str">
        <x:v>Pendiente</x:v>
      </x:c>
      <x:c r="H1320" s="23"/>
      <x:c r="I1320" s="23"/>
      <x:c r="J1320" s="23"/>
      <x:c r="K1320" s="23"/>
      <x:c r="L1320" s="24"/>
      <x:c r="M1320" s="23"/>
      <x:c r="N1320" s="23"/>
    </x:row>
    <x:row r="1321" ht="70" customHeight="1">
      <x:c r="A1321" s="9" t="str">
        <x:v>QA-NHD-195</x:v>
      </x:c>
      <x:c r="B1321" s="9" t="str">
        <x:v>NHD</x:v>
      </x:c>
      <x:c r="C1321" s="9" t="str">
        <x:v>ND 03 Fletes y gastos / VES / propia / R2 Zona franca de Paraguaná / sin cobro propio</x:v>
      </x:c>
      <x:c r="D1321" s="9" t="str">
        <x:v>P0</x:v>
      </x:c>
      <x:c r="E1321" s="9" t="str">
        <x:v>Positiva</x:v>
      </x:c>
      <x:c r="F1321" s="9" t="str">
        <x:v>Navegador + HTTP + persistencia; Real DEMO y doble identificados por separado</x:v>
      </x:c>
      <x:c r="G1321" s="23" t="str">
        <x:v>Pendiente</x:v>
      </x:c>
      <x:c r="H1321" s="23"/>
      <x:c r="I1321" s="23"/>
      <x:c r="J1321" s="23"/>
      <x:c r="K1321" s="23"/>
      <x:c r="L1321" s="24"/>
      <x:c r="M1321" s="23"/>
      <x:c r="N1321" s="23"/>
    </x:row>
    <x:row r="1322" ht="70" customHeight="1">
      <x:c r="A1322" s="9" t="str">
        <x:v>QA-NHD-196</x:v>
      </x:c>
      <x:c r="B1322" s="9" t="str">
        <x:v>NHD</x:v>
      </x:c>
      <x:c r="C1322" s="9" t="str">
        <x:v>ND 03 Fletes y gastos / VES / propia / R3 Zona libre de Paraguaná / sin cobro propio</x:v>
      </x:c>
      <x:c r="D1322" s="9" t="str">
        <x:v>P0</x:v>
      </x:c>
      <x:c r="E1322" s="9" t="str">
        <x:v>Positiva</x:v>
      </x:c>
      <x:c r="F1322" s="9" t="str">
        <x:v>Navegador + HTTP + persistencia; Real DEMO y doble identificados por separado</x:v>
      </x:c>
      <x:c r="G1322" s="23" t="str">
        <x:v>Pendiente</x:v>
      </x:c>
      <x:c r="H1322" s="23"/>
      <x:c r="I1322" s="23"/>
      <x:c r="J1322" s="23"/>
      <x:c r="K1322" s="23"/>
      <x:c r="L1322" s="24"/>
      <x:c r="M1322" s="23"/>
      <x:c r="N1322" s="23"/>
    </x:row>
    <x:row r="1323" ht="70" customHeight="1">
      <x:c r="A1323" s="9" t="str">
        <x:v>QA-NHD-197</x:v>
      </x:c>
      <x:c r="B1323" s="9" t="str">
        <x:v>NHD</x:v>
      </x:c>
      <x:c r="C1323" s="9" t="str">
        <x:v>ND 03 Fletes y gastos / VES / propia / R4 Puerto libre Santa Elena de Uairén / sin cobro propio</x:v>
      </x:c>
      <x:c r="D1323" s="9" t="str">
        <x:v>P0</x:v>
      </x:c>
      <x:c r="E1323" s="9" t="str">
        <x:v>Positiva</x:v>
      </x:c>
      <x:c r="F1323" s="9" t="str">
        <x:v>Navegador + HTTP + persistencia; Real DEMO y doble identificados por separado</x:v>
      </x:c>
      <x:c r="G1323" s="23" t="str">
        <x:v>Pendiente</x:v>
      </x:c>
      <x:c r="H1323" s="23"/>
      <x:c r="I1323" s="23"/>
      <x:c r="J1323" s="23"/>
      <x:c r="K1323" s="23"/>
      <x:c r="L1323" s="24"/>
      <x:c r="M1323" s="23"/>
      <x:c r="N1323" s="23"/>
    </x:row>
    <x:row r="1324" ht="70" customHeight="1">
      <x:c r="A1324" s="9" t="str">
        <x:v>QA-NHD-198</x:v>
      </x:c>
      <x:c r="B1324" s="9" t="str">
        <x:v>NHD</x:v>
      </x:c>
      <x:c r="C1324" s="9" t="str">
        <x:v>ND 03 Fletes y gastos / VES / propia / R5 Zona Libre de Mérida / sin cobro propio</x:v>
      </x:c>
      <x:c r="D1324" s="9" t="str">
        <x:v>P0</x:v>
      </x:c>
      <x:c r="E1324" s="9" t="str">
        <x:v>Positiva</x:v>
      </x:c>
      <x:c r="F1324" s="9" t="str">
        <x:v>Navegador + HTTP + persistencia; Real DEMO y doble identificados por separado</x:v>
      </x:c>
      <x:c r="G1324" s="23" t="str">
        <x:v>Pendiente</x:v>
      </x:c>
      <x:c r="H1324" s="23"/>
      <x:c r="I1324" s="23"/>
      <x:c r="J1324" s="23"/>
      <x:c r="K1324" s="23"/>
      <x:c r="L1324" s="24"/>
      <x:c r="M1324" s="23"/>
      <x:c r="N1324" s="23"/>
    </x:row>
    <x:row r="1325" ht="70" customHeight="1">
      <x:c r="A1325" s="9" t="str">
        <x:v>QA-NHD-199</x:v>
      </x:c>
      <x:c r="B1325" s="9" t="str">
        <x:v>NHD</x:v>
      </x:c>
      <x:c r="C1325" s="9" t="str">
        <x:v>ND 03 Fletes y gastos / VES / propia / R6 Puerto libre Estado Nueva Esparta / sin cobro propio</x:v>
      </x:c>
      <x:c r="D1325" s="9" t="str">
        <x:v>P0</x:v>
      </x:c>
      <x:c r="E1325" s="9" t="str">
        <x:v>Positiva</x:v>
      </x:c>
      <x:c r="F1325" s="9" t="str">
        <x:v>Navegador + HTTP + persistencia; Real DEMO y doble identificados por separado</x:v>
      </x:c>
      <x:c r="G1325" s="23" t="str">
        <x:v>Pendiente</x:v>
      </x:c>
      <x:c r="H1325" s="23"/>
      <x:c r="I1325" s="23"/>
      <x:c r="J1325" s="23"/>
      <x:c r="K1325" s="23"/>
      <x:c r="L1325" s="24"/>
      <x:c r="M1325" s="23"/>
      <x:c r="N1325" s="23"/>
    </x:row>
    <x:row r="1326" ht="70" customHeight="1">
      <x:c r="A1326" s="9" t="str">
        <x:v>QA-NHD-200</x:v>
      </x:c>
      <x:c r="B1326" s="9" t="str">
        <x:v>NHD</x:v>
      </x:c>
      <x:c r="C1326" s="9" t="str">
        <x:v>ND 03 Fletes y gastos / VES / propia / R7 Dutty Free / sin cobro propio</x:v>
      </x:c>
      <x:c r="D1326" s="9" t="str">
        <x:v>P0</x:v>
      </x:c>
      <x:c r="E1326" s="9" t="str">
        <x:v>Positiva</x:v>
      </x:c>
      <x:c r="F1326" s="9" t="str">
        <x:v>Navegador + HTTP + persistencia; Real DEMO y doble identificados por separado</x:v>
      </x:c>
      <x:c r="G1326" s="23" t="str">
        <x:v>Pendiente</x:v>
      </x:c>
      <x:c r="H1326" s="23"/>
      <x:c r="I1326" s="23"/>
      <x:c r="J1326" s="23"/>
      <x:c r="K1326" s="23"/>
      <x:c r="L1326" s="24"/>
      <x:c r="M1326" s="23"/>
      <x:c r="N1326" s="23"/>
    </x:row>
    <x:row r="1327" ht="70" customHeight="1">
      <x:c r="A1327" s="9" t="str">
        <x:v>QA-NHD-201</x:v>
      </x:c>
      <x:c r="B1327" s="9" t="str">
        <x:v>NHD</x:v>
      </x:c>
      <x:c r="C1327" s="9" t="str">
        <x:v>ND 03 Fletes y gastos / VES / terceros / R0 Sin régimen / sin cobro propio</x:v>
      </x:c>
      <x:c r="D1327" s="9" t="str">
        <x:v>P0</x:v>
      </x:c>
      <x:c r="E1327" s="9" t="str">
        <x:v>Positiva</x:v>
      </x:c>
      <x:c r="F1327" s="9" t="str">
        <x:v>Navegador + HTTP + persistencia; Real DEMO y doble identificados por separado</x:v>
      </x:c>
      <x:c r="G1327" s="23" t="str">
        <x:v>Pendiente</x:v>
      </x:c>
      <x:c r="H1327" s="23"/>
      <x:c r="I1327" s="23"/>
      <x:c r="J1327" s="23"/>
      <x:c r="K1327" s="23"/>
      <x:c r="L1327" s="24"/>
      <x:c r="M1327" s="23"/>
      <x:c r="N1327" s="23"/>
    </x:row>
    <x:row r="1328" ht="70" customHeight="1">
      <x:c r="A1328" s="9" t="str">
        <x:v>QA-NHD-202</x:v>
      </x:c>
      <x:c r="B1328" s="9" t="str">
        <x:v>NHD</x:v>
      </x:c>
      <x:c r="C1328" s="9" t="str">
        <x:v>ND 03 Fletes y gastos / VES / terceros / R1 Zonas económicas especiales / sin cobro propio</x:v>
      </x:c>
      <x:c r="D1328" s="9" t="str">
        <x:v>P0</x:v>
      </x:c>
      <x:c r="E1328" s="9" t="str">
        <x:v>Positiva</x:v>
      </x:c>
      <x:c r="F1328" s="9" t="str">
        <x:v>Navegador + HTTP + persistencia; Real DEMO y doble identificados por separado</x:v>
      </x:c>
      <x:c r="G1328" s="23" t="str">
        <x:v>Pendiente</x:v>
      </x:c>
      <x:c r="H1328" s="23"/>
      <x:c r="I1328" s="23"/>
      <x:c r="J1328" s="23"/>
      <x:c r="K1328" s="23"/>
      <x:c r="L1328" s="24"/>
      <x:c r="M1328" s="23"/>
      <x:c r="N1328" s="23"/>
    </x:row>
    <x:row r="1329" ht="70" customHeight="1">
      <x:c r="A1329" s="9" t="str">
        <x:v>QA-NHD-203</x:v>
      </x:c>
      <x:c r="B1329" s="9" t="str">
        <x:v>NHD</x:v>
      </x:c>
      <x:c r="C1329" s="9" t="str">
        <x:v>ND 03 Fletes y gastos / VES / terceros / R2 Zona franca de Paraguaná / sin cobro propio</x:v>
      </x:c>
      <x:c r="D1329" s="9" t="str">
        <x:v>P0</x:v>
      </x:c>
      <x:c r="E1329" s="9" t="str">
        <x:v>Positiva</x:v>
      </x:c>
      <x:c r="F1329" s="9" t="str">
        <x:v>Navegador + HTTP + persistencia; Real DEMO y doble identificados por separado</x:v>
      </x:c>
      <x:c r="G1329" s="23" t="str">
        <x:v>Pendiente</x:v>
      </x:c>
      <x:c r="H1329" s="23"/>
      <x:c r="I1329" s="23"/>
      <x:c r="J1329" s="23"/>
      <x:c r="K1329" s="23"/>
      <x:c r="L1329" s="24"/>
      <x:c r="M1329" s="23"/>
      <x:c r="N1329" s="23"/>
    </x:row>
    <x:row r="1330" ht="70" customHeight="1">
      <x:c r="A1330" s="9" t="str">
        <x:v>QA-NHD-204</x:v>
      </x:c>
      <x:c r="B1330" s="9" t="str">
        <x:v>NHD</x:v>
      </x:c>
      <x:c r="C1330" s="9" t="str">
        <x:v>ND 03 Fletes y gastos / VES / terceros / R3 Zona libre de Paraguaná / sin cobro propio</x:v>
      </x:c>
      <x:c r="D1330" s="9" t="str">
        <x:v>P0</x:v>
      </x:c>
      <x:c r="E1330" s="9" t="str">
        <x:v>Positiva</x:v>
      </x:c>
      <x:c r="F1330" s="9" t="str">
        <x:v>Navegador + HTTP + persistencia; Real DEMO y doble identificados por separado</x:v>
      </x:c>
      <x:c r="G1330" s="23" t="str">
        <x:v>Pendiente</x:v>
      </x:c>
      <x:c r="H1330" s="23"/>
      <x:c r="I1330" s="23"/>
      <x:c r="J1330" s="23"/>
      <x:c r="K1330" s="23"/>
      <x:c r="L1330" s="24"/>
      <x:c r="M1330" s="23"/>
      <x:c r="N1330" s="23"/>
    </x:row>
    <x:row r="1331" ht="70" customHeight="1">
      <x:c r="A1331" s="9" t="str">
        <x:v>QA-NHD-205</x:v>
      </x:c>
      <x:c r="B1331" s="9" t="str">
        <x:v>NHD</x:v>
      </x:c>
      <x:c r="C1331" s="9" t="str">
        <x:v>ND 03 Fletes y gastos / VES / terceros / R4 Puerto libre Santa Elena de Uairén / sin cobro propio</x:v>
      </x:c>
      <x:c r="D1331" s="9" t="str">
        <x:v>P0</x:v>
      </x:c>
      <x:c r="E1331" s="9" t="str">
        <x:v>Positiva</x:v>
      </x:c>
      <x:c r="F1331" s="9" t="str">
        <x:v>Navegador + HTTP + persistencia; Real DEMO y doble identificados por separado</x:v>
      </x:c>
      <x:c r="G1331" s="23" t="str">
        <x:v>Pendiente</x:v>
      </x:c>
      <x:c r="H1331" s="23"/>
      <x:c r="I1331" s="23"/>
      <x:c r="J1331" s="23"/>
      <x:c r="K1331" s="23"/>
      <x:c r="L1331" s="24"/>
      <x:c r="M1331" s="23"/>
      <x:c r="N1331" s="23"/>
    </x:row>
    <x:row r="1332" ht="70" customHeight="1">
      <x:c r="A1332" s="9" t="str">
        <x:v>QA-NHD-206</x:v>
      </x:c>
      <x:c r="B1332" s="9" t="str">
        <x:v>NHD</x:v>
      </x:c>
      <x:c r="C1332" s="9" t="str">
        <x:v>ND 03 Fletes y gastos / VES / terceros / R5 Zona Libre de Mérida / sin cobro propio</x:v>
      </x:c>
      <x:c r="D1332" s="9" t="str">
        <x:v>P0</x:v>
      </x:c>
      <x:c r="E1332" s="9" t="str">
        <x:v>Positiva</x:v>
      </x:c>
      <x:c r="F1332" s="9" t="str">
        <x:v>Navegador + HTTP + persistencia; Real DEMO y doble identificados por separado</x:v>
      </x:c>
      <x:c r="G1332" s="23" t="str">
        <x:v>Pendiente</x:v>
      </x:c>
      <x:c r="H1332" s="23"/>
      <x:c r="I1332" s="23"/>
      <x:c r="J1332" s="23"/>
      <x:c r="K1332" s="23"/>
      <x:c r="L1332" s="24"/>
      <x:c r="M1332" s="23"/>
      <x:c r="N1332" s="23"/>
    </x:row>
    <x:row r="1333" ht="70" customHeight="1">
      <x:c r="A1333" s="9" t="str">
        <x:v>QA-NHD-207</x:v>
      </x:c>
      <x:c r="B1333" s="9" t="str">
        <x:v>NHD</x:v>
      </x:c>
      <x:c r="C1333" s="9" t="str">
        <x:v>ND 03 Fletes y gastos / VES / terceros / R6 Puerto libre Estado Nueva Esparta / sin cobro propio</x:v>
      </x:c>
      <x:c r="D1333" s="9" t="str">
        <x:v>P0</x:v>
      </x:c>
      <x:c r="E1333" s="9" t="str">
        <x:v>Positiva</x:v>
      </x:c>
      <x:c r="F1333" s="9" t="str">
        <x:v>Navegador + HTTP + persistencia; Real DEMO y doble identificados por separado</x:v>
      </x:c>
      <x:c r="G1333" s="23" t="str">
        <x:v>Pendiente</x:v>
      </x:c>
      <x:c r="H1333" s="23"/>
      <x:c r="I1333" s="23"/>
      <x:c r="J1333" s="23"/>
      <x:c r="K1333" s="23"/>
      <x:c r="L1333" s="24"/>
      <x:c r="M1333" s="23"/>
      <x:c r="N1333" s="23"/>
    </x:row>
    <x:row r="1334" ht="70" customHeight="1">
      <x:c r="A1334" s="9" t="str">
        <x:v>QA-NHD-208</x:v>
      </x:c>
      <x:c r="B1334" s="9" t="str">
        <x:v>NHD</x:v>
      </x:c>
      <x:c r="C1334" s="9" t="str">
        <x:v>ND 03 Fletes y gastos / VES / terceros / R7 Dutty Free / sin cobro propio</x:v>
      </x:c>
      <x:c r="D1334" s="9" t="str">
        <x:v>P0</x:v>
      </x:c>
      <x:c r="E1334" s="9" t="str">
        <x:v>Positiva</x:v>
      </x:c>
      <x:c r="F1334" s="9" t="str">
        <x:v>Navegador + HTTP + persistencia; Real DEMO y doble identificados por separado</x:v>
      </x:c>
      <x:c r="G1334" s="23" t="str">
        <x:v>Pendiente</x:v>
      </x:c>
      <x:c r="H1334" s="23"/>
      <x:c r="I1334" s="23"/>
      <x:c r="J1334" s="23"/>
      <x:c r="K1334" s="23"/>
      <x:c r="L1334" s="24"/>
      <x:c r="M1334" s="23"/>
      <x:c r="N1334" s="23"/>
    </x:row>
    <x:row r="1335" ht="70" customHeight="1">
      <x:c r="A1335" s="9" t="str">
        <x:v>QA-NHD-209</x:v>
      </x:c>
      <x:c r="B1335" s="9" t="str">
        <x:v>NHD</x:v>
      </x:c>
      <x:c r="C1335" s="9" t="str">
        <x:v>ND 03 Fletes y gastos / USD / propia / R0 Sin régimen / sin cobro propio</x:v>
      </x:c>
      <x:c r="D1335" s="9" t="str">
        <x:v>P0</x:v>
      </x:c>
      <x:c r="E1335" s="9" t="str">
        <x:v>Positiva</x:v>
      </x:c>
      <x:c r="F1335" s="9" t="str">
        <x:v>Navegador + HTTP + persistencia; Real DEMO y doble identificados por separado</x:v>
      </x:c>
      <x:c r="G1335" s="23" t="str">
        <x:v>Pendiente</x:v>
      </x:c>
      <x:c r="H1335" s="23"/>
      <x:c r="I1335" s="23"/>
      <x:c r="J1335" s="23"/>
      <x:c r="K1335" s="23"/>
      <x:c r="L1335" s="24"/>
      <x:c r="M1335" s="23"/>
      <x:c r="N1335" s="23"/>
    </x:row>
    <x:row r="1336" ht="70" customHeight="1">
      <x:c r="A1336" s="9" t="str">
        <x:v>QA-NHD-210</x:v>
      </x:c>
      <x:c r="B1336" s="9" t="str">
        <x:v>NHD</x:v>
      </x:c>
      <x:c r="C1336" s="9" t="str">
        <x:v>ND 03 Fletes y gastos / USD / propia / R1 Zonas económicas especiales / sin cobro propio</x:v>
      </x:c>
      <x:c r="D1336" s="9" t="str">
        <x:v>P0</x:v>
      </x:c>
      <x:c r="E1336" s="9" t="str">
        <x:v>Positiva</x:v>
      </x:c>
      <x:c r="F1336" s="9" t="str">
        <x:v>Navegador + HTTP + persistencia; Real DEMO y doble identificados por separado</x:v>
      </x:c>
      <x:c r="G1336" s="23" t="str">
        <x:v>Pendiente</x:v>
      </x:c>
      <x:c r="H1336" s="23"/>
      <x:c r="I1336" s="23"/>
      <x:c r="J1336" s="23"/>
      <x:c r="K1336" s="23"/>
      <x:c r="L1336" s="24"/>
      <x:c r="M1336" s="23"/>
      <x:c r="N1336" s="23"/>
    </x:row>
    <x:row r="1337" ht="70" customHeight="1">
      <x:c r="A1337" s="9" t="str">
        <x:v>QA-NHD-211</x:v>
      </x:c>
      <x:c r="B1337" s="9" t="str">
        <x:v>NHD</x:v>
      </x:c>
      <x:c r="C1337" s="9" t="str">
        <x:v>ND 03 Fletes y gastos / USD / propia / R2 Zona franca de Paraguaná / sin cobro propio</x:v>
      </x:c>
      <x:c r="D1337" s="9" t="str">
        <x:v>P0</x:v>
      </x:c>
      <x:c r="E1337" s="9" t="str">
        <x:v>Positiva</x:v>
      </x:c>
      <x:c r="F1337" s="9" t="str">
        <x:v>Navegador + HTTP + persistencia; Real DEMO y doble identificados por separado</x:v>
      </x:c>
      <x:c r="G1337" s="23" t="str">
        <x:v>Pendiente</x:v>
      </x:c>
      <x:c r="H1337" s="23"/>
      <x:c r="I1337" s="23"/>
      <x:c r="J1337" s="23"/>
      <x:c r="K1337" s="23"/>
      <x:c r="L1337" s="24"/>
      <x:c r="M1337" s="23"/>
      <x:c r="N1337" s="23"/>
    </x:row>
    <x:row r="1338" ht="70" customHeight="1">
      <x:c r="A1338" s="9" t="str">
        <x:v>QA-NHD-212</x:v>
      </x:c>
      <x:c r="B1338" s="9" t="str">
        <x:v>NHD</x:v>
      </x:c>
      <x:c r="C1338" s="9" t="str">
        <x:v>ND 03 Fletes y gastos / USD / propia / R3 Zona libre de Paraguaná / sin cobro propio</x:v>
      </x:c>
      <x:c r="D1338" s="9" t="str">
        <x:v>P0</x:v>
      </x:c>
      <x:c r="E1338" s="9" t="str">
        <x:v>Positiva</x:v>
      </x:c>
      <x:c r="F1338" s="9" t="str">
        <x:v>Navegador + HTTP + persistencia; Real DEMO y doble identificados por separado</x:v>
      </x:c>
      <x:c r="G1338" s="23" t="str">
        <x:v>Pendiente</x:v>
      </x:c>
      <x:c r="H1338" s="23"/>
      <x:c r="I1338" s="23"/>
      <x:c r="J1338" s="23"/>
      <x:c r="K1338" s="23"/>
      <x:c r="L1338" s="24"/>
      <x:c r="M1338" s="23"/>
      <x:c r="N1338" s="23"/>
    </x:row>
    <x:row r="1339" ht="70" customHeight="1">
      <x:c r="A1339" s="9" t="str">
        <x:v>QA-NHD-213</x:v>
      </x:c>
      <x:c r="B1339" s="9" t="str">
        <x:v>NHD</x:v>
      </x:c>
      <x:c r="C1339" s="9" t="str">
        <x:v>ND 03 Fletes y gastos / USD / propia / R4 Puerto libre Santa Elena de Uairén / sin cobro propio</x:v>
      </x:c>
      <x:c r="D1339" s="9" t="str">
        <x:v>P0</x:v>
      </x:c>
      <x:c r="E1339" s="9" t="str">
        <x:v>Positiva</x:v>
      </x:c>
      <x:c r="F1339" s="9" t="str">
        <x:v>Navegador + HTTP + persistencia; Real DEMO y doble identificados por separado</x:v>
      </x:c>
      <x:c r="G1339" s="23" t="str">
        <x:v>Pendiente</x:v>
      </x:c>
      <x:c r="H1339" s="23"/>
      <x:c r="I1339" s="23"/>
      <x:c r="J1339" s="23"/>
      <x:c r="K1339" s="23"/>
      <x:c r="L1339" s="24"/>
      <x:c r="M1339" s="23"/>
      <x:c r="N1339" s="23"/>
    </x:row>
    <x:row r="1340" ht="70" customHeight="1">
      <x:c r="A1340" s="9" t="str">
        <x:v>QA-NHD-214</x:v>
      </x:c>
      <x:c r="B1340" s="9" t="str">
        <x:v>NHD</x:v>
      </x:c>
      <x:c r="C1340" s="9" t="str">
        <x:v>ND 03 Fletes y gastos / USD / propia / R5 Zona Libre de Mérida / sin cobro propio</x:v>
      </x:c>
      <x:c r="D1340" s="9" t="str">
        <x:v>P0</x:v>
      </x:c>
      <x:c r="E1340" s="9" t="str">
        <x:v>Positiva</x:v>
      </x:c>
      <x:c r="F1340" s="9" t="str">
        <x:v>Navegador + HTTP + persistencia; Real DEMO y doble identificados por separado</x:v>
      </x:c>
      <x:c r="G1340" s="23" t="str">
        <x:v>Pendiente</x:v>
      </x:c>
      <x:c r="H1340" s="23"/>
      <x:c r="I1340" s="23"/>
      <x:c r="J1340" s="23"/>
      <x:c r="K1340" s="23"/>
      <x:c r="L1340" s="24"/>
      <x:c r="M1340" s="23"/>
      <x:c r="N1340" s="23"/>
    </x:row>
    <x:row r="1341" ht="70" customHeight="1">
      <x:c r="A1341" s="9" t="str">
        <x:v>QA-NHD-215</x:v>
      </x:c>
      <x:c r="B1341" s="9" t="str">
        <x:v>NHD</x:v>
      </x:c>
      <x:c r="C1341" s="9" t="str">
        <x:v>ND 03 Fletes y gastos / USD / propia / R6 Puerto libre Estado Nueva Esparta / sin cobro propio</x:v>
      </x:c>
      <x:c r="D1341" s="9" t="str">
        <x:v>P0</x:v>
      </x:c>
      <x:c r="E1341" s="9" t="str">
        <x:v>Positiva</x:v>
      </x:c>
      <x:c r="F1341" s="9" t="str">
        <x:v>Navegador + HTTP + persistencia; Real DEMO y doble identificados por separado</x:v>
      </x:c>
      <x:c r="G1341" s="23" t="str">
        <x:v>Pendiente</x:v>
      </x:c>
      <x:c r="H1341" s="23"/>
      <x:c r="I1341" s="23"/>
      <x:c r="J1341" s="23"/>
      <x:c r="K1341" s="23"/>
      <x:c r="L1341" s="24"/>
      <x:c r="M1341" s="23"/>
      <x:c r="N1341" s="23"/>
    </x:row>
    <x:row r="1342" ht="70" customHeight="1">
      <x:c r="A1342" s="9" t="str">
        <x:v>QA-NHD-216</x:v>
      </x:c>
      <x:c r="B1342" s="9" t="str">
        <x:v>NHD</x:v>
      </x:c>
      <x:c r="C1342" s="9" t="str">
        <x:v>ND 03 Fletes y gastos / USD / propia / R7 Dutty Free / sin cobro propio</x:v>
      </x:c>
      <x:c r="D1342" s="9" t="str">
        <x:v>P0</x:v>
      </x:c>
      <x:c r="E1342" s="9" t="str">
        <x:v>Positiva</x:v>
      </x:c>
      <x:c r="F1342" s="9" t="str">
        <x:v>Navegador + HTTP + persistencia; Real DEMO y doble identificados por separado</x:v>
      </x:c>
      <x:c r="G1342" s="23" t="str">
        <x:v>Pendiente</x:v>
      </x:c>
      <x:c r="H1342" s="23"/>
      <x:c r="I1342" s="23"/>
      <x:c r="J1342" s="23"/>
      <x:c r="K1342" s="23"/>
      <x:c r="L1342" s="24"/>
      <x:c r="M1342" s="23"/>
      <x:c r="N1342" s="23"/>
    </x:row>
    <x:row r="1343" ht="70" customHeight="1">
      <x:c r="A1343" s="9" t="str">
        <x:v>QA-NHD-217</x:v>
      </x:c>
      <x:c r="B1343" s="9" t="str">
        <x:v>NHD</x:v>
      </x:c>
      <x:c r="C1343" s="9" t="str">
        <x:v>ND 03 Fletes y gastos / USD / terceros / R0 Sin régimen / sin cobro propio</x:v>
      </x:c>
      <x:c r="D1343" s="9" t="str">
        <x:v>P0</x:v>
      </x:c>
      <x:c r="E1343" s="9" t="str">
        <x:v>Positiva</x:v>
      </x:c>
      <x:c r="F1343" s="9" t="str">
        <x:v>Navegador + HTTP + persistencia; Real DEMO y doble identificados por separado</x:v>
      </x:c>
      <x:c r="G1343" s="23" t="str">
        <x:v>Pendiente</x:v>
      </x:c>
      <x:c r="H1343" s="23"/>
      <x:c r="I1343" s="23"/>
      <x:c r="J1343" s="23"/>
      <x:c r="K1343" s="23"/>
      <x:c r="L1343" s="24"/>
      <x:c r="M1343" s="23"/>
      <x:c r="N1343" s="23"/>
    </x:row>
    <x:row r="1344" ht="70" customHeight="1">
      <x:c r="A1344" s="9" t="str">
        <x:v>QA-NHD-218</x:v>
      </x:c>
      <x:c r="B1344" s="9" t="str">
        <x:v>NHD</x:v>
      </x:c>
      <x:c r="C1344" s="9" t="str">
        <x:v>ND 03 Fletes y gastos / USD / terceros / R1 Zonas económicas especiales / sin cobro propio</x:v>
      </x:c>
      <x:c r="D1344" s="9" t="str">
        <x:v>P0</x:v>
      </x:c>
      <x:c r="E1344" s="9" t="str">
        <x:v>Positiva</x:v>
      </x:c>
      <x:c r="F1344" s="9" t="str">
        <x:v>Navegador + HTTP + persistencia; Real DEMO y doble identificados por separado</x:v>
      </x:c>
      <x:c r="G1344" s="23" t="str">
        <x:v>Pendiente</x:v>
      </x:c>
      <x:c r="H1344" s="23"/>
      <x:c r="I1344" s="23"/>
      <x:c r="J1344" s="23"/>
      <x:c r="K1344" s="23"/>
      <x:c r="L1344" s="24"/>
      <x:c r="M1344" s="23"/>
      <x:c r="N1344" s="23"/>
    </x:row>
    <x:row r="1345" ht="70" customHeight="1">
      <x:c r="A1345" s="9" t="str">
        <x:v>QA-NHD-219</x:v>
      </x:c>
      <x:c r="B1345" s="9" t="str">
        <x:v>NHD</x:v>
      </x:c>
      <x:c r="C1345" s="9" t="str">
        <x:v>ND 03 Fletes y gastos / USD / terceros / R2 Zona franca de Paraguaná / sin cobro propio</x:v>
      </x:c>
      <x:c r="D1345" s="9" t="str">
        <x:v>P0</x:v>
      </x:c>
      <x:c r="E1345" s="9" t="str">
        <x:v>Positiva</x:v>
      </x:c>
      <x:c r="F1345" s="9" t="str">
        <x:v>Navegador + HTTP + persistencia; Real DEMO y doble identificados por separado</x:v>
      </x:c>
      <x:c r="G1345" s="23" t="str">
        <x:v>Pendiente</x:v>
      </x:c>
      <x:c r="H1345" s="23"/>
      <x:c r="I1345" s="23"/>
      <x:c r="J1345" s="23"/>
      <x:c r="K1345" s="23"/>
      <x:c r="L1345" s="24"/>
      <x:c r="M1345" s="23"/>
      <x:c r="N1345" s="23"/>
    </x:row>
    <x:row r="1346" ht="70" customHeight="1">
      <x:c r="A1346" s="9" t="str">
        <x:v>QA-NHD-220</x:v>
      </x:c>
      <x:c r="B1346" s="9" t="str">
        <x:v>NHD</x:v>
      </x:c>
      <x:c r="C1346" s="9" t="str">
        <x:v>ND 03 Fletes y gastos / USD / terceros / R3 Zona libre de Paraguaná / sin cobro propio</x:v>
      </x:c>
      <x:c r="D1346" s="9" t="str">
        <x:v>P0</x:v>
      </x:c>
      <x:c r="E1346" s="9" t="str">
        <x:v>Positiva</x:v>
      </x:c>
      <x:c r="F1346" s="9" t="str">
        <x:v>Navegador + HTTP + persistencia; Real DEMO y doble identificados por separado</x:v>
      </x:c>
      <x:c r="G1346" s="23" t="str">
        <x:v>Pendiente</x:v>
      </x:c>
      <x:c r="H1346" s="23"/>
      <x:c r="I1346" s="23"/>
      <x:c r="J1346" s="23"/>
      <x:c r="K1346" s="23"/>
      <x:c r="L1346" s="24"/>
      <x:c r="M1346" s="23"/>
      <x:c r="N1346" s="23"/>
    </x:row>
    <x:row r="1347" ht="70" customHeight="1">
      <x:c r="A1347" s="9" t="str">
        <x:v>QA-NHD-221</x:v>
      </x:c>
      <x:c r="B1347" s="9" t="str">
        <x:v>NHD</x:v>
      </x:c>
      <x:c r="C1347" s="9" t="str">
        <x:v>ND 03 Fletes y gastos / USD / terceros / R4 Puerto libre Santa Elena de Uairén / sin cobro propio</x:v>
      </x:c>
      <x:c r="D1347" s="9" t="str">
        <x:v>P0</x:v>
      </x:c>
      <x:c r="E1347" s="9" t="str">
        <x:v>Positiva</x:v>
      </x:c>
      <x:c r="F1347" s="9" t="str">
        <x:v>Navegador + HTTP + persistencia; Real DEMO y doble identificados por separado</x:v>
      </x:c>
      <x:c r="G1347" s="23" t="str">
        <x:v>Pendiente</x:v>
      </x:c>
      <x:c r="H1347" s="23"/>
      <x:c r="I1347" s="23"/>
      <x:c r="J1347" s="23"/>
      <x:c r="K1347" s="23"/>
      <x:c r="L1347" s="24"/>
      <x:c r="M1347" s="23"/>
      <x:c r="N1347" s="23"/>
    </x:row>
    <x:row r="1348" ht="70" customHeight="1">
      <x:c r="A1348" s="9" t="str">
        <x:v>QA-NHD-222</x:v>
      </x:c>
      <x:c r="B1348" s="9" t="str">
        <x:v>NHD</x:v>
      </x:c>
      <x:c r="C1348" s="9" t="str">
        <x:v>ND 03 Fletes y gastos / USD / terceros / R5 Zona Libre de Mérida / sin cobro propio</x:v>
      </x:c>
      <x:c r="D1348" s="9" t="str">
        <x:v>P0</x:v>
      </x:c>
      <x:c r="E1348" s="9" t="str">
        <x:v>Positiva</x:v>
      </x:c>
      <x:c r="F1348" s="9" t="str">
        <x:v>Navegador + HTTP + persistencia; Real DEMO y doble identificados por separado</x:v>
      </x:c>
      <x:c r="G1348" s="23" t="str">
        <x:v>Pendiente</x:v>
      </x:c>
      <x:c r="H1348" s="23"/>
      <x:c r="I1348" s="23"/>
      <x:c r="J1348" s="23"/>
      <x:c r="K1348" s="23"/>
      <x:c r="L1348" s="24"/>
      <x:c r="M1348" s="23"/>
      <x:c r="N1348" s="23"/>
    </x:row>
    <x:row r="1349" ht="70" customHeight="1">
      <x:c r="A1349" s="9" t="str">
        <x:v>QA-NHD-223</x:v>
      </x:c>
      <x:c r="B1349" s="9" t="str">
        <x:v>NHD</x:v>
      </x:c>
      <x:c r="C1349" s="9" t="str">
        <x:v>ND 03 Fletes y gastos / USD / terceros / R6 Puerto libre Estado Nueva Esparta / sin cobro propio</x:v>
      </x:c>
      <x:c r="D1349" s="9" t="str">
        <x:v>P0</x:v>
      </x:c>
      <x:c r="E1349" s="9" t="str">
        <x:v>Positiva</x:v>
      </x:c>
      <x:c r="F1349" s="9" t="str">
        <x:v>Navegador + HTTP + persistencia; Real DEMO y doble identificados por separado</x:v>
      </x:c>
      <x:c r="G1349" s="23" t="str">
        <x:v>Pendiente</x:v>
      </x:c>
      <x:c r="H1349" s="23"/>
      <x:c r="I1349" s="23"/>
      <x:c r="J1349" s="23"/>
      <x:c r="K1349" s="23"/>
      <x:c r="L1349" s="24"/>
      <x:c r="M1349" s="23"/>
      <x:c r="N1349" s="23"/>
    </x:row>
    <x:row r="1350" ht="70" customHeight="1">
      <x:c r="A1350" s="9" t="str">
        <x:v>QA-NHD-224</x:v>
      </x:c>
      <x:c r="B1350" s="9" t="str">
        <x:v>NHD</x:v>
      </x:c>
      <x:c r="C1350" s="9" t="str">
        <x:v>ND 03 Fletes y gastos / USD / terceros / R7 Dutty Free / sin cobro propio</x:v>
      </x:c>
      <x:c r="D1350" s="9" t="str">
        <x:v>P0</x:v>
      </x:c>
      <x:c r="E1350" s="9" t="str">
        <x:v>Positiva</x:v>
      </x:c>
      <x:c r="F1350" s="9" t="str">
        <x:v>Navegador + HTTP + persistencia; Real DEMO y doble identificados por separado</x:v>
      </x:c>
      <x:c r="G1350" s="23" t="str">
        <x:v>Pendiente</x:v>
      </x:c>
      <x:c r="H1350" s="23"/>
      <x:c r="I1350" s="23"/>
      <x:c r="J1350" s="23"/>
      <x:c r="K1350" s="23"/>
      <x:c r="L1350" s="24"/>
      <x:c r="M1350" s="23"/>
      <x:c r="N1350" s="23"/>
    </x:row>
    <x:row r="1351" ht="70" customHeight="1">
      <x:c r="A1351" s="9" t="str">
        <x:v>QA-NHD-225</x:v>
      </x:c>
      <x:c r="B1351" s="9" t="str">
        <x:v>NHD</x:v>
      </x:c>
      <x:c r="C1351" s="9" t="str">
        <x:v>ND 02 Incremento de precios / VES / propia / R0 Sin régimen / contado</x:v>
      </x:c>
      <x:c r="D1351" s="9" t="str">
        <x:v>P0</x:v>
      </x:c>
      <x:c r="E1351" s="9" t="str">
        <x:v>Positiva</x:v>
      </x:c>
      <x:c r="F1351" s="9" t="str">
        <x:v>Navegador + HTTP + persistencia; Real DEMO y doble identificados por separado</x:v>
      </x:c>
      <x:c r="G1351" s="23" t="str">
        <x:v>Pendiente</x:v>
      </x:c>
      <x:c r="H1351" s="23"/>
      <x:c r="I1351" s="23"/>
      <x:c r="J1351" s="23"/>
      <x:c r="K1351" s="23"/>
      <x:c r="L1351" s="24"/>
      <x:c r="M1351" s="23"/>
      <x:c r="N1351" s="23"/>
    </x:row>
    <x:row r="1352" ht="70" customHeight="1">
      <x:c r="A1352" s="9" t="str">
        <x:v>QA-NHD-226</x:v>
      </x:c>
      <x:c r="B1352" s="9" t="str">
        <x:v>NHD</x:v>
      </x:c>
      <x:c r="C1352" s="9" t="str">
        <x:v>ND 02 Incremento de precios / VES / propia / R1 Zonas económicas especiales / contado</x:v>
      </x:c>
      <x:c r="D1352" s="9" t="str">
        <x:v>P0</x:v>
      </x:c>
      <x:c r="E1352" s="9" t="str">
        <x:v>Positiva</x:v>
      </x:c>
      <x:c r="F1352" s="9" t="str">
        <x:v>Navegador + HTTP + persistencia; Real DEMO y doble identificados por separado</x:v>
      </x:c>
      <x:c r="G1352" s="23" t="str">
        <x:v>Pendiente</x:v>
      </x:c>
      <x:c r="H1352" s="23"/>
      <x:c r="I1352" s="23"/>
      <x:c r="J1352" s="23"/>
      <x:c r="K1352" s="23"/>
      <x:c r="L1352" s="24"/>
      <x:c r="M1352" s="23"/>
      <x:c r="N1352" s="23"/>
    </x:row>
    <x:row r="1353" ht="70" customHeight="1">
      <x:c r="A1353" s="9" t="str">
        <x:v>QA-NHD-227</x:v>
      </x:c>
      <x:c r="B1353" s="9" t="str">
        <x:v>NHD</x:v>
      </x:c>
      <x:c r="C1353" s="9" t="str">
        <x:v>ND 02 Incremento de precios / VES / propia / R2 Zona franca de Paraguaná / contado</x:v>
      </x:c>
      <x:c r="D1353" s="9" t="str">
        <x:v>P0</x:v>
      </x:c>
      <x:c r="E1353" s="9" t="str">
        <x:v>Positiva</x:v>
      </x:c>
      <x:c r="F1353" s="9" t="str">
        <x:v>Navegador + HTTP + persistencia; Real DEMO y doble identificados por separado</x:v>
      </x:c>
      <x:c r="G1353" s="23" t="str">
        <x:v>Pendiente</x:v>
      </x:c>
      <x:c r="H1353" s="23"/>
      <x:c r="I1353" s="23"/>
      <x:c r="J1353" s="23"/>
      <x:c r="K1353" s="23"/>
      <x:c r="L1353" s="24"/>
      <x:c r="M1353" s="23"/>
      <x:c r="N1353" s="23"/>
    </x:row>
    <x:row r="1354" ht="70" customHeight="1">
      <x:c r="A1354" s="9" t="str">
        <x:v>QA-NHD-228</x:v>
      </x:c>
      <x:c r="B1354" s="9" t="str">
        <x:v>NHD</x:v>
      </x:c>
      <x:c r="C1354" s="9" t="str">
        <x:v>ND 02 Incremento de precios / VES / propia / R3 Zona libre de Paraguaná / contado</x:v>
      </x:c>
      <x:c r="D1354" s="9" t="str">
        <x:v>P0</x:v>
      </x:c>
      <x:c r="E1354" s="9" t="str">
        <x:v>Positiva</x:v>
      </x:c>
      <x:c r="F1354" s="9" t="str">
        <x:v>Navegador + HTTP + persistencia; Real DEMO y doble identificados por separado</x:v>
      </x:c>
      <x:c r="G1354" s="23" t="str">
        <x:v>Pendiente</x:v>
      </x:c>
      <x:c r="H1354" s="23"/>
      <x:c r="I1354" s="23"/>
      <x:c r="J1354" s="23"/>
      <x:c r="K1354" s="23"/>
      <x:c r="L1354" s="24"/>
      <x:c r="M1354" s="23"/>
      <x:c r="N1354" s="23"/>
    </x:row>
    <x:row r="1355" ht="70" customHeight="1">
      <x:c r="A1355" s="9" t="str">
        <x:v>QA-NHD-229</x:v>
      </x:c>
      <x:c r="B1355" s="9" t="str">
        <x:v>NHD</x:v>
      </x:c>
      <x:c r="C1355" s="9" t="str">
        <x:v>ND 02 Incremento de precios / VES / propia / R4 Puerto libre Santa Elena de Uairén / contado</x:v>
      </x:c>
      <x:c r="D1355" s="9" t="str">
        <x:v>P0</x:v>
      </x:c>
      <x:c r="E1355" s="9" t="str">
        <x:v>Positiva</x:v>
      </x:c>
      <x:c r="F1355" s="9" t="str">
        <x:v>Navegador + HTTP + persistencia; Real DEMO y doble identificados por separado</x:v>
      </x:c>
      <x:c r="G1355" s="23" t="str">
        <x:v>Pendiente</x:v>
      </x:c>
      <x:c r="H1355" s="23"/>
      <x:c r="I1355" s="23"/>
      <x:c r="J1355" s="23"/>
      <x:c r="K1355" s="23"/>
      <x:c r="L1355" s="24"/>
      <x:c r="M1355" s="23"/>
      <x:c r="N1355" s="23"/>
    </x:row>
    <x:row r="1356" ht="70" customHeight="1">
      <x:c r="A1356" s="9" t="str">
        <x:v>QA-NHD-230</x:v>
      </x:c>
      <x:c r="B1356" s="9" t="str">
        <x:v>NHD</x:v>
      </x:c>
      <x:c r="C1356" s="9" t="str">
        <x:v>ND 02 Incremento de precios / VES / propia / R5 Zona Libre de Mérida / contado</x:v>
      </x:c>
      <x:c r="D1356" s="9" t="str">
        <x:v>P0</x:v>
      </x:c>
      <x:c r="E1356" s="9" t="str">
        <x:v>Positiva</x:v>
      </x:c>
      <x:c r="F1356" s="9" t="str">
        <x:v>Navegador + HTTP + persistencia; Real DEMO y doble identificados por separado</x:v>
      </x:c>
      <x:c r="G1356" s="23" t="str">
        <x:v>Pendiente</x:v>
      </x:c>
      <x:c r="H1356" s="23"/>
      <x:c r="I1356" s="23"/>
      <x:c r="J1356" s="23"/>
      <x:c r="K1356" s="23"/>
      <x:c r="L1356" s="24"/>
      <x:c r="M1356" s="23"/>
      <x:c r="N1356" s="23"/>
    </x:row>
    <x:row r="1357" ht="70" customHeight="1">
      <x:c r="A1357" s="9" t="str">
        <x:v>QA-NHD-231</x:v>
      </x:c>
      <x:c r="B1357" s="9" t="str">
        <x:v>NHD</x:v>
      </x:c>
      <x:c r="C1357" s="9" t="str">
        <x:v>ND 02 Incremento de precios / VES / propia / R6 Puerto libre Estado Nueva Esparta / contado</x:v>
      </x:c>
      <x:c r="D1357" s="9" t="str">
        <x:v>P0</x:v>
      </x:c>
      <x:c r="E1357" s="9" t="str">
        <x:v>Positiva</x:v>
      </x:c>
      <x:c r="F1357" s="9" t="str">
        <x:v>Navegador + HTTP + persistencia; Real DEMO y doble identificados por separado</x:v>
      </x:c>
      <x:c r="G1357" s="23" t="str">
        <x:v>Pendiente</x:v>
      </x:c>
      <x:c r="H1357" s="23"/>
      <x:c r="I1357" s="23"/>
      <x:c r="J1357" s="23"/>
      <x:c r="K1357" s="23"/>
      <x:c r="L1357" s="24"/>
      <x:c r="M1357" s="23"/>
      <x:c r="N1357" s="23"/>
    </x:row>
    <x:row r="1358" ht="70" customHeight="1">
      <x:c r="A1358" s="9" t="str">
        <x:v>QA-NHD-232</x:v>
      </x:c>
      <x:c r="B1358" s="9" t="str">
        <x:v>NHD</x:v>
      </x:c>
      <x:c r="C1358" s="9" t="str">
        <x:v>ND 02 Incremento de precios / VES / propia / R7 Dutty Free / contado</x:v>
      </x:c>
      <x:c r="D1358" s="9" t="str">
        <x:v>P0</x:v>
      </x:c>
      <x:c r="E1358" s="9" t="str">
        <x:v>Positiva</x:v>
      </x:c>
      <x:c r="F1358" s="9" t="str">
        <x:v>Navegador + HTTP + persistencia; Real DEMO y doble identificados por separado</x:v>
      </x:c>
      <x:c r="G1358" s="23" t="str">
        <x:v>Pendiente</x:v>
      </x:c>
      <x:c r="H1358" s="23"/>
      <x:c r="I1358" s="23"/>
      <x:c r="J1358" s="23"/>
      <x:c r="K1358" s="23"/>
      <x:c r="L1358" s="24"/>
      <x:c r="M1358" s="23"/>
      <x:c r="N1358" s="23"/>
    </x:row>
    <x:row r="1359" ht="70" customHeight="1">
      <x:c r="A1359" s="9" t="str">
        <x:v>QA-NHD-233</x:v>
      </x:c>
      <x:c r="B1359" s="9" t="str">
        <x:v>NHD</x:v>
      </x:c>
      <x:c r="C1359" s="9" t="str">
        <x:v>ND 02 Incremento de precios / VES / terceros / R0 Sin régimen / contado</x:v>
      </x:c>
      <x:c r="D1359" s="9" t="str">
        <x:v>P0</x:v>
      </x:c>
      <x:c r="E1359" s="9" t="str">
        <x:v>Positiva</x:v>
      </x:c>
      <x:c r="F1359" s="9" t="str">
        <x:v>Navegador + HTTP + persistencia; Real DEMO y doble identificados por separado</x:v>
      </x:c>
      <x:c r="G1359" s="23" t="str">
        <x:v>Pendiente</x:v>
      </x:c>
      <x:c r="H1359" s="23"/>
      <x:c r="I1359" s="23"/>
      <x:c r="J1359" s="23"/>
      <x:c r="K1359" s="23"/>
      <x:c r="L1359" s="24"/>
      <x:c r="M1359" s="23"/>
      <x:c r="N1359" s="23"/>
    </x:row>
    <x:row r="1360" ht="70" customHeight="1">
      <x:c r="A1360" s="9" t="str">
        <x:v>QA-NHD-234</x:v>
      </x:c>
      <x:c r="B1360" s="9" t="str">
        <x:v>NHD</x:v>
      </x:c>
      <x:c r="C1360" s="9" t="str">
        <x:v>ND 02 Incremento de precios / VES / terceros / R1 Zonas económicas especiales / contado</x:v>
      </x:c>
      <x:c r="D1360" s="9" t="str">
        <x:v>P0</x:v>
      </x:c>
      <x:c r="E1360" s="9" t="str">
        <x:v>Positiva</x:v>
      </x:c>
      <x:c r="F1360" s="9" t="str">
        <x:v>Navegador + HTTP + persistencia; Real DEMO y doble identificados por separado</x:v>
      </x:c>
      <x:c r="G1360" s="23" t="str">
        <x:v>Pendiente</x:v>
      </x:c>
      <x:c r="H1360" s="23"/>
      <x:c r="I1360" s="23"/>
      <x:c r="J1360" s="23"/>
      <x:c r="K1360" s="23"/>
      <x:c r="L1360" s="24"/>
      <x:c r="M1360" s="23"/>
      <x:c r="N1360" s="23"/>
    </x:row>
    <x:row r="1361" ht="70" customHeight="1">
      <x:c r="A1361" s="9" t="str">
        <x:v>QA-NHD-235</x:v>
      </x:c>
      <x:c r="B1361" s="9" t="str">
        <x:v>NHD</x:v>
      </x:c>
      <x:c r="C1361" s="9" t="str">
        <x:v>ND 02 Incremento de precios / VES / terceros / R2 Zona franca de Paraguaná / contado</x:v>
      </x:c>
      <x:c r="D1361" s="9" t="str">
        <x:v>P0</x:v>
      </x:c>
      <x:c r="E1361" s="9" t="str">
        <x:v>Positiva</x:v>
      </x:c>
      <x:c r="F1361" s="9" t="str">
        <x:v>Navegador + HTTP + persistencia; Real DEMO y doble identificados por separado</x:v>
      </x:c>
      <x:c r="G1361" s="23" t="str">
        <x:v>Pendiente</x:v>
      </x:c>
      <x:c r="H1361" s="23"/>
      <x:c r="I1361" s="23"/>
      <x:c r="J1361" s="23"/>
      <x:c r="K1361" s="23"/>
      <x:c r="L1361" s="24"/>
      <x:c r="M1361" s="23"/>
      <x:c r="N1361" s="23"/>
    </x:row>
    <x:row r="1362" ht="70" customHeight="1">
      <x:c r="A1362" s="9" t="str">
        <x:v>QA-NHD-236</x:v>
      </x:c>
      <x:c r="B1362" s="9" t="str">
        <x:v>NHD</x:v>
      </x:c>
      <x:c r="C1362" s="9" t="str">
        <x:v>ND 02 Incremento de precios / VES / terceros / R3 Zona libre de Paraguaná / contado</x:v>
      </x:c>
      <x:c r="D1362" s="9" t="str">
        <x:v>P0</x:v>
      </x:c>
      <x:c r="E1362" s="9" t="str">
        <x:v>Positiva</x:v>
      </x:c>
      <x:c r="F1362" s="9" t="str">
        <x:v>Navegador + HTTP + persistencia; Real DEMO y doble identificados por separado</x:v>
      </x:c>
      <x:c r="G1362" s="23" t="str">
        <x:v>Pendiente</x:v>
      </x:c>
      <x:c r="H1362" s="23"/>
      <x:c r="I1362" s="23"/>
      <x:c r="J1362" s="23"/>
      <x:c r="K1362" s="23"/>
      <x:c r="L1362" s="24"/>
      <x:c r="M1362" s="23"/>
      <x:c r="N1362" s="23"/>
    </x:row>
    <x:row r="1363" ht="70" customHeight="1">
      <x:c r="A1363" s="9" t="str">
        <x:v>QA-NHD-237</x:v>
      </x:c>
      <x:c r="B1363" s="9" t="str">
        <x:v>NHD</x:v>
      </x:c>
      <x:c r="C1363" s="9" t="str">
        <x:v>ND 02 Incremento de precios / VES / terceros / R4 Puerto libre Santa Elena de Uairén / contado</x:v>
      </x:c>
      <x:c r="D1363" s="9" t="str">
        <x:v>P0</x:v>
      </x:c>
      <x:c r="E1363" s="9" t="str">
        <x:v>Positiva</x:v>
      </x:c>
      <x:c r="F1363" s="9" t="str">
        <x:v>Navegador + HTTP + persistencia; Real DEMO y doble identificados por separado</x:v>
      </x:c>
      <x:c r="G1363" s="23" t="str">
        <x:v>Pendiente</x:v>
      </x:c>
      <x:c r="H1363" s="23"/>
      <x:c r="I1363" s="23"/>
      <x:c r="J1363" s="23"/>
      <x:c r="K1363" s="23"/>
      <x:c r="L1363" s="24"/>
      <x:c r="M1363" s="23"/>
      <x:c r="N1363" s="23"/>
    </x:row>
    <x:row r="1364" ht="70" customHeight="1">
      <x:c r="A1364" s="9" t="str">
        <x:v>QA-NHD-238</x:v>
      </x:c>
      <x:c r="B1364" s="9" t="str">
        <x:v>NHD</x:v>
      </x:c>
      <x:c r="C1364" s="9" t="str">
        <x:v>ND 02 Incremento de precios / VES / terceros / R5 Zona Libre de Mérida / contado</x:v>
      </x:c>
      <x:c r="D1364" s="9" t="str">
        <x:v>P0</x:v>
      </x:c>
      <x:c r="E1364" s="9" t="str">
        <x:v>Positiva</x:v>
      </x:c>
      <x:c r="F1364" s="9" t="str">
        <x:v>Navegador + HTTP + persistencia; Real DEMO y doble identificados por separado</x:v>
      </x:c>
      <x:c r="G1364" s="23" t="str">
        <x:v>Pendiente</x:v>
      </x:c>
      <x:c r="H1364" s="23"/>
      <x:c r="I1364" s="23"/>
      <x:c r="J1364" s="23"/>
      <x:c r="K1364" s="23"/>
      <x:c r="L1364" s="24"/>
      <x:c r="M1364" s="23"/>
      <x:c r="N1364" s="23"/>
    </x:row>
    <x:row r="1365" ht="70" customHeight="1">
      <x:c r="A1365" s="9" t="str">
        <x:v>QA-NHD-239</x:v>
      </x:c>
      <x:c r="B1365" s="9" t="str">
        <x:v>NHD</x:v>
      </x:c>
      <x:c r="C1365" s="9" t="str">
        <x:v>ND 02 Incremento de precios / VES / terceros / R6 Puerto libre Estado Nueva Esparta / contado</x:v>
      </x:c>
      <x:c r="D1365" s="9" t="str">
        <x:v>P0</x:v>
      </x:c>
      <x:c r="E1365" s="9" t="str">
        <x:v>Positiva</x:v>
      </x:c>
      <x:c r="F1365" s="9" t="str">
        <x:v>Navegador + HTTP + persistencia; Real DEMO y doble identificados por separado</x:v>
      </x:c>
      <x:c r="G1365" s="23" t="str">
        <x:v>Pendiente</x:v>
      </x:c>
      <x:c r="H1365" s="23"/>
      <x:c r="I1365" s="23"/>
      <x:c r="J1365" s="23"/>
      <x:c r="K1365" s="23"/>
      <x:c r="L1365" s="24"/>
      <x:c r="M1365" s="23"/>
      <x:c r="N1365" s="23"/>
    </x:row>
    <x:row r="1366" ht="70" customHeight="1">
      <x:c r="A1366" s="9" t="str">
        <x:v>QA-NHD-240</x:v>
      </x:c>
      <x:c r="B1366" s="9" t="str">
        <x:v>NHD</x:v>
      </x:c>
      <x:c r="C1366" s="9" t="str">
        <x:v>ND 02 Incremento de precios / VES / terceros / R7 Dutty Free / contado</x:v>
      </x:c>
      <x:c r="D1366" s="9" t="str">
        <x:v>P0</x:v>
      </x:c>
      <x:c r="E1366" s="9" t="str">
        <x:v>Positiva</x:v>
      </x:c>
      <x:c r="F1366" s="9" t="str">
        <x:v>Navegador + HTTP + persistencia; Real DEMO y doble identificados por separado</x:v>
      </x:c>
      <x:c r="G1366" s="23" t="str">
        <x:v>Pendiente</x:v>
      </x:c>
      <x:c r="H1366" s="23"/>
      <x:c r="I1366" s="23"/>
      <x:c r="J1366" s="23"/>
      <x:c r="K1366" s="23"/>
      <x:c r="L1366" s="24"/>
      <x:c r="M1366" s="23"/>
      <x:c r="N1366" s="23"/>
    </x:row>
    <x:row r="1367" ht="70" customHeight="1">
      <x:c r="A1367" s="9" t="str">
        <x:v>QA-NHD-241</x:v>
      </x:c>
      <x:c r="B1367" s="9" t="str">
        <x:v>NHD</x:v>
      </x:c>
      <x:c r="C1367" s="9" t="str">
        <x:v>ND 02 Incremento de precios / USD / propia / R0 Sin régimen / contado</x:v>
      </x:c>
      <x:c r="D1367" s="9" t="str">
        <x:v>P0</x:v>
      </x:c>
      <x:c r="E1367" s="9" t="str">
        <x:v>Positiva</x:v>
      </x:c>
      <x:c r="F1367" s="9" t="str">
        <x:v>Navegador + HTTP + persistencia; Real DEMO y doble identificados por separado</x:v>
      </x:c>
      <x:c r="G1367" s="23" t="str">
        <x:v>Pendiente</x:v>
      </x:c>
      <x:c r="H1367" s="23"/>
      <x:c r="I1367" s="23"/>
      <x:c r="J1367" s="23"/>
      <x:c r="K1367" s="23"/>
      <x:c r="L1367" s="24"/>
      <x:c r="M1367" s="23"/>
      <x:c r="N1367" s="23"/>
    </x:row>
    <x:row r="1368" ht="70" customHeight="1">
      <x:c r="A1368" s="9" t="str">
        <x:v>QA-NHD-242</x:v>
      </x:c>
      <x:c r="B1368" s="9" t="str">
        <x:v>NHD</x:v>
      </x:c>
      <x:c r="C1368" s="9" t="str">
        <x:v>ND 02 Incremento de precios / USD / propia / R1 Zonas económicas especiales / contado</x:v>
      </x:c>
      <x:c r="D1368" s="9" t="str">
        <x:v>P0</x:v>
      </x:c>
      <x:c r="E1368" s="9" t="str">
        <x:v>Positiva</x:v>
      </x:c>
      <x:c r="F1368" s="9" t="str">
        <x:v>Navegador + HTTP + persistencia; Real DEMO y doble identificados por separado</x:v>
      </x:c>
      <x:c r="G1368" s="23" t="str">
        <x:v>Pendiente</x:v>
      </x:c>
      <x:c r="H1368" s="23"/>
      <x:c r="I1368" s="23"/>
      <x:c r="J1368" s="23"/>
      <x:c r="K1368" s="23"/>
      <x:c r="L1368" s="24"/>
      <x:c r="M1368" s="23"/>
      <x:c r="N1368" s="23"/>
    </x:row>
    <x:row r="1369" ht="70" customHeight="1">
      <x:c r="A1369" s="9" t="str">
        <x:v>QA-NHD-243</x:v>
      </x:c>
      <x:c r="B1369" s="9" t="str">
        <x:v>NHD</x:v>
      </x:c>
      <x:c r="C1369" s="9" t="str">
        <x:v>ND 02 Incremento de precios / USD / propia / R2 Zona franca de Paraguaná / contado</x:v>
      </x:c>
      <x:c r="D1369" s="9" t="str">
        <x:v>P0</x:v>
      </x:c>
      <x:c r="E1369" s="9" t="str">
        <x:v>Positiva</x:v>
      </x:c>
      <x:c r="F1369" s="9" t="str">
        <x:v>Navegador + HTTP + persistencia; Real DEMO y doble identificados por separado</x:v>
      </x:c>
      <x:c r="G1369" s="23" t="str">
        <x:v>Pendiente</x:v>
      </x:c>
      <x:c r="H1369" s="23"/>
      <x:c r="I1369" s="23"/>
      <x:c r="J1369" s="23"/>
      <x:c r="K1369" s="23"/>
      <x:c r="L1369" s="24"/>
      <x:c r="M1369" s="23"/>
      <x:c r="N1369" s="23"/>
    </x:row>
    <x:row r="1370" ht="70" customHeight="1">
      <x:c r="A1370" s="9" t="str">
        <x:v>QA-NHD-244</x:v>
      </x:c>
      <x:c r="B1370" s="9" t="str">
        <x:v>NHD</x:v>
      </x:c>
      <x:c r="C1370" s="9" t="str">
        <x:v>ND 02 Incremento de precios / USD / propia / R3 Zona libre de Paraguaná / contado</x:v>
      </x:c>
      <x:c r="D1370" s="9" t="str">
        <x:v>P0</x:v>
      </x:c>
      <x:c r="E1370" s="9" t="str">
        <x:v>Positiva</x:v>
      </x:c>
      <x:c r="F1370" s="9" t="str">
        <x:v>Navegador + HTTP + persistencia; Real DEMO y doble identificados por separado</x:v>
      </x:c>
      <x:c r="G1370" s="23" t="str">
        <x:v>Pendiente</x:v>
      </x:c>
      <x:c r="H1370" s="23"/>
      <x:c r="I1370" s="23"/>
      <x:c r="J1370" s="23"/>
      <x:c r="K1370" s="23"/>
      <x:c r="L1370" s="24"/>
      <x:c r="M1370" s="23"/>
      <x:c r="N1370" s="23"/>
    </x:row>
    <x:row r="1371" ht="70" customHeight="1">
      <x:c r="A1371" s="9" t="str">
        <x:v>QA-NHD-245</x:v>
      </x:c>
      <x:c r="B1371" s="9" t="str">
        <x:v>NHD</x:v>
      </x:c>
      <x:c r="C1371" s="9" t="str">
        <x:v>ND 02 Incremento de precios / USD / propia / R4 Puerto libre Santa Elena de Uairén / contado</x:v>
      </x:c>
      <x:c r="D1371" s="9" t="str">
        <x:v>P0</x:v>
      </x:c>
      <x:c r="E1371" s="9" t="str">
        <x:v>Positiva</x:v>
      </x:c>
      <x:c r="F1371" s="9" t="str">
        <x:v>Navegador + HTTP + persistencia; Real DEMO y doble identificados por separado</x:v>
      </x:c>
      <x:c r="G1371" s="23" t="str">
        <x:v>Pendiente</x:v>
      </x:c>
      <x:c r="H1371" s="23"/>
      <x:c r="I1371" s="23"/>
      <x:c r="J1371" s="23"/>
      <x:c r="K1371" s="23"/>
      <x:c r="L1371" s="24"/>
      <x:c r="M1371" s="23"/>
      <x:c r="N1371" s="23"/>
    </x:row>
    <x:row r="1372" ht="70" customHeight="1">
      <x:c r="A1372" s="9" t="str">
        <x:v>QA-NHD-246</x:v>
      </x:c>
      <x:c r="B1372" s="9" t="str">
        <x:v>NHD</x:v>
      </x:c>
      <x:c r="C1372" s="9" t="str">
        <x:v>ND 02 Incremento de precios / USD / propia / R5 Zona Libre de Mérida / contado</x:v>
      </x:c>
      <x:c r="D1372" s="9" t="str">
        <x:v>P0</x:v>
      </x:c>
      <x:c r="E1372" s="9" t="str">
        <x:v>Positiva</x:v>
      </x:c>
      <x:c r="F1372" s="9" t="str">
        <x:v>Navegador + HTTP + persistencia; Real DEMO y doble identificados por separado</x:v>
      </x:c>
      <x:c r="G1372" s="23" t="str">
        <x:v>Pendiente</x:v>
      </x:c>
      <x:c r="H1372" s="23"/>
      <x:c r="I1372" s="23"/>
      <x:c r="J1372" s="23"/>
      <x:c r="K1372" s="23"/>
      <x:c r="L1372" s="24"/>
      <x:c r="M1372" s="23"/>
      <x:c r="N1372" s="23"/>
    </x:row>
    <x:row r="1373" ht="70" customHeight="1">
      <x:c r="A1373" s="9" t="str">
        <x:v>QA-NHD-247</x:v>
      </x:c>
      <x:c r="B1373" s="9" t="str">
        <x:v>NHD</x:v>
      </x:c>
      <x:c r="C1373" s="9" t="str">
        <x:v>ND 02 Incremento de precios / USD / propia / R6 Puerto libre Estado Nueva Esparta / contado</x:v>
      </x:c>
      <x:c r="D1373" s="9" t="str">
        <x:v>P0</x:v>
      </x:c>
      <x:c r="E1373" s="9" t="str">
        <x:v>Positiva</x:v>
      </x:c>
      <x:c r="F1373" s="9" t="str">
        <x:v>Navegador + HTTP + persistencia; Real DEMO y doble identificados por separado</x:v>
      </x:c>
      <x:c r="G1373" s="23" t="str">
        <x:v>Pendiente</x:v>
      </x:c>
      <x:c r="H1373" s="23"/>
      <x:c r="I1373" s="23"/>
      <x:c r="J1373" s="23"/>
      <x:c r="K1373" s="23"/>
      <x:c r="L1373" s="24"/>
      <x:c r="M1373" s="23"/>
      <x:c r="N1373" s="23"/>
    </x:row>
    <x:row r="1374" ht="70" customHeight="1">
      <x:c r="A1374" s="9" t="str">
        <x:v>QA-NHD-248</x:v>
      </x:c>
      <x:c r="B1374" s="9" t="str">
        <x:v>NHD</x:v>
      </x:c>
      <x:c r="C1374" s="9" t="str">
        <x:v>ND 02 Incremento de precios / USD / propia / R7 Dutty Free / contado</x:v>
      </x:c>
      <x:c r="D1374" s="9" t="str">
        <x:v>P0</x:v>
      </x:c>
      <x:c r="E1374" s="9" t="str">
        <x:v>Positiva</x:v>
      </x:c>
      <x:c r="F1374" s="9" t="str">
        <x:v>Navegador + HTTP + persistencia; Real DEMO y doble identificados por separado</x:v>
      </x:c>
      <x:c r="G1374" s="23" t="str">
        <x:v>Pendiente</x:v>
      </x:c>
      <x:c r="H1374" s="23"/>
      <x:c r="I1374" s="23"/>
      <x:c r="J1374" s="23"/>
      <x:c r="K1374" s="23"/>
      <x:c r="L1374" s="24"/>
      <x:c r="M1374" s="23"/>
      <x:c r="N1374" s="23"/>
    </x:row>
    <x:row r="1375" ht="70" customHeight="1">
      <x:c r="A1375" s="9" t="str">
        <x:v>QA-NHD-249</x:v>
      </x:c>
      <x:c r="B1375" s="9" t="str">
        <x:v>NHD</x:v>
      </x:c>
      <x:c r="C1375" s="9" t="str">
        <x:v>ND 02 Incremento de precios / USD / terceros / R0 Sin régimen / contado</x:v>
      </x:c>
      <x:c r="D1375" s="9" t="str">
        <x:v>P0</x:v>
      </x:c>
      <x:c r="E1375" s="9" t="str">
        <x:v>Positiva</x:v>
      </x:c>
      <x:c r="F1375" s="9" t="str">
        <x:v>Navegador + HTTP + persistencia; Real DEMO y doble identificados por separado</x:v>
      </x:c>
      <x:c r="G1375" s="23" t="str">
        <x:v>Pendiente</x:v>
      </x:c>
      <x:c r="H1375" s="23"/>
      <x:c r="I1375" s="23"/>
      <x:c r="J1375" s="23"/>
      <x:c r="K1375" s="23"/>
      <x:c r="L1375" s="24"/>
      <x:c r="M1375" s="23"/>
      <x:c r="N1375" s="23"/>
    </x:row>
    <x:row r="1376" ht="70" customHeight="1">
      <x:c r="A1376" s="9" t="str">
        <x:v>QA-NHD-250</x:v>
      </x:c>
      <x:c r="B1376" s="9" t="str">
        <x:v>NHD</x:v>
      </x:c>
      <x:c r="C1376" s="9" t="str">
        <x:v>ND 02 Incremento de precios / USD / terceros / R1 Zonas económicas especiales / contado</x:v>
      </x:c>
      <x:c r="D1376" s="9" t="str">
        <x:v>P0</x:v>
      </x:c>
      <x:c r="E1376" s="9" t="str">
        <x:v>Positiva</x:v>
      </x:c>
      <x:c r="F1376" s="9" t="str">
        <x:v>Navegador + HTTP + persistencia; Real DEMO y doble identificados por separado</x:v>
      </x:c>
      <x:c r="G1376" s="23" t="str">
        <x:v>Pendiente</x:v>
      </x:c>
      <x:c r="H1376" s="23"/>
      <x:c r="I1376" s="23"/>
      <x:c r="J1376" s="23"/>
      <x:c r="K1376" s="23"/>
      <x:c r="L1376" s="24"/>
      <x:c r="M1376" s="23"/>
      <x:c r="N1376" s="23"/>
    </x:row>
    <x:row r="1377" ht="70" customHeight="1">
      <x:c r="A1377" s="9" t="str">
        <x:v>QA-NHD-251</x:v>
      </x:c>
      <x:c r="B1377" s="9" t="str">
        <x:v>NHD</x:v>
      </x:c>
      <x:c r="C1377" s="9" t="str">
        <x:v>ND 02 Incremento de precios / USD / terceros / R2 Zona franca de Paraguaná / contado</x:v>
      </x:c>
      <x:c r="D1377" s="9" t="str">
        <x:v>P0</x:v>
      </x:c>
      <x:c r="E1377" s="9" t="str">
        <x:v>Positiva</x:v>
      </x:c>
      <x:c r="F1377" s="9" t="str">
        <x:v>Navegador + HTTP + persistencia; Real DEMO y doble identificados por separado</x:v>
      </x:c>
      <x:c r="G1377" s="23" t="str">
        <x:v>Pendiente</x:v>
      </x:c>
      <x:c r="H1377" s="23"/>
      <x:c r="I1377" s="23"/>
      <x:c r="J1377" s="23"/>
      <x:c r="K1377" s="23"/>
      <x:c r="L1377" s="24"/>
      <x:c r="M1377" s="23"/>
      <x:c r="N1377" s="23"/>
    </x:row>
    <x:row r="1378" ht="70" customHeight="1">
      <x:c r="A1378" s="9" t="str">
        <x:v>QA-NHD-252</x:v>
      </x:c>
      <x:c r="B1378" s="9" t="str">
        <x:v>NHD</x:v>
      </x:c>
      <x:c r="C1378" s="9" t="str">
        <x:v>ND 02 Incremento de precios / USD / terceros / R3 Zona libre de Paraguaná / contado</x:v>
      </x:c>
      <x:c r="D1378" s="9" t="str">
        <x:v>P0</x:v>
      </x:c>
      <x:c r="E1378" s="9" t="str">
        <x:v>Positiva</x:v>
      </x:c>
      <x:c r="F1378" s="9" t="str">
        <x:v>Navegador + HTTP + persistencia; Real DEMO y doble identificados por separado</x:v>
      </x:c>
      <x:c r="G1378" s="23" t="str">
        <x:v>Pendiente</x:v>
      </x:c>
      <x:c r="H1378" s="23"/>
      <x:c r="I1378" s="23"/>
      <x:c r="J1378" s="23"/>
      <x:c r="K1378" s="23"/>
      <x:c r="L1378" s="24"/>
      <x:c r="M1378" s="23"/>
      <x:c r="N1378" s="23"/>
    </x:row>
    <x:row r="1379" ht="70" customHeight="1">
      <x:c r="A1379" s="9" t="str">
        <x:v>QA-NHD-253</x:v>
      </x:c>
      <x:c r="B1379" s="9" t="str">
        <x:v>NHD</x:v>
      </x:c>
      <x:c r="C1379" s="9" t="str">
        <x:v>ND 02 Incremento de precios / USD / terceros / R4 Puerto libre Santa Elena de Uairén / contado</x:v>
      </x:c>
      <x:c r="D1379" s="9" t="str">
        <x:v>P0</x:v>
      </x:c>
      <x:c r="E1379" s="9" t="str">
        <x:v>Positiva</x:v>
      </x:c>
      <x:c r="F1379" s="9" t="str">
        <x:v>Navegador + HTTP + persistencia; Real DEMO y doble identificados por separado</x:v>
      </x:c>
      <x:c r="G1379" s="23" t="str">
        <x:v>Pendiente</x:v>
      </x:c>
      <x:c r="H1379" s="23"/>
      <x:c r="I1379" s="23"/>
      <x:c r="J1379" s="23"/>
      <x:c r="K1379" s="23"/>
      <x:c r="L1379" s="24"/>
      <x:c r="M1379" s="23"/>
      <x:c r="N1379" s="23"/>
    </x:row>
    <x:row r="1380" ht="70" customHeight="1">
      <x:c r="A1380" s="9" t="str">
        <x:v>QA-NHD-254</x:v>
      </x:c>
      <x:c r="B1380" s="9" t="str">
        <x:v>NHD</x:v>
      </x:c>
      <x:c r="C1380" s="9" t="str">
        <x:v>ND 02 Incremento de precios / USD / terceros / R5 Zona Libre de Mérida / contado</x:v>
      </x:c>
      <x:c r="D1380" s="9" t="str">
        <x:v>P0</x:v>
      </x:c>
      <x:c r="E1380" s="9" t="str">
        <x:v>Positiva</x:v>
      </x:c>
      <x:c r="F1380" s="9" t="str">
        <x:v>Navegador + HTTP + persistencia; Real DEMO y doble identificados por separado</x:v>
      </x:c>
      <x:c r="G1380" s="23" t="str">
        <x:v>Pendiente</x:v>
      </x:c>
      <x:c r="H1380" s="23"/>
      <x:c r="I1380" s="23"/>
      <x:c r="J1380" s="23"/>
      <x:c r="K1380" s="23"/>
      <x:c r="L1380" s="24"/>
      <x:c r="M1380" s="23"/>
      <x:c r="N1380" s="23"/>
    </x:row>
    <x:row r="1381" ht="70" customHeight="1">
      <x:c r="A1381" s="9" t="str">
        <x:v>QA-NHD-255</x:v>
      </x:c>
      <x:c r="B1381" s="9" t="str">
        <x:v>NHD</x:v>
      </x:c>
      <x:c r="C1381" s="9" t="str">
        <x:v>ND 02 Incremento de precios / USD / terceros / R6 Puerto libre Estado Nueva Esparta / contado</x:v>
      </x:c>
      <x:c r="D1381" s="9" t="str">
        <x:v>P0</x:v>
      </x:c>
      <x:c r="E1381" s="9" t="str">
        <x:v>Positiva</x:v>
      </x:c>
      <x:c r="F1381" s="9" t="str">
        <x:v>Navegador + HTTP + persistencia; Real DEMO y doble identificados por separado</x:v>
      </x:c>
      <x:c r="G1381" s="23" t="str">
        <x:v>Pendiente</x:v>
      </x:c>
      <x:c r="H1381" s="23"/>
      <x:c r="I1381" s="23"/>
      <x:c r="J1381" s="23"/>
      <x:c r="K1381" s="23"/>
      <x:c r="L1381" s="24"/>
      <x:c r="M1381" s="23"/>
      <x:c r="N1381" s="23"/>
    </x:row>
    <x:row r="1382" ht="70" customHeight="1">
      <x:c r="A1382" s="9" t="str">
        <x:v>QA-NHD-256</x:v>
      </x:c>
      <x:c r="B1382" s="9" t="str">
        <x:v>NHD</x:v>
      </x:c>
      <x:c r="C1382" s="9" t="str">
        <x:v>ND 02 Incremento de precios / USD / terceros / R7 Dutty Free / contado</x:v>
      </x:c>
      <x:c r="D1382" s="9" t="str">
        <x:v>P0</x:v>
      </x:c>
      <x:c r="E1382" s="9" t="str">
        <x:v>Positiva</x:v>
      </x:c>
      <x:c r="F1382" s="9" t="str">
        <x:v>Navegador + HTTP + persistencia; Real DEMO y doble identificados por separado</x:v>
      </x:c>
      <x:c r="G1382" s="23" t="str">
        <x:v>Pendiente</x:v>
      </x:c>
      <x:c r="H1382" s="23"/>
      <x:c r="I1382" s="23"/>
      <x:c r="J1382" s="23"/>
      <x:c r="K1382" s="23"/>
      <x:c r="L1382" s="24"/>
      <x:c r="M1382" s="23"/>
      <x:c r="N1382" s="23"/>
    </x:row>
    <x:row r="1383" ht="70" customHeight="1">
      <x:c r="A1383" s="9" t="str">
        <x:v>QA-NHD-257</x:v>
      </x:c>
      <x:c r="B1383" s="9" t="str">
        <x:v>NHD</x:v>
      </x:c>
      <x:c r="C1383" s="9" t="str">
        <x:v>ND 01 Intereses / VES / propia / R0 Sin régimen / contado</x:v>
      </x:c>
      <x:c r="D1383" s="9" t="str">
        <x:v>P0</x:v>
      </x:c>
      <x:c r="E1383" s="9" t="str">
        <x:v>Positiva</x:v>
      </x:c>
      <x:c r="F1383" s="9" t="str">
        <x:v>Navegador + HTTP + persistencia; Real DEMO y doble identificados por separado</x:v>
      </x:c>
      <x:c r="G1383" s="23" t="str">
        <x:v>Pendiente</x:v>
      </x:c>
      <x:c r="H1383" s="23"/>
      <x:c r="I1383" s="23"/>
      <x:c r="J1383" s="23"/>
      <x:c r="K1383" s="23"/>
      <x:c r="L1383" s="24"/>
      <x:c r="M1383" s="23"/>
      <x:c r="N1383" s="23"/>
    </x:row>
    <x:row r="1384" ht="70" customHeight="1">
      <x:c r="A1384" s="9" t="str">
        <x:v>QA-NHD-258</x:v>
      </x:c>
      <x:c r="B1384" s="9" t="str">
        <x:v>NHD</x:v>
      </x:c>
      <x:c r="C1384" s="9" t="str">
        <x:v>ND 01 Intereses / VES / propia / R1 Zonas económicas especiales / contado</x:v>
      </x:c>
      <x:c r="D1384" s="9" t="str">
        <x:v>P0</x:v>
      </x:c>
      <x:c r="E1384" s="9" t="str">
        <x:v>Positiva</x:v>
      </x:c>
      <x:c r="F1384" s="9" t="str">
        <x:v>Navegador + HTTP + persistencia; Real DEMO y doble identificados por separado</x:v>
      </x:c>
      <x:c r="G1384" s="23" t="str">
        <x:v>Pendiente</x:v>
      </x:c>
      <x:c r="H1384" s="23"/>
      <x:c r="I1384" s="23"/>
      <x:c r="J1384" s="23"/>
      <x:c r="K1384" s="23"/>
      <x:c r="L1384" s="24"/>
      <x:c r="M1384" s="23"/>
      <x:c r="N1384" s="23"/>
    </x:row>
    <x:row r="1385" ht="70" customHeight="1">
      <x:c r="A1385" s="9" t="str">
        <x:v>QA-NHD-259</x:v>
      </x:c>
      <x:c r="B1385" s="9" t="str">
        <x:v>NHD</x:v>
      </x:c>
      <x:c r="C1385" s="9" t="str">
        <x:v>ND 01 Intereses / VES / propia / R2 Zona franca de Paraguaná / contado</x:v>
      </x:c>
      <x:c r="D1385" s="9" t="str">
        <x:v>P0</x:v>
      </x:c>
      <x:c r="E1385" s="9" t="str">
        <x:v>Positiva</x:v>
      </x:c>
      <x:c r="F1385" s="9" t="str">
        <x:v>Navegador + HTTP + persistencia; Real DEMO y doble identificados por separado</x:v>
      </x:c>
      <x:c r="G1385" s="23" t="str">
        <x:v>Pendiente</x:v>
      </x:c>
      <x:c r="H1385" s="23"/>
      <x:c r="I1385" s="23"/>
      <x:c r="J1385" s="23"/>
      <x:c r="K1385" s="23"/>
      <x:c r="L1385" s="24"/>
      <x:c r="M1385" s="23"/>
      <x:c r="N1385" s="23"/>
    </x:row>
    <x:row r="1386" ht="70" customHeight="1">
      <x:c r="A1386" s="9" t="str">
        <x:v>QA-NHD-260</x:v>
      </x:c>
      <x:c r="B1386" s="9" t="str">
        <x:v>NHD</x:v>
      </x:c>
      <x:c r="C1386" s="9" t="str">
        <x:v>ND 01 Intereses / VES / propia / R3 Zona libre de Paraguaná / contado</x:v>
      </x:c>
      <x:c r="D1386" s="9" t="str">
        <x:v>P0</x:v>
      </x:c>
      <x:c r="E1386" s="9" t="str">
        <x:v>Positiva</x:v>
      </x:c>
      <x:c r="F1386" s="9" t="str">
        <x:v>Navegador + HTTP + persistencia; Real DEMO y doble identificados por separado</x:v>
      </x:c>
      <x:c r="G1386" s="23" t="str">
        <x:v>Pendiente</x:v>
      </x:c>
      <x:c r="H1386" s="23"/>
      <x:c r="I1386" s="23"/>
      <x:c r="J1386" s="23"/>
      <x:c r="K1386" s="23"/>
      <x:c r="L1386" s="24"/>
      <x:c r="M1386" s="23"/>
      <x:c r="N1386" s="23"/>
    </x:row>
    <x:row r="1387" ht="70" customHeight="1">
      <x:c r="A1387" s="9" t="str">
        <x:v>QA-NHD-261</x:v>
      </x:c>
      <x:c r="B1387" s="9" t="str">
        <x:v>NHD</x:v>
      </x:c>
      <x:c r="C1387" s="9" t="str">
        <x:v>ND 01 Intereses / VES / propia / R4 Puerto libre Santa Elena de Uairén / contado</x:v>
      </x:c>
      <x:c r="D1387" s="9" t="str">
        <x:v>P0</x:v>
      </x:c>
      <x:c r="E1387" s="9" t="str">
        <x:v>Positiva</x:v>
      </x:c>
      <x:c r="F1387" s="9" t="str">
        <x:v>Navegador + HTTP + persistencia; Real DEMO y doble identificados por separado</x:v>
      </x:c>
      <x:c r="G1387" s="23" t="str">
        <x:v>Pendiente</x:v>
      </x:c>
      <x:c r="H1387" s="23"/>
      <x:c r="I1387" s="23"/>
      <x:c r="J1387" s="23"/>
      <x:c r="K1387" s="23"/>
      <x:c r="L1387" s="24"/>
      <x:c r="M1387" s="23"/>
      <x:c r="N1387" s="23"/>
    </x:row>
    <x:row r="1388" ht="70" customHeight="1">
      <x:c r="A1388" s="9" t="str">
        <x:v>QA-NHD-262</x:v>
      </x:c>
      <x:c r="B1388" s="9" t="str">
        <x:v>NHD</x:v>
      </x:c>
      <x:c r="C1388" s="9" t="str">
        <x:v>ND 01 Intereses / VES / propia / R5 Zona Libre de Mérida / contado</x:v>
      </x:c>
      <x:c r="D1388" s="9" t="str">
        <x:v>P0</x:v>
      </x:c>
      <x:c r="E1388" s="9" t="str">
        <x:v>Positiva</x:v>
      </x:c>
      <x:c r="F1388" s="9" t="str">
        <x:v>Navegador + HTTP + persistencia; Real DEMO y doble identificados por separado</x:v>
      </x:c>
      <x:c r="G1388" s="23" t="str">
        <x:v>Pendiente</x:v>
      </x:c>
      <x:c r="H1388" s="23"/>
      <x:c r="I1388" s="23"/>
      <x:c r="J1388" s="23"/>
      <x:c r="K1388" s="23"/>
      <x:c r="L1388" s="24"/>
      <x:c r="M1388" s="23"/>
      <x:c r="N1388" s="23"/>
    </x:row>
    <x:row r="1389" ht="70" customHeight="1">
      <x:c r="A1389" s="9" t="str">
        <x:v>QA-NHD-263</x:v>
      </x:c>
      <x:c r="B1389" s="9" t="str">
        <x:v>NHD</x:v>
      </x:c>
      <x:c r="C1389" s="9" t="str">
        <x:v>ND 01 Intereses / VES / propia / R6 Puerto libre Estado Nueva Esparta / contado</x:v>
      </x:c>
      <x:c r="D1389" s="9" t="str">
        <x:v>P0</x:v>
      </x:c>
      <x:c r="E1389" s="9" t="str">
        <x:v>Positiva</x:v>
      </x:c>
      <x:c r="F1389" s="9" t="str">
        <x:v>Navegador + HTTP + persistencia; Real DEMO y doble identificados por separado</x:v>
      </x:c>
      <x:c r="G1389" s="23" t="str">
        <x:v>Pendiente</x:v>
      </x:c>
      <x:c r="H1389" s="23"/>
      <x:c r="I1389" s="23"/>
      <x:c r="J1389" s="23"/>
      <x:c r="K1389" s="23"/>
      <x:c r="L1389" s="24"/>
      <x:c r="M1389" s="23"/>
      <x:c r="N1389" s="23"/>
    </x:row>
    <x:row r="1390" ht="70" customHeight="1">
      <x:c r="A1390" s="9" t="str">
        <x:v>QA-NHD-264</x:v>
      </x:c>
      <x:c r="B1390" s="9" t="str">
        <x:v>NHD</x:v>
      </x:c>
      <x:c r="C1390" s="9" t="str">
        <x:v>ND 01 Intereses / VES / propia / R7 Dutty Free / contado</x:v>
      </x:c>
      <x:c r="D1390" s="9" t="str">
        <x:v>P0</x:v>
      </x:c>
      <x:c r="E1390" s="9" t="str">
        <x:v>Positiva</x:v>
      </x:c>
      <x:c r="F1390" s="9" t="str">
        <x:v>Navegador + HTTP + persistencia; Real DEMO y doble identificados por separado</x:v>
      </x:c>
      <x:c r="G1390" s="23" t="str">
        <x:v>Pendiente</x:v>
      </x:c>
      <x:c r="H1390" s="23"/>
      <x:c r="I1390" s="23"/>
      <x:c r="J1390" s="23"/>
      <x:c r="K1390" s="23"/>
      <x:c r="L1390" s="24"/>
      <x:c r="M1390" s="23"/>
      <x:c r="N1390" s="23"/>
    </x:row>
    <x:row r="1391" ht="70" customHeight="1">
      <x:c r="A1391" s="9" t="str">
        <x:v>QA-NHD-265</x:v>
      </x:c>
      <x:c r="B1391" s="9" t="str">
        <x:v>NHD</x:v>
      </x:c>
      <x:c r="C1391" s="9" t="str">
        <x:v>ND 01 Intereses / VES / terceros / R0 Sin régimen / contado</x:v>
      </x:c>
      <x:c r="D1391" s="9" t="str">
        <x:v>P0</x:v>
      </x:c>
      <x:c r="E1391" s="9" t="str">
        <x:v>Positiva</x:v>
      </x:c>
      <x:c r="F1391" s="9" t="str">
        <x:v>Navegador + HTTP + persistencia; Real DEMO y doble identificados por separado</x:v>
      </x:c>
      <x:c r="G1391" s="23" t="str">
        <x:v>Pendiente</x:v>
      </x:c>
      <x:c r="H1391" s="23"/>
      <x:c r="I1391" s="23"/>
      <x:c r="J1391" s="23"/>
      <x:c r="K1391" s="23"/>
      <x:c r="L1391" s="24"/>
      <x:c r="M1391" s="23"/>
      <x:c r="N1391" s="23"/>
    </x:row>
    <x:row r="1392" ht="70" customHeight="1">
      <x:c r="A1392" s="9" t="str">
        <x:v>QA-NHD-266</x:v>
      </x:c>
      <x:c r="B1392" s="9" t="str">
        <x:v>NHD</x:v>
      </x:c>
      <x:c r="C1392" s="9" t="str">
        <x:v>ND 01 Intereses / VES / terceros / R1 Zonas económicas especiales / contado</x:v>
      </x:c>
      <x:c r="D1392" s="9" t="str">
        <x:v>P0</x:v>
      </x:c>
      <x:c r="E1392" s="9" t="str">
        <x:v>Positiva</x:v>
      </x:c>
      <x:c r="F1392" s="9" t="str">
        <x:v>Navegador + HTTP + persistencia; Real DEMO y doble identificados por separado</x:v>
      </x:c>
      <x:c r="G1392" s="23" t="str">
        <x:v>Pendiente</x:v>
      </x:c>
      <x:c r="H1392" s="23"/>
      <x:c r="I1392" s="23"/>
      <x:c r="J1392" s="23"/>
      <x:c r="K1392" s="23"/>
      <x:c r="L1392" s="24"/>
      <x:c r="M1392" s="23"/>
      <x:c r="N1392" s="23"/>
    </x:row>
    <x:row r="1393" ht="70" customHeight="1">
      <x:c r="A1393" s="9" t="str">
        <x:v>QA-NHD-267</x:v>
      </x:c>
      <x:c r="B1393" s="9" t="str">
        <x:v>NHD</x:v>
      </x:c>
      <x:c r="C1393" s="9" t="str">
        <x:v>ND 01 Intereses / VES / terceros / R2 Zona franca de Paraguaná / contado</x:v>
      </x:c>
      <x:c r="D1393" s="9" t="str">
        <x:v>P0</x:v>
      </x:c>
      <x:c r="E1393" s="9" t="str">
        <x:v>Positiva</x:v>
      </x:c>
      <x:c r="F1393" s="9" t="str">
        <x:v>Navegador + HTTP + persistencia; Real DEMO y doble identificados por separado</x:v>
      </x:c>
      <x:c r="G1393" s="23" t="str">
        <x:v>Pendiente</x:v>
      </x:c>
      <x:c r="H1393" s="23"/>
      <x:c r="I1393" s="23"/>
      <x:c r="J1393" s="23"/>
      <x:c r="K1393" s="23"/>
      <x:c r="L1393" s="24"/>
      <x:c r="M1393" s="23"/>
      <x:c r="N1393" s="23"/>
    </x:row>
    <x:row r="1394" ht="70" customHeight="1">
      <x:c r="A1394" s="9" t="str">
        <x:v>QA-NHD-268</x:v>
      </x:c>
      <x:c r="B1394" s="9" t="str">
        <x:v>NHD</x:v>
      </x:c>
      <x:c r="C1394" s="9" t="str">
        <x:v>ND 01 Intereses / VES / terceros / R3 Zona libre de Paraguaná / contado</x:v>
      </x:c>
      <x:c r="D1394" s="9" t="str">
        <x:v>P0</x:v>
      </x:c>
      <x:c r="E1394" s="9" t="str">
        <x:v>Positiva</x:v>
      </x:c>
      <x:c r="F1394" s="9" t="str">
        <x:v>Navegador + HTTP + persistencia; Real DEMO y doble identificados por separado</x:v>
      </x:c>
      <x:c r="G1394" s="23" t="str">
        <x:v>Pendiente</x:v>
      </x:c>
      <x:c r="H1394" s="23"/>
      <x:c r="I1394" s="23"/>
      <x:c r="J1394" s="23"/>
      <x:c r="K1394" s="23"/>
      <x:c r="L1394" s="24"/>
      <x:c r="M1394" s="23"/>
      <x:c r="N1394" s="23"/>
    </x:row>
    <x:row r="1395" ht="70" customHeight="1">
      <x:c r="A1395" s="9" t="str">
        <x:v>QA-NHD-269</x:v>
      </x:c>
      <x:c r="B1395" s="9" t="str">
        <x:v>NHD</x:v>
      </x:c>
      <x:c r="C1395" s="9" t="str">
        <x:v>ND 01 Intereses / VES / terceros / R4 Puerto libre Santa Elena de Uairén / contado</x:v>
      </x:c>
      <x:c r="D1395" s="9" t="str">
        <x:v>P0</x:v>
      </x:c>
      <x:c r="E1395" s="9" t="str">
        <x:v>Positiva</x:v>
      </x:c>
      <x:c r="F1395" s="9" t="str">
        <x:v>Navegador + HTTP + persistencia; Real DEMO y doble identificados por separado</x:v>
      </x:c>
      <x:c r="G1395" s="23" t="str">
        <x:v>Pendiente</x:v>
      </x:c>
      <x:c r="H1395" s="23"/>
      <x:c r="I1395" s="23"/>
      <x:c r="J1395" s="23"/>
      <x:c r="K1395" s="23"/>
      <x:c r="L1395" s="24"/>
      <x:c r="M1395" s="23"/>
      <x:c r="N1395" s="23"/>
    </x:row>
    <x:row r="1396" ht="70" customHeight="1">
      <x:c r="A1396" s="9" t="str">
        <x:v>QA-NHD-270</x:v>
      </x:c>
      <x:c r="B1396" s="9" t="str">
        <x:v>NHD</x:v>
      </x:c>
      <x:c r="C1396" s="9" t="str">
        <x:v>ND 01 Intereses / VES / terceros / R5 Zona Libre de Mérida / contado</x:v>
      </x:c>
      <x:c r="D1396" s="9" t="str">
        <x:v>P0</x:v>
      </x:c>
      <x:c r="E1396" s="9" t="str">
        <x:v>Positiva</x:v>
      </x:c>
      <x:c r="F1396" s="9" t="str">
        <x:v>Navegador + HTTP + persistencia; Real DEMO y doble identificados por separado</x:v>
      </x:c>
      <x:c r="G1396" s="23" t="str">
        <x:v>Pendiente</x:v>
      </x:c>
      <x:c r="H1396" s="23"/>
      <x:c r="I1396" s="23"/>
      <x:c r="J1396" s="23"/>
      <x:c r="K1396" s="23"/>
      <x:c r="L1396" s="24"/>
      <x:c r="M1396" s="23"/>
      <x:c r="N1396" s="23"/>
    </x:row>
    <x:row r="1397" ht="70" customHeight="1">
      <x:c r="A1397" s="9" t="str">
        <x:v>QA-NHD-271</x:v>
      </x:c>
      <x:c r="B1397" s="9" t="str">
        <x:v>NHD</x:v>
      </x:c>
      <x:c r="C1397" s="9" t="str">
        <x:v>ND 01 Intereses / VES / terceros / R6 Puerto libre Estado Nueva Esparta / contado</x:v>
      </x:c>
      <x:c r="D1397" s="9" t="str">
        <x:v>P0</x:v>
      </x:c>
      <x:c r="E1397" s="9" t="str">
        <x:v>Positiva</x:v>
      </x:c>
      <x:c r="F1397" s="9" t="str">
        <x:v>Navegador + HTTP + persistencia; Real DEMO y doble identificados por separado</x:v>
      </x:c>
      <x:c r="G1397" s="23" t="str">
        <x:v>Pendiente</x:v>
      </x:c>
      <x:c r="H1397" s="23"/>
      <x:c r="I1397" s="23"/>
      <x:c r="J1397" s="23"/>
      <x:c r="K1397" s="23"/>
      <x:c r="L1397" s="24"/>
      <x:c r="M1397" s="23"/>
      <x:c r="N1397" s="23"/>
    </x:row>
    <x:row r="1398" ht="70" customHeight="1">
      <x:c r="A1398" s="9" t="str">
        <x:v>QA-NHD-272</x:v>
      </x:c>
      <x:c r="B1398" s="9" t="str">
        <x:v>NHD</x:v>
      </x:c>
      <x:c r="C1398" s="9" t="str">
        <x:v>ND 01 Intereses / VES / terceros / R7 Dutty Free / contado</x:v>
      </x:c>
      <x:c r="D1398" s="9" t="str">
        <x:v>P0</x:v>
      </x:c>
      <x:c r="E1398" s="9" t="str">
        <x:v>Positiva</x:v>
      </x:c>
      <x:c r="F1398" s="9" t="str">
        <x:v>Navegador + HTTP + persistencia; Real DEMO y doble identificados por separado</x:v>
      </x:c>
      <x:c r="G1398" s="23" t="str">
        <x:v>Pendiente</x:v>
      </x:c>
      <x:c r="H1398" s="23"/>
      <x:c r="I1398" s="23"/>
      <x:c r="J1398" s="23"/>
      <x:c r="K1398" s="23"/>
      <x:c r="L1398" s="24"/>
      <x:c r="M1398" s="23"/>
      <x:c r="N1398" s="23"/>
    </x:row>
    <x:row r="1399" ht="70" customHeight="1">
      <x:c r="A1399" s="9" t="str">
        <x:v>QA-NHD-273</x:v>
      </x:c>
      <x:c r="B1399" s="9" t="str">
        <x:v>NHD</x:v>
      </x:c>
      <x:c r="C1399" s="9" t="str">
        <x:v>ND 01 Intereses / USD / propia / R0 Sin régimen / contado</x:v>
      </x:c>
      <x:c r="D1399" s="9" t="str">
        <x:v>P0</x:v>
      </x:c>
      <x:c r="E1399" s="9" t="str">
        <x:v>Positiva</x:v>
      </x:c>
      <x:c r="F1399" s="9" t="str">
        <x:v>Navegador + HTTP + persistencia; Real DEMO y doble identificados por separado</x:v>
      </x:c>
      <x:c r="G1399" s="23" t="str">
        <x:v>Pendiente</x:v>
      </x:c>
      <x:c r="H1399" s="23"/>
      <x:c r="I1399" s="23"/>
      <x:c r="J1399" s="23"/>
      <x:c r="K1399" s="23"/>
      <x:c r="L1399" s="24"/>
      <x:c r="M1399" s="23"/>
      <x:c r="N1399" s="23"/>
    </x:row>
    <x:row r="1400" ht="70" customHeight="1">
      <x:c r="A1400" s="9" t="str">
        <x:v>QA-NHD-274</x:v>
      </x:c>
      <x:c r="B1400" s="9" t="str">
        <x:v>NHD</x:v>
      </x:c>
      <x:c r="C1400" s="9" t="str">
        <x:v>ND 01 Intereses / USD / propia / R1 Zonas económicas especiales / contado</x:v>
      </x:c>
      <x:c r="D1400" s="9" t="str">
        <x:v>P0</x:v>
      </x:c>
      <x:c r="E1400" s="9" t="str">
        <x:v>Positiva</x:v>
      </x:c>
      <x:c r="F1400" s="9" t="str">
        <x:v>Navegador + HTTP + persistencia; Real DEMO y doble identificados por separado</x:v>
      </x:c>
      <x:c r="G1400" s="23" t="str">
        <x:v>Pendiente</x:v>
      </x:c>
      <x:c r="H1400" s="23"/>
      <x:c r="I1400" s="23"/>
      <x:c r="J1400" s="23"/>
      <x:c r="K1400" s="23"/>
      <x:c r="L1400" s="24"/>
      <x:c r="M1400" s="23"/>
      <x:c r="N1400" s="23"/>
    </x:row>
    <x:row r="1401" ht="70" customHeight="1">
      <x:c r="A1401" s="9" t="str">
        <x:v>QA-NHD-275</x:v>
      </x:c>
      <x:c r="B1401" s="9" t="str">
        <x:v>NHD</x:v>
      </x:c>
      <x:c r="C1401" s="9" t="str">
        <x:v>ND 01 Intereses / USD / propia / R2 Zona franca de Paraguaná / contado</x:v>
      </x:c>
      <x:c r="D1401" s="9" t="str">
        <x:v>P0</x:v>
      </x:c>
      <x:c r="E1401" s="9" t="str">
        <x:v>Positiva</x:v>
      </x:c>
      <x:c r="F1401" s="9" t="str">
        <x:v>Navegador + HTTP + persistencia; Real DEMO y doble identificados por separado</x:v>
      </x:c>
      <x:c r="G1401" s="23" t="str">
        <x:v>Pendiente</x:v>
      </x:c>
      <x:c r="H1401" s="23"/>
      <x:c r="I1401" s="23"/>
      <x:c r="J1401" s="23"/>
      <x:c r="K1401" s="23"/>
      <x:c r="L1401" s="24"/>
      <x:c r="M1401" s="23"/>
      <x:c r="N1401" s="23"/>
    </x:row>
    <x:row r="1402" ht="70" customHeight="1">
      <x:c r="A1402" s="9" t="str">
        <x:v>QA-NHD-276</x:v>
      </x:c>
      <x:c r="B1402" s="9" t="str">
        <x:v>NHD</x:v>
      </x:c>
      <x:c r="C1402" s="9" t="str">
        <x:v>ND 01 Intereses / USD / propia / R3 Zona libre de Paraguaná / contado</x:v>
      </x:c>
      <x:c r="D1402" s="9" t="str">
        <x:v>P0</x:v>
      </x:c>
      <x:c r="E1402" s="9" t="str">
        <x:v>Positiva</x:v>
      </x:c>
      <x:c r="F1402" s="9" t="str">
        <x:v>Navegador + HTTP + persistencia; Real DEMO y doble identificados por separado</x:v>
      </x:c>
      <x:c r="G1402" s="23" t="str">
        <x:v>Pendiente</x:v>
      </x:c>
      <x:c r="H1402" s="23"/>
      <x:c r="I1402" s="23"/>
      <x:c r="J1402" s="23"/>
      <x:c r="K1402" s="23"/>
      <x:c r="L1402" s="24"/>
      <x:c r="M1402" s="23"/>
      <x:c r="N1402" s="23"/>
    </x:row>
    <x:row r="1403" ht="70" customHeight="1">
      <x:c r="A1403" s="9" t="str">
        <x:v>QA-NHD-277</x:v>
      </x:c>
      <x:c r="B1403" s="9" t="str">
        <x:v>NHD</x:v>
      </x:c>
      <x:c r="C1403" s="9" t="str">
        <x:v>ND 01 Intereses / USD / propia / R4 Puerto libre Santa Elena de Uairén / contado</x:v>
      </x:c>
      <x:c r="D1403" s="9" t="str">
        <x:v>P0</x:v>
      </x:c>
      <x:c r="E1403" s="9" t="str">
        <x:v>Positiva</x:v>
      </x:c>
      <x:c r="F1403" s="9" t="str">
        <x:v>Navegador + HTTP + persistencia; Real DEMO y doble identificados por separado</x:v>
      </x:c>
      <x:c r="G1403" s="23" t="str">
        <x:v>Pendiente</x:v>
      </x:c>
      <x:c r="H1403" s="23"/>
      <x:c r="I1403" s="23"/>
      <x:c r="J1403" s="23"/>
      <x:c r="K1403" s="23"/>
      <x:c r="L1403" s="24"/>
      <x:c r="M1403" s="23"/>
      <x:c r="N1403" s="23"/>
    </x:row>
    <x:row r="1404" ht="70" customHeight="1">
      <x:c r="A1404" s="9" t="str">
        <x:v>QA-NHD-278</x:v>
      </x:c>
      <x:c r="B1404" s="9" t="str">
        <x:v>NHD</x:v>
      </x:c>
      <x:c r="C1404" s="9" t="str">
        <x:v>ND 01 Intereses / USD / propia / R5 Zona Libre de Mérida / contado</x:v>
      </x:c>
      <x:c r="D1404" s="9" t="str">
        <x:v>P0</x:v>
      </x:c>
      <x:c r="E1404" s="9" t="str">
        <x:v>Positiva</x:v>
      </x:c>
      <x:c r="F1404" s="9" t="str">
        <x:v>Navegador + HTTP + persistencia; Real DEMO y doble identificados por separado</x:v>
      </x:c>
      <x:c r="G1404" s="23" t="str">
        <x:v>Pendiente</x:v>
      </x:c>
      <x:c r="H1404" s="23"/>
      <x:c r="I1404" s="23"/>
      <x:c r="J1404" s="23"/>
      <x:c r="K1404" s="23"/>
      <x:c r="L1404" s="24"/>
      <x:c r="M1404" s="23"/>
      <x:c r="N1404" s="23"/>
    </x:row>
    <x:row r="1405" ht="70" customHeight="1">
      <x:c r="A1405" s="9" t="str">
        <x:v>QA-NHD-279</x:v>
      </x:c>
      <x:c r="B1405" s="9" t="str">
        <x:v>NHD</x:v>
      </x:c>
      <x:c r="C1405" s="9" t="str">
        <x:v>ND 01 Intereses / USD / propia / R6 Puerto libre Estado Nueva Esparta / contado</x:v>
      </x:c>
      <x:c r="D1405" s="9" t="str">
        <x:v>P0</x:v>
      </x:c>
      <x:c r="E1405" s="9" t="str">
        <x:v>Positiva</x:v>
      </x:c>
      <x:c r="F1405" s="9" t="str">
        <x:v>Navegador + HTTP + persistencia; Real DEMO y doble identificados por separado</x:v>
      </x:c>
      <x:c r="G1405" s="23" t="str">
        <x:v>Pendiente</x:v>
      </x:c>
      <x:c r="H1405" s="23"/>
      <x:c r="I1405" s="23"/>
      <x:c r="J1405" s="23"/>
      <x:c r="K1405" s="23"/>
      <x:c r="L1405" s="24"/>
      <x:c r="M1405" s="23"/>
      <x:c r="N1405" s="23"/>
    </x:row>
    <x:row r="1406" ht="70" customHeight="1">
      <x:c r="A1406" s="9" t="str">
        <x:v>QA-NHD-280</x:v>
      </x:c>
      <x:c r="B1406" s="9" t="str">
        <x:v>NHD</x:v>
      </x:c>
      <x:c r="C1406" s="9" t="str">
        <x:v>ND 01 Intereses / USD / propia / R7 Dutty Free / contado</x:v>
      </x:c>
      <x:c r="D1406" s="9" t="str">
        <x:v>P0</x:v>
      </x:c>
      <x:c r="E1406" s="9" t="str">
        <x:v>Positiva</x:v>
      </x:c>
      <x:c r="F1406" s="9" t="str">
        <x:v>Navegador + HTTP + persistencia; Real DEMO y doble identificados por separado</x:v>
      </x:c>
      <x:c r="G1406" s="23" t="str">
        <x:v>Pendiente</x:v>
      </x:c>
      <x:c r="H1406" s="23"/>
      <x:c r="I1406" s="23"/>
      <x:c r="J1406" s="23"/>
      <x:c r="K1406" s="23"/>
      <x:c r="L1406" s="24"/>
      <x:c r="M1406" s="23"/>
      <x:c r="N1406" s="23"/>
    </x:row>
    <x:row r="1407" ht="70" customHeight="1">
      <x:c r="A1407" s="9" t="str">
        <x:v>QA-NHD-281</x:v>
      </x:c>
      <x:c r="B1407" s="9" t="str">
        <x:v>NHD</x:v>
      </x:c>
      <x:c r="C1407" s="9" t="str">
        <x:v>ND 01 Intereses / USD / terceros / R0 Sin régimen / contado</x:v>
      </x:c>
      <x:c r="D1407" s="9" t="str">
        <x:v>P0</x:v>
      </x:c>
      <x:c r="E1407" s="9" t="str">
        <x:v>Positiva</x:v>
      </x:c>
      <x:c r="F1407" s="9" t="str">
        <x:v>Navegador + HTTP + persistencia; Real DEMO y doble identificados por separado</x:v>
      </x:c>
      <x:c r="G1407" s="23" t="str">
        <x:v>Pendiente</x:v>
      </x:c>
      <x:c r="H1407" s="23"/>
      <x:c r="I1407" s="23"/>
      <x:c r="J1407" s="23"/>
      <x:c r="K1407" s="23"/>
      <x:c r="L1407" s="24"/>
      <x:c r="M1407" s="23"/>
      <x:c r="N1407" s="23"/>
    </x:row>
    <x:row r="1408" ht="70" customHeight="1">
      <x:c r="A1408" s="9" t="str">
        <x:v>QA-NHD-282</x:v>
      </x:c>
      <x:c r="B1408" s="9" t="str">
        <x:v>NHD</x:v>
      </x:c>
      <x:c r="C1408" s="9" t="str">
        <x:v>ND 01 Intereses / USD / terceros / R1 Zonas económicas especiales / contado</x:v>
      </x:c>
      <x:c r="D1408" s="9" t="str">
        <x:v>P0</x:v>
      </x:c>
      <x:c r="E1408" s="9" t="str">
        <x:v>Positiva</x:v>
      </x:c>
      <x:c r="F1408" s="9" t="str">
        <x:v>Navegador + HTTP + persistencia; Real DEMO y doble identificados por separado</x:v>
      </x:c>
      <x:c r="G1408" s="23" t="str">
        <x:v>Pendiente</x:v>
      </x:c>
      <x:c r="H1408" s="23"/>
      <x:c r="I1408" s="23"/>
      <x:c r="J1408" s="23"/>
      <x:c r="K1408" s="23"/>
      <x:c r="L1408" s="24"/>
      <x:c r="M1408" s="23"/>
      <x:c r="N1408" s="23"/>
    </x:row>
    <x:row r="1409" ht="70" customHeight="1">
      <x:c r="A1409" s="9" t="str">
        <x:v>QA-NHD-283</x:v>
      </x:c>
      <x:c r="B1409" s="9" t="str">
        <x:v>NHD</x:v>
      </x:c>
      <x:c r="C1409" s="9" t="str">
        <x:v>ND 01 Intereses / USD / terceros / R2 Zona franca de Paraguaná / contado</x:v>
      </x:c>
      <x:c r="D1409" s="9" t="str">
        <x:v>P0</x:v>
      </x:c>
      <x:c r="E1409" s="9" t="str">
        <x:v>Positiva</x:v>
      </x:c>
      <x:c r="F1409" s="9" t="str">
        <x:v>Navegador + HTTP + persistencia; Real DEMO y doble identificados por separado</x:v>
      </x:c>
      <x:c r="G1409" s="23" t="str">
        <x:v>Pendiente</x:v>
      </x:c>
      <x:c r="H1409" s="23"/>
      <x:c r="I1409" s="23"/>
      <x:c r="J1409" s="23"/>
      <x:c r="K1409" s="23"/>
      <x:c r="L1409" s="24"/>
      <x:c r="M1409" s="23"/>
      <x:c r="N1409" s="23"/>
    </x:row>
    <x:row r="1410" ht="70" customHeight="1">
      <x:c r="A1410" s="9" t="str">
        <x:v>QA-NHD-284</x:v>
      </x:c>
      <x:c r="B1410" s="9" t="str">
        <x:v>NHD</x:v>
      </x:c>
      <x:c r="C1410" s="9" t="str">
        <x:v>ND 01 Intereses / USD / terceros / R3 Zona libre de Paraguaná / contado</x:v>
      </x:c>
      <x:c r="D1410" s="9" t="str">
        <x:v>P0</x:v>
      </x:c>
      <x:c r="E1410" s="9" t="str">
        <x:v>Positiva</x:v>
      </x:c>
      <x:c r="F1410" s="9" t="str">
        <x:v>Navegador + HTTP + persistencia; Real DEMO y doble identificados por separado</x:v>
      </x:c>
      <x:c r="G1410" s="23" t="str">
        <x:v>Pendiente</x:v>
      </x:c>
      <x:c r="H1410" s="23"/>
      <x:c r="I1410" s="23"/>
      <x:c r="J1410" s="23"/>
      <x:c r="K1410" s="23"/>
      <x:c r="L1410" s="24"/>
      <x:c r="M1410" s="23"/>
      <x:c r="N1410" s="23"/>
    </x:row>
    <x:row r="1411" ht="70" customHeight="1">
      <x:c r="A1411" s="9" t="str">
        <x:v>QA-NHD-285</x:v>
      </x:c>
      <x:c r="B1411" s="9" t="str">
        <x:v>NHD</x:v>
      </x:c>
      <x:c r="C1411" s="9" t="str">
        <x:v>ND 01 Intereses / USD / terceros / R4 Puerto libre Santa Elena de Uairén / contado</x:v>
      </x:c>
      <x:c r="D1411" s="9" t="str">
        <x:v>P0</x:v>
      </x:c>
      <x:c r="E1411" s="9" t="str">
        <x:v>Positiva</x:v>
      </x:c>
      <x:c r="F1411" s="9" t="str">
        <x:v>Navegador + HTTP + persistencia; Real DEMO y doble identificados por separado</x:v>
      </x:c>
      <x:c r="G1411" s="23" t="str">
        <x:v>Pendiente</x:v>
      </x:c>
      <x:c r="H1411" s="23"/>
      <x:c r="I1411" s="23"/>
      <x:c r="J1411" s="23"/>
      <x:c r="K1411" s="23"/>
      <x:c r="L1411" s="24"/>
      <x:c r="M1411" s="23"/>
      <x:c r="N1411" s="23"/>
    </x:row>
    <x:row r="1412" ht="70" customHeight="1">
      <x:c r="A1412" s="9" t="str">
        <x:v>QA-NHD-286</x:v>
      </x:c>
      <x:c r="B1412" s="9" t="str">
        <x:v>NHD</x:v>
      </x:c>
      <x:c r="C1412" s="9" t="str">
        <x:v>ND 01 Intereses / USD / terceros / R5 Zona Libre de Mérida / contado</x:v>
      </x:c>
      <x:c r="D1412" s="9" t="str">
        <x:v>P0</x:v>
      </x:c>
      <x:c r="E1412" s="9" t="str">
        <x:v>Positiva</x:v>
      </x:c>
      <x:c r="F1412" s="9" t="str">
        <x:v>Navegador + HTTP + persistencia; Real DEMO y doble identificados por separado</x:v>
      </x:c>
      <x:c r="G1412" s="23" t="str">
        <x:v>Pendiente</x:v>
      </x:c>
      <x:c r="H1412" s="23"/>
      <x:c r="I1412" s="23"/>
      <x:c r="J1412" s="23"/>
      <x:c r="K1412" s="23"/>
      <x:c r="L1412" s="24"/>
      <x:c r="M1412" s="23"/>
      <x:c r="N1412" s="23"/>
    </x:row>
    <x:row r="1413" ht="70" customHeight="1">
      <x:c r="A1413" s="9" t="str">
        <x:v>QA-NHD-287</x:v>
      </x:c>
      <x:c r="B1413" s="9" t="str">
        <x:v>NHD</x:v>
      </x:c>
      <x:c r="C1413" s="9" t="str">
        <x:v>ND 01 Intereses / USD / terceros / R6 Puerto libre Estado Nueva Esparta / contado</x:v>
      </x:c>
      <x:c r="D1413" s="9" t="str">
        <x:v>P0</x:v>
      </x:c>
      <x:c r="E1413" s="9" t="str">
        <x:v>Positiva</x:v>
      </x:c>
      <x:c r="F1413" s="9" t="str">
        <x:v>Navegador + HTTP + persistencia; Real DEMO y doble identificados por separado</x:v>
      </x:c>
      <x:c r="G1413" s="23" t="str">
        <x:v>Pendiente</x:v>
      </x:c>
      <x:c r="H1413" s="23"/>
      <x:c r="I1413" s="23"/>
      <x:c r="J1413" s="23"/>
      <x:c r="K1413" s="23"/>
      <x:c r="L1413" s="24"/>
      <x:c r="M1413" s="23"/>
      <x:c r="N1413" s="23"/>
    </x:row>
    <x:row r="1414" ht="70" customHeight="1">
      <x:c r="A1414" s="9" t="str">
        <x:v>QA-NHD-288</x:v>
      </x:c>
      <x:c r="B1414" s="9" t="str">
        <x:v>NHD</x:v>
      </x:c>
      <x:c r="C1414" s="9" t="str">
        <x:v>ND 01 Intereses / USD / terceros / R7 Dutty Free / contado</x:v>
      </x:c>
      <x:c r="D1414" s="9" t="str">
        <x:v>P0</x:v>
      </x:c>
      <x:c r="E1414" s="9" t="str">
        <x:v>Positiva</x:v>
      </x:c>
      <x:c r="F1414" s="9" t="str">
        <x:v>Navegador + HTTP + persistencia; Real DEMO y doble identificados por separado</x:v>
      </x:c>
      <x:c r="G1414" s="23" t="str">
        <x:v>Pendiente</x:v>
      </x:c>
      <x:c r="H1414" s="23"/>
      <x:c r="I1414" s="23"/>
      <x:c r="J1414" s="23"/>
      <x:c r="K1414" s="23"/>
      <x:c r="L1414" s="24"/>
      <x:c r="M1414" s="23"/>
      <x:c r="N1414" s="23"/>
    </x:row>
    <x:row r="1415" ht="70" customHeight="1">
      <x:c r="A1415" s="9" t="str">
        <x:v>QA-NHD-289</x:v>
      </x:c>
      <x:c r="B1415" s="9" t="str">
        <x:v>NHD</x:v>
      </x:c>
      <x:c r="C1415" s="9" t="str">
        <x:v>ND 03 Fletes y gastos / VES / propia / R0 Sin régimen / contado</x:v>
      </x:c>
      <x:c r="D1415" s="9" t="str">
        <x:v>P0</x:v>
      </x:c>
      <x:c r="E1415" s="9" t="str">
        <x:v>Positiva</x:v>
      </x:c>
      <x:c r="F1415" s="9" t="str">
        <x:v>Navegador + HTTP + persistencia; Real DEMO y doble identificados por separado</x:v>
      </x:c>
      <x:c r="G1415" s="23" t="str">
        <x:v>Pendiente</x:v>
      </x:c>
      <x:c r="H1415" s="23"/>
      <x:c r="I1415" s="23"/>
      <x:c r="J1415" s="23"/>
      <x:c r="K1415" s="23"/>
      <x:c r="L1415" s="24"/>
      <x:c r="M1415" s="23"/>
      <x:c r="N1415" s="23"/>
    </x:row>
    <x:row r="1416" ht="70" customHeight="1">
      <x:c r="A1416" s="9" t="str">
        <x:v>QA-NHD-290</x:v>
      </x:c>
      <x:c r="B1416" s="9" t="str">
        <x:v>NHD</x:v>
      </x:c>
      <x:c r="C1416" s="9" t="str">
        <x:v>ND 03 Fletes y gastos / VES / propia / R1 Zonas económicas especiales / contado</x:v>
      </x:c>
      <x:c r="D1416" s="9" t="str">
        <x:v>P0</x:v>
      </x:c>
      <x:c r="E1416" s="9" t="str">
        <x:v>Positiva</x:v>
      </x:c>
      <x:c r="F1416" s="9" t="str">
        <x:v>Navegador + HTTP + persistencia; Real DEMO y doble identificados por separado</x:v>
      </x:c>
      <x:c r="G1416" s="23" t="str">
        <x:v>Pendiente</x:v>
      </x:c>
      <x:c r="H1416" s="23"/>
      <x:c r="I1416" s="23"/>
      <x:c r="J1416" s="23"/>
      <x:c r="K1416" s="23"/>
      <x:c r="L1416" s="24"/>
      <x:c r="M1416" s="23"/>
      <x:c r="N1416" s="23"/>
    </x:row>
    <x:row r="1417" ht="70" customHeight="1">
      <x:c r="A1417" s="9" t="str">
        <x:v>QA-NHD-291</x:v>
      </x:c>
      <x:c r="B1417" s="9" t="str">
        <x:v>NHD</x:v>
      </x:c>
      <x:c r="C1417" s="9" t="str">
        <x:v>ND 03 Fletes y gastos / VES / propia / R2 Zona franca de Paraguaná / contado</x:v>
      </x:c>
      <x:c r="D1417" s="9" t="str">
        <x:v>P0</x:v>
      </x:c>
      <x:c r="E1417" s="9" t="str">
        <x:v>Positiva</x:v>
      </x:c>
      <x:c r="F1417" s="9" t="str">
        <x:v>Navegador + HTTP + persistencia; Real DEMO y doble identificados por separado</x:v>
      </x:c>
      <x:c r="G1417" s="23" t="str">
        <x:v>Pendiente</x:v>
      </x:c>
      <x:c r="H1417" s="23"/>
      <x:c r="I1417" s="23"/>
      <x:c r="J1417" s="23"/>
      <x:c r="K1417" s="23"/>
      <x:c r="L1417" s="24"/>
      <x:c r="M1417" s="23"/>
      <x:c r="N1417" s="23"/>
    </x:row>
    <x:row r="1418" ht="70" customHeight="1">
      <x:c r="A1418" s="9" t="str">
        <x:v>QA-NHD-292</x:v>
      </x:c>
      <x:c r="B1418" s="9" t="str">
        <x:v>NHD</x:v>
      </x:c>
      <x:c r="C1418" s="9" t="str">
        <x:v>ND 03 Fletes y gastos / VES / propia / R3 Zona libre de Paraguaná / contado</x:v>
      </x:c>
      <x:c r="D1418" s="9" t="str">
        <x:v>P0</x:v>
      </x:c>
      <x:c r="E1418" s="9" t="str">
        <x:v>Positiva</x:v>
      </x:c>
      <x:c r="F1418" s="9" t="str">
        <x:v>Navegador + HTTP + persistencia; Real DEMO y doble identificados por separado</x:v>
      </x:c>
      <x:c r="G1418" s="23" t="str">
        <x:v>Pendiente</x:v>
      </x:c>
      <x:c r="H1418" s="23"/>
      <x:c r="I1418" s="23"/>
      <x:c r="J1418" s="23"/>
      <x:c r="K1418" s="23"/>
      <x:c r="L1418" s="24"/>
      <x:c r="M1418" s="23"/>
      <x:c r="N1418" s="23"/>
    </x:row>
    <x:row r="1419" ht="70" customHeight="1">
      <x:c r="A1419" s="9" t="str">
        <x:v>QA-NHD-293</x:v>
      </x:c>
      <x:c r="B1419" s="9" t="str">
        <x:v>NHD</x:v>
      </x:c>
      <x:c r="C1419" s="9" t="str">
        <x:v>ND 03 Fletes y gastos / VES / propia / R4 Puerto libre Santa Elena de Uairén / contado</x:v>
      </x:c>
      <x:c r="D1419" s="9" t="str">
        <x:v>P0</x:v>
      </x:c>
      <x:c r="E1419" s="9" t="str">
        <x:v>Positiva</x:v>
      </x:c>
      <x:c r="F1419" s="9" t="str">
        <x:v>Navegador + HTTP + persistencia; Real DEMO y doble identificados por separado</x:v>
      </x:c>
      <x:c r="G1419" s="23" t="str">
        <x:v>Pendiente</x:v>
      </x:c>
      <x:c r="H1419" s="23"/>
      <x:c r="I1419" s="23"/>
      <x:c r="J1419" s="23"/>
      <x:c r="K1419" s="23"/>
      <x:c r="L1419" s="24"/>
      <x:c r="M1419" s="23"/>
      <x:c r="N1419" s="23"/>
    </x:row>
    <x:row r="1420" ht="70" customHeight="1">
      <x:c r="A1420" s="9" t="str">
        <x:v>QA-NHD-294</x:v>
      </x:c>
      <x:c r="B1420" s="9" t="str">
        <x:v>NHD</x:v>
      </x:c>
      <x:c r="C1420" s="9" t="str">
        <x:v>ND 03 Fletes y gastos / VES / propia / R5 Zona Libre de Mérida / contado</x:v>
      </x:c>
      <x:c r="D1420" s="9" t="str">
        <x:v>P0</x:v>
      </x:c>
      <x:c r="E1420" s="9" t="str">
        <x:v>Positiva</x:v>
      </x:c>
      <x:c r="F1420" s="9" t="str">
        <x:v>Navegador + HTTP + persistencia; Real DEMO y doble identificados por separado</x:v>
      </x:c>
      <x:c r="G1420" s="23" t="str">
        <x:v>Pendiente</x:v>
      </x:c>
      <x:c r="H1420" s="23"/>
      <x:c r="I1420" s="23"/>
      <x:c r="J1420" s="23"/>
      <x:c r="K1420" s="23"/>
      <x:c r="L1420" s="24"/>
      <x:c r="M1420" s="23"/>
      <x:c r="N1420" s="23"/>
    </x:row>
    <x:row r="1421" ht="70" customHeight="1">
      <x:c r="A1421" s="9" t="str">
        <x:v>QA-NHD-295</x:v>
      </x:c>
      <x:c r="B1421" s="9" t="str">
        <x:v>NHD</x:v>
      </x:c>
      <x:c r="C1421" s="9" t="str">
        <x:v>ND 03 Fletes y gastos / VES / propia / R6 Puerto libre Estado Nueva Esparta / contado</x:v>
      </x:c>
      <x:c r="D1421" s="9" t="str">
        <x:v>P0</x:v>
      </x:c>
      <x:c r="E1421" s="9" t="str">
        <x:v>Positiva</x:v>
      </x:c>
      <x:c r="F1421" s="9" t="str">
        <x:v>Navegador + HTTP + persistencia; Real DEMO y doble identificados por separado</x:v>
      </x:c>
      <x:c r="G1421" s="23" t="str">
        <x:v>Pendiente</x:v>
      </x:c>
      <x:c r="H1421" s="23"/>
      <x:c r="I1421" s="23"/>
      <x:c r="J1421" s="23"/>
      <x:c r="K1421" s="23"/>
      <x:c r="L1421" s="24"/>
      <x:c r="M1421" s="23"/>
      <x:c r="N1421" s="23"/>
    </x:row>
    <x:row r="1422" ht="70" customHeight="1">
      <x:c r="A1422" s="9" t="str">
        <x:v>QA-NHD-296</x:v>
      </x:c>
      <x:c r="B1422" s="9" t="str">
        <x:v>NHD</x:v>
      </x:c>
      <x:c r="C1422" s="9" t="str">
        <x:v>ND 03 Fletes y gastos / VES / propia / R7 Dutty Free / contado</x:v>
      </x:c>
      <x:c r="D1422" s="9" t="str">
        <x:v>P0</x:v>
      </x:c>
      <x:c r="E1422" s="9" t="str">
        <x:v>Positiva</x:v>
      </x:c>
      <x:c r="F1422" s="9" t="str">
        <x:v>Navegador + HTTP + persistencia; Real DEMO y doble identificados por separado</x:v>
      </x:c>
      <x:c r="G1422" s="23" t="str">
        <x:v>Pendiente</x:v>
      </x:c>
      <x:c r="H1422" s="23"/>
      <x:c r="I1422" s="23"/>
      <x:c r="J1422" s="23"/>
      <x:c r="K1422" s="23"/>
      <x:c r="L1422" s="24"/>
      <x:c r="M1422" s="23"/>
      <x:c r="N1422" s="23"/>
    </x:row>
    <x:row r="1423" ht="70" customHeight="1">
      <x:c r="A1423" s="9" t="str">
        <x:v>QA-NHD-297</x:v>
      </x:c>
      <x:c r="B1423" s="9" t="str">
        <x:v>NHD</x:v>
      </x:c>
      <x:c r="C1423" s="9" t="str">
        <x:v>ND 03 Fletes y gastos / VES / terceros / R0 Sin régimen / contado</x:v>
      </x:c>
      <x:c r="D1423" s="9" t="str">
        <x:v>P0</x:v>
      </x:c>
      <x:c r="E1423" s="9" t="str">
        <x:v>Positiva</x:v>
      </x:c>
      <x:c r="F1423" s="9" t="str">
        <x:v>Navegador + HTTP + persistencia; Real DEMO y doble identificados por separado</x:v>
      </x:c>
      <x:c r="G1423" s="23" t="str">
        <x:v>Pendiente</x:v>
      </x:c>
      <x:c r="H1423" s="23"/>
      <x:c r="I1423" s="23"/>
      <x:c r="J1423" s="23"/>
      <x:c r="K1423" s="23"/>
      <x:c r="L1423" s="24"/>
      <x:c r="M1423" s="23"/>
      <x:c r="N1423" s="23"/>
    </x:row>
    <x:row r="1424" ht="70" customHeight="1">
      <x:c r="A1424" s="9" t="str">
        <x:v>QA-NHD-298</x:v>
      </x:c>
      <x:c r="B1424" s="9" t="str">
        <x:v>NHD</x:v>
      </x:c>
      <x:c r="C1424" s="9" t="str">
        <x:v>ND 03 Fletes y gastos / VES / terceros / R1 Zonas económicas especiales / contado</x:v>
      </x:c>
      <x:c r="D1424" s="9" t="str">
        <x:v>P0</x:v>
      </x:c>
      <x:c r="E1424" s="9" t="str">
        <x:v>Positiva</x:v>
      </x:c>
      <x:c r="F1424" s="9" t="str">
        <x:v>Navegador + HTTP + persistencia; Real DEMO y doble identificados por separado</x:v>
      </x:c>
      <x:c r="G1424" s="23" t="str">
        <x:v>Pendiente</x:v>
      </x:c>
      <x:c r="H1424" s="23"/>
      <x:c r="I1424" s="23"/>
      <x:c r="J1424" s="23"/>
      <x:c r="K1424" s="23"/>
      <x:c r="L1424" s="24"/>
      <x:c r="M1424" s="23"/>
      <x:c r="N1424" s="23"/>
    </x:row>
    <x:row r="1425" ht="70" customHeight="1">
      <x:c r="A1425" s="9" t="str">
        <x:v>QA-NHD-299</x:v>
      </x:c>
      <x:c r="B1425" s="9" t="str">
        <x:v>NHD</x:v>
      </x:c>
      <x:c r="C1425" s="9" t="str">
        <x:v>ND 03 Fletes y gastos / VES / terceros / R2 Zona franca de Paraguaná / contado</x:v>
      </x:c>
      <x:c r="D1425" s="9" t="str">
        <x:v>P0</x:v>
      </x:c>
      <x:c r="E1425" s="9" t="str">
        <x:v>Positiva</x:v>
      </x:c>
      <x:c r="F1425" s="9" t="str">
        <x:v>Navegador + HTTP + persistencia; Real DEMO y doble identificados por separado</x:v>
      </x:c>
      <x:c r="G1425" s="23" t="str">
        <x:v>Pendiente</x:v>
      </x:c>
      <x:c r="H1425" s="23"/>
      <x:c r="I1425" s="23"/>
      <x:c r="J1425" s="23"/>
      <x:c r="K1425" s="23"/>
      <x:c r="L1425" s="24"/>
      <x:c r="M1425" s="23"/>
      <x:c r="N1425" s="23"/>
    </x:row>
    <x:row r="1426" ht="70" customHeight="1">
      <x:c r="A1426" s="9" t="str">
        <x:v>QA-NHD-300</x:v>
      </x:c>
      <x:c r="B1426" s="9" t="str">
        <x:v>NHD</x:v>
      </x:c>
      <x:c r="C1426" s="9" t="str">
        <x:v>ND 03 Fletes y gastos / VES / terceros / R3 Zona libre de Paraguaná / contado</x:v>
      </x:c>
      <x:c r="D1426" s="9" t="str">
        <x:v>P0</x:v>
      </x:c>
      <x:c r="E1426" s="9" t="str">
        <x:v>Positiva</x:v>
      </x:c>
      <x:c r="F1426" s="9" t="str">
        <x:v>Navegador + HTTP + persistencia; Real DEMO y doble identificados por separado</x:v>
      </x:c>
      <x:c r="G1426" s="23" t="str">
        <x:v>Pendiente</x:v>
      </x:c>
      <x:c r="H1426" s="23"/>
      <x:c r="I1426" s="23"/>
      <x:c r="J1426" s="23"/>
      <x:c r="K1426" s="23"/>
      <x:c r="L1426" s="24"/>
      <x:c r="M1426" s="23"/>
      <x:c r="N1426" s="23"/>
    </x:row>
    <x:row r="1427" ht="70" customHeight="1">
      <x:c r="A1427" s="9" t="str">
        <x:v>QA-NHD-301</x:v>
      </x:c>
      <x:c r="B1427" s="9" t="str">
        <x:v>NHD</x:v>
      </x:c>
      <x:c r="C1427" s="9" t="str">
        <x:v>ND 03 Fletes y gastos / VES / terceros / R4 Puerto libre Santa Elena de Uairén / contado</x:v>
      </x:c>
      <x:c r="D1427" s="9" t="str">
        <x:v>P0</x:v>
      </x:c>
      <x:c r="E1427" s="9" t="str">
        <x:v>Positiva</x:v>
      </x:c>
      <x:c r="F1427" s="9" t="str">
        <x:v>Navegador + HTTP + persistencia; Real DEMO y doble identificados por separado</x:v>
      </x:c>
      <x:c r="G1427" s="23" t="str">
        <x:v>Pendiente</x:v>
      </x:c>
      <x:c r="H1427" s="23"/>
      <x:c r="I1427" s="23"/>
      <x:c r="J1427" s="23"/>
      <x:c r="K1427" s="23"/>
      <x:c r="L1427" s="24"/>
      <x:c r="M1427" s="23"/>
      <x:c r="N1427" s="23"/>
    </x:row>
    <x:row r="1428" ht="70" customHeight="1">
      <x:c r="A1428" s="9" t="str">
        <x:v>QA-NHD-302</x:v>
      </x:c>
      <x:c r="B1428" s="9" t="str">
        <x:v>NHD</x:v>
      </x:c>
      <x:c r="C1428" s="9" t="str">
        <x:v>ND 03 Fletes y gastos / VES / terceros / R5 Zona Libre de Mérida / contado</x:v>
      </x:c>
      <x:c r="D1428" s="9" t="str">
        <x:v>P0</x:v>
      </x:c>
      <x:c r="E1428" s="9" t="str">
        <x:v>Positiva</x:v>
      </x:c>
      <x:c r="F1428" s="9" t="str">
        <x:v>Navegador + HTTP + persistencia; Real DEMO y doble identificados por separado</x:v>
      </x:c>
      <x:c r="G1428" s="23" t="str">
        <x:v>Pendiente</x:v>
      </x:c>
      <x:c r="H1428" s="23"/>
      <x:c r="I1428" s="23"/>
      <x:c r="J1428" s="23"/>
      <x:c r="K1428" s="23"/>
      <x:c r="L1428" s="24"/>
      <x:c r="M1428" s="23"/>
      <x:c r="N1428" s="23"/>
    </x:row>
    <x:row r="1429" ht="70" customHeight="1">
      <x:c r="A1429" s="9" t="str">
        <x:v>QA-NHD-303</x:v>
      </x:c>
      <x:c r="B1429" s="9" t="str">
        <x:v>NHD</x:v>
      </x:c>
      <x:c r="C1429" s="9" t="str">
        <x:v>ND 03 Fletes y gastos / VES / terceros / R6 Puerto libre Estado Nueva Esparta / contado</x:v>
      </x:c>
      <x:c r="D1429" s="9" t="str">
        <x:v>P0</x:v>
      </x:c>
      <x:c r="E1429" s="9" t="str">
        <x:v>Positiva</x:v>
      </x:c>
      <x:c r="F1429" s="9" t="str">
        <x:v>Navegador + HTTP + persistencia; Real DEMO y doble identificados por separado</x:v>
      </x:c>
      <x:c r="G1429" s="23" t="str">
        <x:v>Pendiente</x:v>
      </x:c>
      <x:c r="H1429" s="23"/>
      <x:c r="I1429" s="23"/>
      <x:c r="J1429" s="23"/>
      <x:c r="K1429" s="23"/>
      <x:c r="L1429" s="24"/>
      <x:c r="M1429" s="23"/>
      <x:c r="N1429" s="23"/>
    </x:row>
    <x:row r="1430" ht="70" customHeight="1">
      <x:c r="A1430" s="9" t="str">
        <x:v>QA-NHD-304</x:v>
      </x:c>
      <x:c r="B1430" s="9" t="str">
        <x:v>NHD</x:v>
      </x:c>
      <x:c r="C1430" s="9" t="str">
        <x:v>ND 03 Fletes y gastos / VES / terceros / R7 Dutty Free / contado</x:v>
      </x:c>
      <x:c r="D1430" s="9" t="str">
        <x:v>P0</x:v>
      </x:c>
      <x:c r="E1430" s="9" t="str">
        <x:v>Positiva</x:v>
      </x:c>
      <x:c r="F1430" s="9" t="str">
        <x:v>Navegador + HTTP + persistencia; Real DEMO y doble identificados por separado</x:v>
      </x:c>
      <x:c r="G1430" s="23" t="str">
        <x:v>Pendiente</x:v>
      </x:c>
      <x:c r="H1430" s="23"/>
      <x:c r="I1430" s="23"/>
      <x:c r="J1430" s="23"/>
      <x:c r="K1430" s="23"/>
      <x:c r="L1430" s="24"/>
      <x:c r="M1430" s="23"/>
      <x:c r="N1430" s="23"/>
    </x:row>
    <x:row r="1431" ht="70" customHeight="1">
      <x:c r="A1431" s="9" t="str">
        <x:v>QA-NHD-305</x:v>
      </x:c>
      <x:c r="B1431" s="9" t="str">
        <x:v>NHD</x:v>
      </x:c>
      <x:c r="C1431" s="9" t="str">
        <x:v>ND 03 Fletes y gastos / USD / propia / R0 Sin régimen / contado</x:v>
      </x:c>
      <x:c r="D1431" s="9" t="str">
        <x:v>P0</x:v>
      </x:c>
      <x:c r="E1431" s="9" t="str">
        <x:v>Positiva</x:v>
      </x:c>
      <x:c r="F1431" s="9" t="str">
        <x:v>Navegador + HTTP + persistencia; Real DEMO y doble identificados por separado</x:v>
      </x:c>
      <x:c r="G1431" s="23" t="str">
        <x:v>Pendiente</x:v>
      </x:c>
      <x:c r="H1431" s="23"/>
      <x:c r="I1431" s="23"/>
      <x:c r="J1431" s="23"/>
      <x:c r="K1431" s="23"/>
      <x:c r="L1431" s="24"/>
      <x:c r="M1431" s="23"/>
      <x:c r="N1431" s="23"/>
    </x:row>
    <x:row r="1432" ht="70" customHeight="1">
      <x:c r="A1432" s="9" t="str">
        <x:v>QA-NHD-306</x:v>
      </x:c>
      <x:c r="B1432" s="9" t="str">
        <x:v>NHD</x:v>
      </x:c>
      <x:c r="C1432" s="9" t="str">
        <x:v>ND 03 Fletes y gastos / USD / propia / R1 Zonas económicas especiales / contado</x:v>
      </x:c>
      <x:c r="D1432" s="9" t="str">
        <x:v>P0</x:v>
      </x:c>
      <x:c r="E1432" s="9" t="str">
        <x:v>Positiva</x:v>
      </x:c>
      <x:c r="F1432" s="9" t="str">
        <x:v>Navegador + HTTP + persistencia; Real DEMO y doble identificados por separado</x:v>
      </x:c>
      <x:c r="G1432" s="23" t="str">
        <x:v>Pendiente</x:v>
      </x:c>
      <x:c r="H1432" s="23"/>
      <x:c r="I1432" s="23"/>
      <x:c r="J1432" s="23"/>
      <x:c r="K1432" s="23"/>
      <x:c r="L1432" s="24"/>
      <x:c r="M1432" s="23"/>
      <x:c r="N1432" s="23"/>
    </x:row>
    <x:row r="1433" ht="70" customHeight="1">
      <x:c r="A1433" s="9" t="str">
        <x:v>QA-NHD-307</x:v>
      </x:c>
      <x:c r="B1433" s="9" t="str">
        <x:v>NHD</x:v>
      </x:c>
      <x:c r="C1433" s="9" t="str">
        <x:v>ND 03 Fletes y gastos / USD / propia / R2 Zona franca de Paraguaná / contado</x:v>
      </x:c>
      <x:c r="D1433" s="9" t="str">
        <x:v>P0</x:v>
      </x:c>
      <x:c r="E1433" s="9" t="str">
        <x:v>Positiva</x:v>
      </x:c>
      <x:c r="F1433" s="9" t="str">
        <x:v>Navegador + HTTP + persistencia; Real DEMO y doble identificados por separado</x:v>
      </x:c>
      <x:c r="G1433" s="23" t="str">
        <x:v>Pendiente</x:v>
      </x:c>
      <x:c r="H1433" s="23"/>
      <x:c r="I1433" s="23"/>
      <x:c r="J1433" s="23"/>
      <x:c r="K1433" s="23"/>
      <x:c r="L1433" s="24"/>
      <x:c r="M1433" s="23"/>
      <x:c r="N1433" s="23"/>
    </x:row>
    <x:row r="1434" ht="70" customHeight="1">
      <x:c r="A1434" s="9" t="str">
        <x:v>QA-NHD-308</x:v>
      </x:c>
      <x:c r="B1434" s="9" t="str">
        <x:v>NHD</x:v>
      </x:c>
      <x:c r="C1434" s="9" t="str">
        <x:v>ND 03 Fletes y gastos / USD / propia / R3 Zona libre de Paraguaná / contado</x:v>
      </x:c>
      <x:c r="D1434" s="9" t="str">
        <x:v>P0</x:v>
      </x:c>
      <x:c r="E1434" s="9" t="str">
        <x:v>Positiva</x:v>
      </x:c>
      <x:c r="F1434" s="9" t="str">
        <x:v>Navegador + HTTP + persistencia; Real DEMO y doble identificados por separado</x:v>
      </x:c>
      <x:c r="G1434" s="23" t="str">
        <x:v>Pendiente</x:v>
      </x:c>
      <x:c r="H1434" s="23"/>
      <x:c r="I1434" s="23"/>
      <x:c r="J1434" s="23"/>
      <x:c r="K1434" s="23"/>
      <x:c r="L1434" s="24"/>
      <x:c r="M1434" s="23"/>
      <x:c r="N1434" s="23"/>
    </x:row>
    <x:row r="1435" ht="70" customHeight="1">
      <x:c r="A1435" s="9" t="str">
        <x:v>QA-NHD-309</x:v>
      </x:c>
      <x:c r="B1435" s="9" t="str">
        <x:v>NHD</x:v>
      </x:c>
      <x:c r="C1435" s="9" t="str">
        <x:v>ND 03 Fletes y gastos / USD / propia / R4 Puerto libre Santa Elena de Uairén / contado</x:v>
      </x:c>
      <x:c r="D1435" s="9" t="str">
        <x:v>P0</x:v>
      </x:c>
      <x:c r="E1435" s="9" t="str">
        <x:v>Positiva</x:v>
      </x:c>
      <x:c r="F1435" s="9" t="str">
        <x:v>Navegador + HTTP + persistencia; Real DEMO y doble identificados por separado</x:v>
      </x:c>
      <x:c r="G1435" s="23" t="str">
        <x:v>Pendiente</x:v>
      </x:c>
      <x:c r="H1435" s="23"/>
      <x:c r="I1435" s="23"/>
      <x:c r="J1435" s="23"/>
      <x:c r="K1435" s="23"/>
      <x:c r="L1435" s="24"/>
      <x:c r="M1435" s="23"/>
      <x:c r="N1435" s="23"/>
    </x:row>
    <x:row r="1436" ht="70" customHeight="1">
      <x:c r="A1436" s="9" t="str">
        <x:v>QA-NHD-310</x:v>
      </x:c>
      <x:c r="B1436" s="9" t="str">
        <x:v>NHD</x:v>
      </x:c>
      <x:c r="C1436" s="9" t="str">
        <x:v>ND 03 Fletes y gastos / USD / propia / R5 Zona Libre de Mérida / contado</x:v>
      </x:c>
      <x:c r="D1436" s="9" t="str">
        <x:v>P0</x:v>
      </x:c>
      <x:c r="E1436" s="9" t="str">
        <x:v>Positiva</x:v>
      </x:c>
      <x:c r="F1436" s="9" t="str">
        <x:v>Navegador + HTTP + persistencia; Real DEMO y doble identificados por separado</x:v>
      </x:c>
      <x:c r="G1436" s="23" t="str">
        <x:v>Pendiente</x:v>
      </x:c>
      <x:c r="H1436" s="23"/>
      <x:c r="I1436" s="23"/>
      <x:c r="J1436" s="23"/>
      <x:c r="K1436" s="23"/>
      <x:c r="L1436" s="24"/>
      <x:c r="M1436" s="23"/>
      <x:c r="N1436" s="23"/>
    </x:row>
    <x:row r="1437" ht="70" customHeight="1">
      <x:c r="A1437" s="9" t="str">
        <x:v>QA-NHD-311</x:v>
      </x:c>
      <x:c r="B1437" s="9" t="str">
        <x:v>NHD</x:v>
      </x:c>
      <x:c r="C1437" s="9" t="str">
        <x:v>ND 03 Fletes y gastos / USD / propia / R6 Puerto libre Estado Nueva Esparta / contado</x:v>
      </x:c>
      <x:c r="D1437" s="9" t="str">
        <x:v>P0</x:v>
      </x:c>
      <x:c r="E1437" s="9" t="str">
        <x:v>Positiva</x:v>
      </x:c>
      <x:c r="F1437" s="9" t="str">
        <x:v>Navegador + HTTP + persistencia; Real DEMO y doble identificados por separado</x:v>
      </x:c>
      <x:c r="G1437" s="23" t="str">
        <x:v>Pendiente</x:v>
      </x:c>
      <x:c r="H1437" s="23"/>
      <x:c r="I1437" s="23"/>
      <x:c r="J1437" s="23"/>
      <x:c r="K1437" s="23"/>
      <x:c r="L1437" s="24"/>
      <x:c r="M1437" s="23"/>
      <x:c r="N1437" s="23"/>
    </x:row>
    <x:row r="1438" ht="70" customHeight="1">
      <x:c r="A1438" s="9" t="str">
        <x:v>QA-NHD-312</x:v>
      </x:c>
      <x:c r="B1438" s="9" t="str">
        <x:v>NHD</x:v>
      </x:c>
      <x:c r="C1438" s="9" t="str">
        <x:v>ND 03 Fletes y gastos / USD / propia / R7 Dutty Free / contado</x:v>
      </x:c>
      <x:c r="D1438" s="9" t="str">
        <x:v>P0</x:v>
      </x:c>
      <x:c r="E1438" s="9" t="str">
        <x:v>Positiva</x:v>
      </x:c>
      <x:c r="F1438" s="9" t="str">
        <x:v>Navegador + HTTP + persistencia; Real DEMO y doble identificados por separado</x:v>
      </x:c>
      <x:c r="G1438" s="23" t="str">
        <x:v>Pendiente</x:v>
      </x:c>
      <x:c r="H1438" s="23"/>
      <x:c r="I1438" s="23"/>
      <x:c r="J1438" s="23"/>
      <x:c r="K1438" s="23"/>
      <x:c r="L1438" s="24"/>
      <x:c r="M1438" s="23"/>
      <x:c r="N1438" s="23"/>
    </x:row>
    <x:row r="1439" ht="70" customHeight="1">
      <x:c r="A1439" s="9" t="str">
        <x:v>QA-NHD-313</x:v>
      </x:c>
      <x:c r="B1439" s="9" t="str">
        <x:v>NHD</x:v>
      </x:c>
      <x:c r="C1439" s="9" t="str">
        <x:v>ND 03 Fletes y gastos / USD / terceros / R0 Sin régimen / contado</x:v>
      </x:c>
      <x:c r="D1439" s="9" t="str">
        <x:v>P0</x:v>
      </x:c>
      <x:c r="E1439" s="9" t="str">
        <x:v>Positiva</x:v>
      </x:c>
      <x:c r="F1439" s="9" t="str">
        <x:v>Navegador + HTTP + persistencia; Real DEMO y doble identificados por separado</x:v>
      </x:c>
      <x:c r="G1439" s="23" t="str">
        <x:v>Pendiente</x:v>
      </x:c>
      <x:c r="H1439" s="23"/>
      <x:c r="I1439" s="23"/>
      <x:c r="J1439" s="23"/>
      <x:c r="K1439" s="23"/>
      <x:c r="L1439" s="24"/>
      <x:c r="M1439" s="23"/>
      <x:c r="N1439" s="23"/>
    </x:row>
    <x:row r="1440" ht="70" customHeight="1">
      <x:c r="A1440" s="9" t="str">
        <x:v>QA-NHD-314</x:v>
      </x:c>
      <x:c r="B1440" s="9" t="str">
        <x:v>NHD</x:v>
      </x:c>
      <x:c r="C1440" s="9" t="str">
        <x:v>ND 03 Fletes y gastos / USD / terceros / R1 Zonas económicas especiales / contado</x:v>
      </x:c>
      <x:c r="D1440" s="9" t="str">
        <x:v>P0</x:v>
      </x:c>
      <x:c r="E1440" s="9" t="str">
        <x:v>Positiva</x:v>
      </x:c>
      <x:c r="F1440" s="9" t="str">
        <x:v>Navegador + HTTP + persistencia; Real DEMO y doble identificados por separado</x:v>
      </x:c>
      <x:c r="G1440" s="23" t="str">
        <x:v>Pendiente</x:v>
      </x:c>
      <x:c r="H1440" s="23"/>
      <x:c r="I1440" s="23"/>
      <x:c r="J1440" s="23"/>
      <x:c r="K1440" s="23"/>
      <x:c r="L1440" s="24"/>
      <x:c r="M1440" s="23"/>
      <x:c r="N1440" s="23"/>
    </x:row>
    <x:row r="1441" ht="70" customHeight="1">
      <x:c r="A1441" s="9" t="str">
        <x:v>QA-NHD-315</x:v>
      </x:c>
      <x:c r="B1441" s="9" t="str">
        <x:v>NHD</x:v>
      </x:c>
      <x:c r="C1441" s="9" t="str">
        <x:v>ND 03 Fletes y gastos / USD / terceros / R2 Zona franca de Paraguaná / contado</x:v>
      </x:c>
      <x:c r="D1441" s="9" t="str">
        <x:v>P0</x:v>
      </x:c>
      <x:c r="E1441" s="9" t="str">
        <x:v>Positiva</x:v>
      </x:c>
      <x:c r="F1441" s="9" t="str">
        <x:v>Navegador + HTTP + persistencia; Real DEMO y doble identificados por separado</x:v>
      </x:c>
      <x:c r="G1441" s="23" t="str">
        <x:v>Pendiente</x:v>
      </x:c>
      <x:c r="H1441" s="23"/>
      <x:c r="I1441" s="23"/>
      <x:c r="J1441" s="23"/>
      <x:c r="K1441" s="23"/>
      <x:c r="L1441" s="24"/>
      <x:c r="M1441" s="23"/>
      <x:c r="N1441" s="23"/>
    </x:row>
    <x:row r="1442" ht="70" customHeight="1">
      <x:c r="A1442" s="9" t="str">
        <x:v>QA-NHD-316</x:v>
      </x:c>
      <x:c r="B1442" s="9" t="str">
        <x:v>NHD</x:v>
      </x:c>
      <x:c r="C1442" s="9" t="str">
        <x:v>ND 03 Fletes y gastos / USD / terceros / R3 Zona libre de Paraguaná / contado</x:v>
      </x:c>
      <x:c r="D1442" s="9" t="str">
        <x:v>P0</x:v>
      </x:c>
      <x:c r="E1442" s="9" t="str">
        <x:v>Positiva</x:v>
      </x:c>
      <x:c r="F1442" s="9" t="str">
        <x:v>Navegador + HTTP + persistencia; Real DEMO y doble identificados por separado</x:v>
      </x:c>
      <x:c r="G1442" s="23" t="str">
        <x:v>Pendiente</x:v>
      </x:c>
      <x:c r="H1442" s="23"/>
      <x:c r="I1442" s="23"/>
      <x:c r="J1442" s="23"/>
      <x:c r="K1442" s="23"/>
      <x:c r="L1442" s="24"/>
      <x:c r="M1442" s="23"/>
      <x:c r="N1442" s="23"/>
    </x:row>
    <x:row r="1443" ht="70" customHeight="1">
      <x:c r="A1443" s="9" t="str">
        <x:v>QA-NHD-317</x:v>
      </x:c>
      <x:c r="B1443" s="9" t="str">
        <x:v>NHD</x:v>
      </x:c>
      <x:c r="C1443" s="9" t="str">
        <x:v>ND 03 Fletes y gastos / USD / terceros / R4 Puerto libre Santa Elena de Uairén / contado</x:v>
      </x:c>
      <x:c r="D1443" s="9" t="str">
        <x:v>P0</x:v>
      </x:c>
      <x:c r="E1443" s="9" t="str">
        <x:v>Positiva</x:v>
      </x:c>
      <x:c r="F1443" s="9" t="str">
        <x:v>Navegador + HTTP + persistencia; Real DEMO y doble identificados por separado</x:v>
      </x:c>
      <x:c r="G1443" s="23" t="str">
        <x:v>Pendiente</x:v>
      </x:c>
      <x:c r="H1443" s="23"/>
      <x:c r="I1443" s="23"/>
      <x:c r="J1443" s="23"/>
      <x:c r="K1443" s="23"/>
      <x:c r="L1443" s="24"/>
      <x:c r="M1443" s="23"/>
      <x:c r="N1443" s="23"/>
    </x:row>
    <x:row r="1444" ht="70" customHeight="1">
      <x:c r="A1444" s="9" t="str">
        <x:v>QA-NHD-318</x:v>
      </x:c>
      <x:c r="B1444" s="9" t="str">
        <x:v>NHD</x:v>
      </x:c>
      <x:c r="C1444" s="9" t="str">
        <x:v>ND 03 Fletes y gastos / USD / terceros / R5 Zona Libre de Mérida / contado</x:v>
      </x:c>
      <x:c r="D1444" s="9" t="str">
        <x:v>P0</x:v>
      </x:c>
      <x:c r="E1444" s="9" t="str">
        <x:v>Positiva</x:v>
      </x:c>
      <x:c r="F1444" s="9" t="str">
        <x:v>Navegador + HTTP + persistencia; Real DEMO y doble identificados por separado</x:v>
      </x:c>
      <x:c r="G1444" s="23" t="str">
        <x:v>Pendiente</x:v>
      </x:c>
      <x:c r="H1444" s="23"/>
      <x:c r="I1444" s="23"/>
      <x:c r="J1444" s="23"/>
      <x:c r="K1444" s="23"/>
      <x:c r="L1444" s="24"/>
      <x:c r="M1444" s="23"/>
      <x:c r="N1444" s="23"/>
    </x:row>
    <x:row r="1445" ht="70" customHeight="1">
      <x:c r="A1445" s="9" t="str">
        <x:v>QA-NHD-319</x:v>
      </x:c>
      <x:c r="B1445" s="9" t="str">
        <x:v>NHD</x:v>
      </x:c>
      <x:c r="C1445" s="9" t="str">
        <x:v>ND 03 Fletes y gastos / USD / terceros / R6 Puerto libre Estado Nueva Esparta / contado</x:v>
      </x:c>
      <x:c r="D1445" s="9" t="str">
        <x:v>P0</x:v>
      </x:c>
      <x:c r="E1445" s="9" t="str">
        <x:v>Positiva</x:v>
      </x:c>
      <x:c r="F1445" s="9" t="str">
        <x:v>Navegador + HTTP + persistencia; Real DEMO y doble identificados por separado</x:v>
      </x:c>
      <x:c r="G1445" s="23" t="str">
        <x:v>Pendiente</x:v>
      </x:c>
      <x:c r="H1445" s="23"/>
      <x:c r="I1445" s="23"/>
      <x:c r="J1445" s="23"/>
      <x:c r="K1445" s="23"/>
      <x:c r="L1445" s="24"/>
      <x:c r="M1445" s="23"/>
      <x:c r="N1445" s="23"/>
    </x:row>
    <x:row r="1446" ht="70" customHeight="1">
      <x:c r="A1446" s="9" t="str">
        <x:v>QA-NHD-320</x:v>
      </x:c>
      <x:c r="B1446" s="9" t="str">
        <x:v>NHD</x:v>
      </x:c>
      <x:c r="C1446" s="9" t="str">
        <x:v>ND 03 Fletes y gastos / USD / terceros / R7 Dutty Free / contado</x:v>
      </x:c>
      <x:c r="D1446" s="9" t="str">
        <x:v>P0</x:v>
      </x:c>
      <x:c r="E1446" s="9" t="str">
        <x:v>Positiva</x:v>
      </x:c>
      <x:c r="F1446" s="9" t="str">
        <x:v>Navegador + HTTP + persistencia; Real DEMO y doble identificados por separado</x:v>
      </x:c>
      <x:c r="G1446" s="23" t="str">
        <x:v>Pendiente</x:v>
      </x:c>
      <x:c r="H1446" s="23"/>
      <x:c r="I1446" s="23"/>
      <x:c r="J1446" s="23"/>
      <x:c r="K1446" s="23"/>
      <x:c r="L1446" s="24"/>
      <x:c r="M1446" s="23"/>
      <x:c r="N1446" s="23"/>
    </x:row>
    <x:row r="1447" ht="70" customHeight="1">
      <x:c r="A1447" s="9" t="str">
        <x:v>QA-NHD-321</x:v>
      </x:c>
      <x:c r="B1447" s="9" t="str">
        <x:v>NHD</x:v>
      </x:c>
      <x:c r="C1447" s="9" t="str">
        <x:v>Factura sin confirmar bloquea creación</x:v>
      </x:c>
      <x:c r="D1447" s="9" t="str">
        <x:v>P0</x:v>
      </x:c>
      <x:c r="E1447" s="9" t="str">
        <x:v>Negativa/control</x:v>
      </x:c>
      <x:c r="F1447" s="9" t="str">
        <x:v>Navegador + HTTP + persistencia; Real DEMO y doble identificados por separado</x:v>
      </x:c>
      <x:c r="G1447" s="23" t="str">
        <x:v>Pendiente</x:v>
      </x:c>
      <x:c r="H1447" s="23"/>
      <x:c r="I1447" s="23"/>
      <x:c r="J1447" s="23"/>
      <x:c r="K1447" s="23"/>
      <x:c r="L1447" s="24"/>
      <x:c r="M1447" s="23"/>
      <x:c r="N1447" s="23"/>
    </x:row>
    <x:row r="1448" ht="70" customHeight="1">
      <x:c r="A1448" s="9" t="str">
        <x:v>QA-NHD-322</x:v>
      </x:c>
      <x:c r="B1448" s="9" t="str">
        <x:v>NHD</x:v>
      </x:c>
      <x:c r="C1448" s="9" t="str">
        <x:v>Control de referencia contradictorio</x:v>
      </x:c>
      <x:c r="D1448" s="9" t="str">
        <x:v>P0</x:v>
      </x:c>
      <x:c r="E1448" s="9" t="str">
        <x:v>Positiva/regresión</x:v>
      </x:c>
      <x:c r="F1448" s="9" t="str">
        <x:v>Navegador + HTTP + persistencia; Real DEMO y doble identificados por separado</x:v>
      </x:c>
      <x:c r="G1448" s="23" t="str">
        <x:v>Pendiente</x:v>
      </x:c>
      <x:c r="H1448" s="23"/>
      <x:c r="I1448" s="23"/>
      <x:c r="J1448" s="23"/>
      <x:c r="K1448" s="23"/>
      <x:c r="L1448" s="24"/>
      <x:c r="M1448" s="23"/>
      <x:c r="N1448" s="23"/>
    </x:row>
    <x:row r="1449" ht="70" customHeight="1">
      <x:c r="A1449" s="9" t="str">
        <x:v>QA-NHD-323</x:v>
      </x:c>
      <x:c r="B1449" s="9" t="str">
        <x:v>NHD</x:v>
      </x:c>
      <x:c r="C1449" s="9" t="str">
        <x:v>Exportación rechazada para notas</x:v>
      </x:c>
      <x:c r="D1449" s="9" t="str">
        <x:v>P0</x:v>
      </x:c>
      <x:c r="E1449" s="9" t="str">
        <x:v>Negativa/control</x:v>
      </x:c>
      <x:c r="F1449" s="9" t="str">
        <x:v>Navegador + HTTP + persistencia; Real DEMO y doble identificados por separado</x:v>
      </x:c>
      <x:c r="G1449" s="23" t="str">
        <x:v>Pendiente</x:v>
      </x:c>
      <x:c r="H1449" s="23"/>
      <x:c r="I1449" s="23"/>
      <x:c r="J1449" s="23"/>
      <x:c r="K1449" s="23"/>
      <x:c r="L1449" s="24"/>
      <x:c r="M1449" s="23"/>
      <x:c r="N1449" s="23"/>
    </x:row>
    <x:row r="1450" ht="70" customHeight="1">
      <x:c r="A1450" s="9" t="str">
        <x:v>QA-NHD-324</x:v>
      </x:c>
      <x:c r="B1450" s="9" t="str">
        <x:v>NHD</x:v>
      </x:c>
      <x:c r="C1450" s="9" t="str">
        <x:v>Factura anulada rechazada</x:v>
      </x:c>
      <x:c r="D1450" s="9" t="str">
        <x:v>P0</x:v>
      </x:c>
      <x:c r="E1450" s="9" t="str">
        <x:v>Negativa/control</x:v>
      </x:c>
      <x:c r="F1450" s="9" t="str">
        <x:v>Navegador + HTTP + persistencia; Real DEMO y doble identificados por separado</x:v>
      </x:c>
      <x:c r="G1450" s="23" t="str">
        <x:v>Pendiente</x:v>
      </x:c>
      <x:c r="H1450" s="23"/>
      <x:c r="I1450" s="23"/>
      <x:c r="J1450" s="23"/>
      <x:c r="K1450" s="23"/>
      <x:c r="L1450" s="24"/>
      <x:c r="M1450" s="23"/>
      <x:c r="N1450" s="23"/>
    </x:row>
    <x:row r="1451" ht="70" customHeight="1">
      <x:c r="A1451" s="9" t="str">
        <x:v>QA-NHD-325</x:v>
      </x:c>
      <x:c r="B1451" s="9" t="str">
        <x:v>NHD</x:v>
      </x:c>
      <x:c r="C1451" s="9" t="str">
        <x:v>Cliente o sucursal ajenos en referencia</x:v>
      </x:c>
      <x:c r="D1451" s="9" t="str">
        <x:v>P0</x:v>
      </x:c>
      <x:c r="E1451" s="9" t="str">
        <x:v>Negativa/control</x:v>
      </x:c>
      <x:c r="F1451" s="9" t="str">
        <x:v>Navegador + HTTP + persistencia; Real DEMO y doble identificados por separado</x:v>
      </x:c>
      <x:c r="G1451" s="23" t="str">
        <x:v>Pendiente</x:v>
      </x:c>
      <x:c r="H1451" s="23"/>
      <x:c r="I1451" s="23"/>
      <x:c r="J1451" s="23"/>
      <x:c r="K1451" s="23"/>
      <x:c r="L1451" s="24"/>
      <x:c r="M1451" s="23"/>
      <x:c r="N1451" s="23"/>
    </x:row>
    <x:row r="1452" ht="70" customHeight="1">
      <x:c r="A1452" s="9" t="str">
        <x:v>QA-NHD-326</x:v>
      </x:c>
      <x:c r="B1452" s="9" t="str">
        <x:v>NHD</x:v>
      </x:c>
      <x:c r="C1452" s="9" t="str">
        <x:v>Motivo cruzado o inactivo</x:v>
      </x:c>
      <x:c r="D1452" s="9" t="str">
        <x:v>P0</x:v>
      </x:c>
      <x:c r="E1452" s="9" t="str">
        <x:v>Positiva/regresión</x:v>
      </x:c>
      <x:c r="F1452" s="9" t="str">
        <x:v>Navegador + HTTP + persistencia; Real DEMO y doble identificados por separado</x:v>
      </x:c>
      <x:c r="G1452" s="23" t="str">
        <x:v>Pendiente</x:v>
      </x:c>
      <x:c r="H1452" s="23"/>
      <x:c r="I1452" s="23"/>
      <x:c r="J1452" s="23"/>
      <x:c r="K1452" s="23"/>
      <x:c r="L1452" s="24"/>
      <x:c r="M1452" s="23"/>
      <x:c r="N1452" s="23"/>
    </x:row>
    <x:row r="1453" ht="70" customHeight="1">
      <x:c r="A1453" s="9" t="str">
        <x:v>QA-NHD-327</x:v>
      </x:c>
      <x:c r="B1453" s="9" t="str">
        <x:v>NHD</x:v>
      </x:c>
      <x:c r="C1453" s="9" t="str">
        <x:v>NC01 usa sólo remanente</x:v>
      </x:c>
      <x:c r="D1453" s="9" t="str">
        <x:v>P0</x:v>
      </x:c>
      <x:c r="E1453" s="9" t="str">
        <x:v>Positiva/regresión</x:v>
      </x:c>
      <x:c r="F1453" s="9" t="str">
        <x:v>Navegador + HTTP + persistencia; Real DEMO y doble identificados por separado</x:v>
      </x:c>
      <x:c r="G1453" s="23" t="str">
        <x:v>Pendiente</x:v>
      </x:c>
      <x:c r="H1453" s="23"/>
      <x:c r="I1453" s="23"/>
      <x:c r="J1453" s="23"/>
      <x:c r="K1453" s="23"/>
      <x:c r="L1453" s="24"/>
      <x:c r="M1453" s="23"/>
      <x:c r="N1453" s="23"/>
    </x:row>
    <x:row r="1454" ht="70" customHeight="1">
      <x:c r="A1454" s="9" t="str">
        <x:v>QA-NHD-328</x:v>
      </x:c>
      <x:c r="B1454" s="9" t="str">
        <x:v>NHD</x:v>
      </x:c>
      <x:c r="C1454" s="9" t="str">
        <x:v>NC07 no devuelve servicios</x:v>
      </x:c>
      <x:c r="D1454" s="9" t="str">
        <x:v>P0</x:v>
      </x:c>
      <x:c r="E1454" s="9" t="str">
        <x:v>Positiva/regresión</x:v>
      </x:c>
      <x:c r="F1454" s="9" t="str">
        <x:v>Navegador + HTTP + persistencia; Real DEMO y doble identificados por separado</x:v>
      </x:c>
      <x:c r="G1454" s="23" t="str">
        <x:v>Pendiente</x:v>
      </x:c>
      <x:c r="H1454" s="23"/>
      <x:c r="I1454" s="23"/>
      <x:c r="J1454" s="23"/>
      <x:c r="K1454" s="23"/>
      <x:c r="L1454" s="24"/>
      <x:c r="M1454" s="23"/>
      <x:c r="N1454" s="23"/>
    </x:row>
    <x:row r="1455" ht="70" customHeight="1">
      <x:c r="A1455" s="9" t="str">
        <x:v>QA-NHD-329</x:v>
      </x:c>
      <x:c r="B1455" s="9" t="str">
        <x:v>NHD</x:v>
      </x:c>
      <x:c r="C1455" s="9" t="str">
        <x:v>Exceso acumulado de cantidades</x:v>
      </x:c>
      <x:c r="D1455" s="9" t="str">
        <x:v>P0</x:v>
      </x:c>
      <x:c r="E1455" s="9" t="str">
        <x:v>Negativa/control</x:v>
      </x:c>
      <x:c r="F1455" s="9" t="str">
        <x:v>Navegador + HTTP + persistencia; Real DEMO y doble identificados por separado</x:v>
      </x:c>
      <x:c r="G1455" s="23" t="str">
        <x:v>Pendiente</x:v>
      </x:c>
      <x:c r="H1455" s="23"/>
      <x:c r="I1455" s="23"/>
      <x:c r="J1455" s="23"/>
      <x:c r="K1455" s="23"/>
      <x:c r="L1455" s="24"/>
      <x:c r="M1455" s="23"/>
      <x:c r="N1455" s="23"/>
    </x:row>
    <x:row r="1456" ht="70" customHeight="1">
      <x:c r="A1456" s="9" t="str">
        <x:v>QA-NHD-330</x:v>
      </x:c>
      <x:c r="B1456" s="9" t="str">
        <x:v>NHD</x:v>
      </x:c>
      <x:c r="C1456" s="9" t="str">
        <x:v>Exceso acumulado de dinero</x:v>
      </x:c>
      <x:c r="D1456" s="9" t="str">
        <x:v>P0</x:v>
      </x:c>
      <x:c r="E1456" s="9" t="str">
        <x:v>Negativa/control</x:v>
      </x:c>
      <x:c r="F1456" s="9" t="str">
        <x:v>Navegador + HTTP + persistencia; Real DEMO y doble identificados por separado</x:v>
      </x:c>
      <x:c r="G1456" s="23" t="str">
        <x:v>Pendiente</x:v>
      </x:c>
      <x:c r="H1456" s="23"/>
      <x:c r="I1456" s="23"/>
      <x:c r="J1456" s="23"/>
      <x:c r="K1456" s="23"/>
      <x:c r="L1456" s="24"/>
      <x:c r="M1456" s="23"/>
      <x:c r="N1456" s="23"/>
    </x:row>
    <x:row r="1457" ht="70" customHeight="1">
      <x:c r="A1457" s="9" t="str">
        <x:v>QA-NHD-331</x:v>
      </x:c>
      <x:c r="B1457" s="9" t="str">
        <x:v>NHD</x:v>
      </x:c>
      <x:c r="C1457" s="9" t="str">
        <x:v>Partida duplicada en una nota</x:v>
      </x:c>
      <x:c r="D1457" s="9" t="str">
        <x:v>P0</x:v>
      </x:c>
      <x:c r="E1457" s="9" t="str">
        <x:v>Positiva/regresión</x:v>
      </x:c>
      <x:c r="F1457" s="9" t="str">
        <x:v>Navegador + HTTP + persistencia; Real DEMO y doble identificados por separado</x:v>
      </x:c>
      <x:c r="G1457" s="23" t="str">
        <x:v>Pendiente</x:v>
      </x:c>
      <x:c r="H1457" s="23"/>
      <x:c r="I1457" s="23"/>
      <x:c r="J1457" s="23"/>
      <x:c r="K1457" s="23"/>
      <x:c r="L1457" s="24"/>
      <x:c r="M1457" s="23"/>
      <x:c r="N1457" s="23"/>
    </x:row>
    <x:row r="1458" ht="70" customHeight="1">
      <x:c r="A1458" s="9" t="str">
        <x:v>QA-NHD-332</x:v>
      </x:c>
      <x:c r="B1458" s="9" t="str">
        <x:v>NHD</x:v>
      </x:c>
      <x:c r="C1458" s="9" t="str">
        <x:v>Partida de otra factura</x:v>
      </x:c>
      <x:c r="D1458" s="9" t="str">
        <x:v>P0</x:v>
      </x:c>
      <x:c r="E1458" s="9" t="str">
        <x:v>Positiva/regresión</x:v>
      </x:c>
      <x:c r="F1458" s="9" t="str">
        <x:v>Navegador + HTTP + persistencia; Real DEMO y doble identificados por separado</x:v>
      </x:c>
      <x:c r="G1458" s="23" t="str">
        <x:v>Pendiente</x:v>
      </x:c>
      <x:c r="H1458" s="23"/>
      <x:c r="I1458" s="23"/>
      <x:c r="J1458" s="23"/>
      <x:c r="K1458" s="23"/>
      <x:c r="L1458" s="24"/>
      <x:c r="M1458" s="23"/>
      <x:c r="N1458" s="23"/>
    </x:row>
    <x:row r="1459" ht="70" customHeight="1">
      <x:c r="A1459" s="9" t="str">
        <x:v>QA-NHD-333</x:v>
      </x:c>
      <x:c r="B1459" s="9" t="str">
        <x:v>NHD</x:v>
      </x:c>
      <x:c r="C1459" s="9" t="str">
        <x:v>Snapshots y total forjados</x:v>
      </x:c>
      <x:c r="D1459" s="9" t="str">
        <x:v>P0</x:v>
      </x:c>
      <x:c r="E1459" s="9" t="str">
        <x:v>Positiva/regresión</x:v>
      </x:c>
      <x:c r="F1459" s="9" t="str">
        <x:v>Navegador + HTTP + persistencia; Real DEMO y doble identificados por separado</x:v>
      </x:c>
      <x:c r="G1459" s="23" t="str">
        <x:v>Pendiente</x:v>
      </x:c>
      <x:c r="H1459" s="23"/>
      <x:c r="I1459" s="23"/>
      <x:c r="J1459" s="23"/>
      <x:c r="K1459" s="23"/>
      <x:c r="L1459" s="24"/>
      <x:c r="M1459" s="23"/>
      <x:c r="N1459" s="23"/>
    </x:row>
    <x:row r="1460" ht="70" customHeight="1">
      <x:c r="A1460" s="9" t="str">
        <x:v>QA-NHD-334</x:v>
      </x:c>
      <x:c r="B1460" s="9" t="str">
        <x:v>NHD</x:v>
      </x:c>
      <x:c r="C1460" s="9" t="str">
        <x:v>NC conserva tasa histórica</x:v>
      </x:c>
      <x:c r="D1460" s="9" t="str">
        <x:v>P0</x:v>
      </x:c>
      <x:c r="E1460" s="9" t="str">
        <x:v>Positiva/regresión</x:v>
      </x:c>
      <x:c r="F1460" s="9" t="str">
        <x:v>Navegador + HTTP + persistencia; Real DEMO y doble identificados por separado</x:v>
      </x:c>
      <x:c r="G1460" s="23" t="str">
        <x:v>Pendiente</x:v>
      </x:c>
      <x:c r="H1460" s="23"/>
      <x:c r="I1460" s="23"/>
      <x:c r="J1460" s="23"/>
      <x:c r="K1460" s="23"/>
      <x:c r="L1460" s="24"/>
      <x:c r="M1460" s="23"/>
      <x:c r="N1460" s="23"/>
    </x:row>
    <x:row r="1461" ht="70" customHeight="1">
      <x:c r="A1461" s="9" t="str">
        <x:v>QA-NHD-335</x:v>
      </x:c>
      <x:c r="B1461" s="9" t="str">
        <x:v>NHD</x:v>
      </x:c>
      <x:c r="C1461" s="9" t="str">
        <x:v>ND toma tasa propia sin alterar referencia</x:v>
      </x:c>
      <x:c r="D1461" s="9" t="str">
        <x:v>P0</x:v>
      </x:c>
      <x:c r="E1461" s="9" t="str">
        <x:v>Negativa/control</x:v>
      </x:c>
      <x:c r="F1461" s="9" t="str">
        <x:v>Navegador + HTTP + persistencia; Real DEMO y doble identificados por separado</x:v>
      </x:c>
      <x:c r="G1461" s="23" t="str">
        <x:v>Pendiente</x:v>
      </x:c>
      <x:c r="H1461" s="23"/>
      <x:c r="I1461" s="23"/>
      <x:c r="J1461" s="23"/>
      <x:c r="K1461" s="23"/>
      <x:c r="L1461" s="24"/>
      <x:c r="M1461" s="23"/>
      <x:c r="N1461" s="23"/>
    </x:row>
    <x:row r="1462" ht="70" customHeight="1">
      <x:c r="A1462" s="9" t="str">
        <x:v>QA-NHD-336</x:v>
      </x:c>
      <x:c r="B1462" s="9" t="str">
        <x:v>NHD</x:v>
      </x:c>
      <x:c r="C1462" s="9" t="str">
        <x:v>NC repartición de descuentos y cargos</x:v>
      </x:c>
      <x:c r="D1462" s="9" t="str">
        <x:v>P0</x:v>
      </x:c>
      <x:c r="E1462" s="9" t="str">
        <x:v>Positiva/regresión</x:v>
      </x:c>
      <x:c r="F1462" s="9" t="str">
        <x:v>Navegador + HTTP + persistencia; Real DEMO y doble identificados por separado</x:v>
      </x:c>
      <x:c r="G1462" s="23" t="str">
        <x:v>Pendiente</x:v>
      </x:c>
      <x:c r="H1462" s="23"/>
      <x:c r="I1462" s="23"/>
      <x:c r="J1462" s="23"/>
      <x:c r="K1462" s="23"/>
      <x:c r="L1462" s="24"/>
      <x:c r="M1462" s="23"/>
      <x:c r="N1462" s="23"/>
    </x:row>
    <x:row r="1463" ht="70" customHeight="1">
      <x:c r="A1463" s="9" t="str">
        <x:v>QA-NHD-337</x:v>
      </x:c>
      <x:c r="B1463" s="9" t="str">
        <x:v>NHD</x:v>
      </x:c>
      <x:c r="C1463" s="9" t="str">
        <x:v>Centavos acumulados no se pierden</x:v>
      </x:c>
      <x:c r="D1463" s="9" t="str">
        <x:v>P0</x:v>
      </x:c>
      <x:c r="E1463" s="9" t="str">
        <x:v>Positiva/regresión</x:v>
      </x:c>
      <x:c r="F1463" s="9" t="str">
        <x:v>Navegador + HTTP + persistencia; Real DEMO y doble identificados por separado</x:v>
      </x:c>
      <x:c r="G1463" s="23" t="str">
        <x:v>Pendiente</x:v>
      </x:c>
      <x:c r="H1463" s="23"/>
      <x:c r="I1463" s="23"/>
      <x:c r="J1463" s="23"/>
      <x:c r="K1463" s="23"/>
      <x:c r="L1463" s="24"/>
      <x:c r="M1463" s="23"/>
      <x:c r="N1463" s="23"/>
    </x:row>
    <x:row r="1464" ht="70" customHeight="1">
      <x:c r="A1464" s="9" t="str">
        <x:v>QA-NHD-338</x:v>
      </x:c>
      <x:c r="B1464" s="9" t="str">
        <x:v>NHD</x:v>
      </x:c>
      <x:c r="C1464" s="9" t="str">
        <x:v>NC pack mutable conserva componentes</x:v>
      </x:c>
      <x:c r="D1464" s="9" t="str">
        <x:v>P0</x:v>
      </x:c>
      <x:c r="E1464" s="9" t="str">
        <x:v>Positiva/regresión</x:v>
      </x:c>
      <x:c r="F1464" s="9" t="str">
        <x:v>Navegador + HTTP + persistencia; Real DEMO y doble identificados por separado</x:v>
      </x:c>
      <x:c r="G1464" s="23" t="str">
        <x:v>Pendiente</x:v>
      </x:c>
      <x:c r="H1464" s="23"/>
      <x:c r="I1464" s="23"/>
      <x:c r="J1464" s="23"/>
      <x:c r="K1464" s="23"/>
      <x:c r="L1464" s="24"/>
      <x:c r="M1464" s="23"/>
      <x:c r="N1464" s="23"/>
    </x:row>
    <x:row r="1465" ht="70" customHeight="1">
      <x:c r="A1465" s="9" t="str">
        <x:v>QA-NHD-339</x:v>
      </x:c>
      <x:c r="B1465" s="9" t="str">
        <x:v>NHD</x:v>
      </x:c>
      <x:c r="C1465" s="9" t="str">
        <x:v>NC presentación histórica</x:v>
      </x:c>
      <x:c r="D1465" s="9" t="str">
        <x:v>P0</x:v>
      </x:c>
      <x:c r="E1465" s="9" t="str">
        <x:v>Positiva/regresión</x:v>
      </x:c>
      <x:c r="F1465" s="9" t="str">
        <x:v>Navegador + HTTP + persistencia; Real DEMO y doble identificados por separado</x:v>
      </x:c>
      <x:c r="G1465" s="23" t="str">
        <x:v>Pendiente</x:v>
      </x:c>
      <x:c r="H1465" s="23"/>
      <x:c r="I1465" s="23"/>
      <x:c r="J1465" s="23"/>
      <x:c r="K1465" s="23"/>
      <x:c r="L1465" s="24"/>
      <x:c r="M1465" s="23"/>
      <x:c r="N1465" s="23"/>
    </x:row>
    <x:row r="1466" ht="70" customHeight="1">
      <x:c r="A1466" s="9" t="str">
        <x:v>QA-NHD-340</x:v>
      </x:c>
      <x:c r="B1466" s="9" t="str">
        <x:v>NHD</x:v>
      </x:c>
      <x:c r="C1466" s="9" t="str">
        <x:v>Serial ya devuelto bloquea NC</x:v>
      </x:c>
      <x:c r="D1466" s="9" t="str">
        <x:v>P0</x:v>
      </x:c>
      <x:c r="E1466" s="9" t="str">
        <x:v>Negativa/control</x:v>
      </x:c>
      <x:c r="F1466" s="9" t="str">
        <x:v>Navegador + HTTP + persistencia; Real DEMO y doble identificados por separado</x:v>
      </x:c>
      <x:c r="G1466" s="23" t="str">
        <x:v>Pendiente</x:v>
      </x:c>
      <x:c r="H1466" s="23"/>
      <x:c r="I1466" s="23"/>
      <x:c r="J1466" s="23"/>
      <x:c r="K1466" s="23"/>
      <x:c r="L1466" s="24"/>
      <x:c r="M1466" s="23"/>
      <x:c r="N1466" s="23"/>
    </x:row>
    <x:row r="1467" ht="70" customHeight="1">
      <x:c r="A1467" s="9" t="str">
        <x:v>QA-NHD-341</x:v>
      </x:c>
      <x:c r="B1467" s="9" t="str">
        <x:v>NHD</x:v>
      </x:c>
      <x:c r="C1467" s="9" t="str">
        <x:v>NC lotes originales</x:v>
      </x:c>
      <x:c r="D1467" s="9" t="str">
        <x:v>P0</x:v>
      </x:c>
      <x:c r="E1467" s="9" t="str">
        <x:v>Positiva/regresión</x:v>
      </x:c>
      <x:c r="F1467" s="9" t="str">
        <x:v>Navegador + HTTP + persistencia; Real DEMO y doble identificados por separado</x:v>
      </x:c>
      <x:c r="G1467" s="23" t="str">
        <x:v>Pendiente</x:v>
      </x:c>
      <x:c r="H1467" s="23"/>
      <x:c r="I1467" s="23"/>
      <x:c r="J1467" s="23"/>
      <x:c r="K1467" s="23"/>
      <x:c r="L1467" s="24"/>
      <x:c r="M1467" s="23"/>
      <x:c r="N1467" s="23"/>
    </x:row>
    <x:row r="1468" ht="70" customHeight="1">
      <x:c r="A1468" s="9" t="str">
        <x:v>QA-NHD-342</x:v>
      </x:c>
      <x:c r="B1468" s="9" t="str">
        <x:v>NHD</x:v>
      </x:c>
      <x:c r="C1468" s="9" t="str">
        <x:v>Fallo de almacén revierte nota</x:v>
      </x:c>
      <x:c r="D1468" s="9" t="str">
        <x:v>P0</x:v>
      </x:c>
      <x:c r="E1468" s="9" t="str">
        <x:v>Positiva/regresión</x:v>
      </x:c>
      <x:c r="F1468" s="9" t="str">
        <x:v>Navegador + HTTP + persistencia; Real DEMO y doble identificados por separado</x:v>
      </x:c>
      <x:c r="G1468" s="23" t="str">
        <x:v>Pendiente</x:v>
      </x:c>
      <x:c r="H1468" s="23"/>
      <x:c r="I1468" s="23"/>
      <x:c r="J1468" s="23"/>
      <x:c r="K1468" s="23"/>
      <x:c r="L1468" s="24"/>
      <x:c r="M1468" s="23"/>
      <x:c r="N1468" s="23"/>
    </x:row>
    <x:row r="1469" ht="70" customHeight="1">
      <x:c r="A1469" s="9" t="str">
        <x:v>QA-NHD-343</x:v>
      </x:c>
      <x:c r="B1469" s="9" t="str">
        <x:v>NHD</x:v>
      </x:c>
      <x:c r="C1469" s="9" t="str">
        <x:v>UUID replay idéntico</x:v>
      </x:c>
      <x:c r="D1469" s="9" t="str">
        <x:v>P0</x:v>
      </x:c>
      <x:c r="E1469" s="9" t="str">
        <x:v>Positiva/regresión</x:v>
      </x:c>
      <x:c r="F1469" s="9" t="str">
        <x:v>Navegador + HTTP + persistencia; Real DEMO y doble identificados por separado</x:v>
      </x:c>
      <x:c r="G1469" s="23" t="str">
        <x:v>Pendiente</x:v>
      </x:c>
      <x:c r="H1469" s="23"/>
      <x:c r="I1469" s="23"/>
      <x:c r="J1469" s="23"/>
      <x:c r="K1469" s="23"/>
      <x:c r="L1469" s="24"/>
      <x:c r="M1469" s="23"/>
      <x:c r="N1469" s="23"/>
    </x:row>
    <x:row r="1470" ht="70" customHeight="1">
      <x:c r="A1470" s="9" t="str">
        <x:v>QA-NHD-344</x:v>
      </x:c>
      <x:c r="B1470" s="9" t="str">
        <x:v>NHD</x:v>
      </x:c>
      <x:c r="C1470" s="9" t="str">
        <x:v>UUID colisión cambia datos</x:v>
      </x:c>
      <x:c r="D1470" s="9" t="str">
        <x:v>P0</x:v>
      </x:c>
      <x:c r="E1470" s="9" t="str">
        <x:v>Positiva/regresión</x:v>
      </x:c>
      <x:c r="F1470" s="9" t="str">
        <x:v>Navegador + HTTP + persistencia; Real DEMO y doble identificados por separado</x:v>
      </x:c>
      <x:c r="G1470" s="23" t="str">
        <x:v>Pendiente</x:v>
      </x:c>
      <x:c r="H1470" s="23"/>
      <x:c r="I1470" s="23"/>
      <x:c r="J1470" s="23"/>
      <x:c r="K1470" s="23"/>
      <x:c r="L1470" s="24"/>
      <x:c r="M1470" s="23"/>
      <x:c r="N1470" s="23"/>
    </x:row>
    <x:row r="1471" ht="70" customHeight="1">
      <x:c r="A1471" s="9" t="str">
        <x:v>QA-NHD-345</x:v>
      </x:c>
      <x:c r="B1471" s="9" t="str">
        <x:v>NHD</x:v>
      </x:c>
      <x:c r="C1471" s="9" t="str">
        <x:v>Dos NC concurrentes compiten por remanente</x:v>
      </x:c>
      <x:c r="D1471" s="9" t="str">
        <x:v>P0</x:v>
      </x:c>
      <x:c r="E1471" s="9" t="str">
        <x:v>Positiva/regresión</x:v>
      </x:c>
      <x:c r="F1471" s="9" t="str">
        <x:v>Navegador + HTTP + persistencia; Real DEMO y doble identificados por separado</x:v>
      </x:c>
      <x:c r="G1471" s="23" t="str">
        <x:v>Pendiente</x:v>
      </x:c>
      <x:c r="H1471" s="23"/>
      <x:c r="I1471" s="23"/>
      <x:c r="J1471" s="23"/>
      <x:c r="K1471" s="23"/>
      <x:c r="L1471" s="24"/>
      <x:c r="M1471" s="23"/>
      <x:c r="N1471" s="23"/>
    </x:row>
    <x:row r="1472" ht="70" customHeight="1">
      <x:c r="A1472" s="9" t="str">
        <x:v>QA-NHD-346</x:v>
      </x:c>
      <x:c r="B1472" s="9" t="str">
        <x:v>NHD</x:v>
      </x:c>
      <x:c r="C1472" s="9" t="str">
        <x:v>ND crédito con abono real</x:v>
      </x:c>
      <x:c r="D1472" s="9" t="str">
        <x:v>P0</x:v>
      </x:c>
      <x:c r="E1472" s="9" t="str">
        <x:v>Positiva/regresión</x:v>
      </x:c>
      <x:c r="F1472" s="9" t="str">
        <x:v>Navegador + HTTP + persistencia; Real DEMO y doble identificados por separado</x:v>
      </x:c>
      <x:c r="G1472" s="23" t="str">
        <x:v>Pendiente</x:v>
      </x:c>
      <x:c r="H1472" s="23"/>
      <x:c r="I1472" s="23"/>
      <x:c r="J1472" s="23"/>
      <x:c r="K1472" s="23"/>
      <x:c r="L1472" s="24"/>
      <x:c r="M1472" s="23"/>
      <x:c r="N1472" s="23"/>
    </x:row>
    <x:row r="1473" ht="70" customHeight="1">
      <x:c r="A1473" s="9" t="str">
        <x:v>QA-NHD-347</x:v>
      </x:c>
      <x:c r="B1473" s="9" t="str">
        <x:v>NHD</x:v>
      </x:c>
      <x:c r="C1473" s="9" t="str">
        <x:v>ND USD con abono VES</x:v>
      </x:c>
      <x:c r="D1473" s="9" t="str">
        <x:v>P0</x:v>
      </x:c>
      <x:c r="E1473" s="9" t="str">
        <x:v>Positiva/regresión</x:v>
      </x:c>
      <x:c r="F1473" s="9" t="str">
        <x:v>Navegador + HTTP + persistencia; Real DEMO y doble identificados por separado</x:v>
      </x:c>
      <x:c r="G1473" s="23" t="str">
        <x:v>Pendiente</x:v>
      </x:c>
      <x:c r="H1473" s="23"/>
      <x:c r="I1473" s="23"/>
      <x:c r="J1473" s="23"/>
      <x:c r="K1473" s="23"/>
      <x:c r="L1473" s="24"/>
      <x:c r="M1473" s="23"/>
      <x:c r="N1473" s="23"/>
    </x:row>
    <x:row r="1474" ht="70" customHeight="1">
      <x:c r="A1474" s="9" t="str">
        <x:v>QA-NHD-348</x:v>
      </x:c>
      <x:c r="B1474" s="9" t="str">
        <x:v>NHD</x:v>
      </x:c>
      <x:c r="C1474" s="9" t="str">
        <x:v>ND VES con abono USD</x:v>
      </x:c>
      <x:c r="D1474" s="9" t="str">
        <x:v>P0</x:v>
      </x:c>
      <x:c r="E1474" s="9" t="str">
        <x:v>Positiva/regresión</x:v>
      </x:c>
      <x:c r="F1474" s="9" t="str">
        <x:v>Navegador + HTTP + persistencia; Real DEMO y doble identificados por separado</x:v>
      </x:c>
      <x:c r="G1474" s="23" t="str">
        <x:v>Pendiente</x:v>
      </x:c>
      <x:c r="H1474" s="23"/>
      <x:c r="I1474" s="23"/>
      <x:c r="J1474" s="23"/>
      <x:c r="K1474" s="23"/>
      <x:c r="L1474" s="24"/>
      <x:c r="M1474" s="23"/>
      <x:c r="N1474" s="23"/>
    </x:row>
    <x:row r="1475" ht="70" customHeight="1">
      <x:c r="A1475" s="9" t="str">
        <x:v>QA-NHD-349</x:v>
      </x:c>
      <x:c r="B1475" s="9" t="str">
        <x:v>NHD</x:v>
      </x:c>
      <x:c r="C1475" s="9" t="str">
        <x:v>Conversión con complemento de centavo</x:v>
      </x:c>
      <x:c r="D1475" s="9" t="str">
        <x:v>P0</x:v>
      </x:c>
      <x:c r="E1475" s="9" t="str">
        <x:v>Positiva/regresión</x:v>
      </x:c>
      <x:c r="F1475" s="9" t="str">
        <x:v>Navegador + HTTP + persistencia; Real DEMO y doble identificados por separado</x:v>
      </x:c>
      <x:c r="G1475" s="23" t="str">
        <x:v>Pendiente</x:v>
      </x:c>
      <x:c r="H1475" s="23"/>
      <x:c r="I1475" s="23"/>
      <x:c r="J1475" s="23"/>
      <x:c r="K1475" s="23"/>
      <x:c r="L1475" s="24"/>
      <x:c r="M1475" s="23"/>
      <x:c r="N1475" s="23"/>
    </x:row>
    <x:row r="1476" ht="70" customHeight="1">
      <x:c r="A1476" s="9" t="str">
        <x:v>QA-NHD-350</x:v>
      </x:c>
      <x:c r="B1476" s="9" t="str">
        <x:v>NHD</x:v>
      </x:c>
      <x:c r="C1476" s="9" t="str">
        <x:v>Contado incompleto bloquea ND</x:v>
      </x:c>
      <x:c r="D1476" s="9" t="str">
        <x:v>P0</x:v>
      </x:c>
      <x:c r="E1476" s="9" t="str">
        <x:v>Negativa/control</x:v>
      </x:c>
      <x:c r="F1476" s="9" t="str">
        <x:v>Navegador + HTTP + persistencia; Real DEMO y doble identificados por separado</x:v>
      </x:c>
      <x:c r="G1476" s="23" t="str">
        <x:v>Pendiente</x:v>
      </x:c>
      <x:c r="H1476" s="23"/>
      <x:c r="I1476" s="23"/>
      <x:c r="J1476" s="23"/>
      <x:c r="K1476" s="23"/>
      <x:c r="L1476" s="24"/>
      <x:c r="M1476" s="23"/>
      <x:c r="N1476" s="23"/>
    </x:row>
    <x:row r="1477" ht="70" customHeight="1">
      <x:c r="A1477" s="9" t="str">
        <x:v>QA-NHD-351</x:v>
      </x:c>
      <x:c r="B1477" s="9" t="str">
        <x:v>NHD</x:v>
      </x:c>
      <x:c r="C1477" s="9" t="str">
        <x:v>Medio is_credit no es cobro contado</x:v>
      </x:c>
      <x:c r="D1477" s="9" t="str">
        <x:v>P0</x:v>
      </x:c>
      <x:c r="E1477" s="9" t="str">
        <x:v>Positiva/regresión</x:v>
      </x:c>
      <x:c r="F1477" s="9" t="str">
        <x:v>Navegador + HTTP + persistencia; Real DEMO y doble identificados por separado</x:v>
      </x:c>
      <x:c r="G1477" s="23" t="str">
        <x:v>Pendiente</x:v>
      </x:c>
      <x:c r="H1477" s="23"/>
      <x:c r="I1477" s="23"/>
      <x:c r="J1477" s="23"/>
      <x:c r="K1477" s="23"/>
      <x:c r="L1477" s="24"/>
      <x:c r="M1477" s="23"/>
      <x:c r="N1477" s="23"/>
    </x:row>
    <x:row r="1478" ht="70" customHeight="1">
      <x:c r="A1478" s="9" t="str">
        <x:v>QA-NHD-352</x:v>
      </x:c>
      <x:c r="B1478" s="9" t="str">
        <x:v>NHD</x:v>
      </x:c>
      <x:c r="C1478" s="9" t="str">
        <x:v>NC rechaza pagos propios</x:v>
      </x:c>
      <x:c r="D1478" s="9" t="str">
        <x:v>P0</x:v>
      </x:c>
      <x:c r="E1478" s="9" t="str">
        <x:v>Negativa/control</x:v>
      </x:c>
      <x:c r="F1478" s="9" t="str">
        <x:v>Navegador + HTTP + persistencia; Real DEMO y doble identificados por separado</x:v>
      </x:c>
      <x:c r="G1478" s="23" t="str">
        <x:v>Pendiente</x:v>
      </x:c>
      <x:c r="H1478" s="23"/>
      <x:c r="I1478" s="23"/>
      <x:c r="J1478" s="23"/>
      <x:c r="K1478" s="23"/>
      <x:c r="L1478" s="24"/>
      <x:c r="M1478" s="23"/>
      <x:c r="N1478" s="23"/>
    </x:row>
    <x:row r="1479" ht="70" customHeight="1">
      <x:c r="A1479" s="9" t="str">
        <x:v>QA-NHD-353</x:v>
      </x:c>
      <x:c r="B1479" s="9" t="str">
        <x:v>NHD</x:v>
      </x:c>
      <x:c r="C1479" s="9" t="str">
        <x:v>Emitir después del commit exterior</x:v>
      </x:c>
      <x:c r="D1479" s="9" t="str">
        <x:v>P0</x:v>
      </x:c>
      <x:c r="E1479" s="9" t="str">
        <x:v>Positiva/regresión</x:v>
      </x:c>
      <x:c r="F1479" s="9" t="str">
        <x:v>Navegador + HTTP + persistencia; Real DEMO y doble identificados por separado</x:v>
      </x:c>
      <x:c r="G1479" s="23" t="str">
        <x:v>Pendiente</x:v>
      </x:c>
      <x:c r="H1479" s="23"/>
      <x:c r="I1479" s="23"/>
      <x:c r="J1479" s="23"/>
      <x:c r="K1479" s="23"/>
      <x:c r="L1479" s="24"/>
      <x:c r="M1479" s="23"/>
      <x:c r="N1479" s="23"/>
    </x:row>
    <x:row r="1480" ht="70" customHeight="1">
      <x:c r="A1480" s="9" t="str">
        <x:v>QA-NHD-354</x:v>
      </x:c>
      <x:c r="B1480" s="9" t="str">
        <x:v>NHD</x:v>
      </x:c>
      <x:c r="C1480" s="9" t="str">
        <x:v>Rollback exterior sin HTTP</x:v>
      </x:c>
      <x:c r="D1480" s="9" t="str">
        <x:v>P0</x:v>
      </x:c>
      <x:c r="E1480" s="9" t="str">
        <x:v>Negativa/control</x:v>
      </x:c>
      <x:c r="F1480" s="9" t="str">
        <x:v>Navegador + HTTP + persistencia; Real DEMO y doble identificados por separado</x:v>
      </x:c>
      <x:c r="G1480" s="23" t="str">
        <x:v>Pendiente</x:v>
      </x:c>
      <x:c r="H1480" s="23"/>
      <x:c r="I1480" s="23"/>
      <x:c r="J1480" s="23"/>
      <x:c r="K1480" s="23"/>
      <x:c r="L1480" s="24"/>
      <x:c r="M1480" s="23"/>
      <x:c r="N1480" s="23"/>
    </x:row>
    <x:row r="1481" ht="70" customHeight="1">
      <x:c r="A1481" s="9" t="str">
        <x:v>QA-NHD-355</x:v>
      </x:c>
      <x:c r="B1481" s="9" t="str">
        <x:v>NHD</x:v>
      </x:c>
      <x:c r="C1481" s="9" t="str">
        <x:v>Rechazo definitivo conserva efectos</x:v>
      </x:c>
      <x:c r="D1481" s="9" t="str">
        <x:v>P0</x:v>
      </x:c>
      <x:c r="E1481" s="9" t="str">
        <x:v>Negativa/control</x:v>
      </x:c>
      <x:c r="F1481" s="9" t="str">
        <x:v>Navegador + HTTP + persistencia; Real DEMO y doble identificados por separado</x:v>
      </x:c>
      <x:c r="G1481" s="23" t="str">
        <x:v>Pendiente</x:v>
      </x:c>
      <x:c r="H1481" s="23"/>
      <x:c r="I1481" s="23"/>
      <x:c r="J1481" s="23"/>
      <x:c r="K1481" s="23"/>
      <x:c r="L1481" s="24"/>
      <x:c r="M1481" s="23"/>
      <x:c r="N1481" s="23"/>
    </x:row>
    <x:row r="1482" ht="70" customHeight="1">
      <x:c r="A1482" s="9" t="str">
        <x:v>QA-NHD-356</x:v>
      </x:c>
      <x:c r="B1482" s="9" t="str">
        <x:v>NHD</x:v>
      </x:c>
      <x:c r="C1482" s="9" t="str">
        <x:v>Timeout concilia misma identidad</x:v>
      </x:c>
      <x:c r="D1482" s="9" t="str">
        <x:v>P0</x:v>
      </x:c>
      <x:c r="E1482" s="9" t="str">
        <x:v>Negativa/control</x:v>
      </x:c>
      <x:c r="F1482" s="9" t="str">
        <x:v>Navegador + HTTP + persistencia; Real DEMO y doble identificados por separado</x:v>
      </x:c>
      <x:c r="G1482" s="23" t="str">
        <x:v>Pendiente</x:v>
      </x:c>
      <x:c r="H1482" s="23"/>
      <x:c r="I1482" s="23"/>
      <x:c r="J1482" s="23"/>
      <x:c r="K1482" s="23"/>
      <x:c r="L1482" s="24"/>
      <x:c r="M1482" s="23"/>
      <x:c r="N1482" s="23"/>
    </x:row>
    <x:row r="1483" ht="70" customHeight="1">
      <x:c r="A1483" s="9" t="str">
        <x:v>QA-NHD-357</x:v>
      </x:c>
      <x:c r="B1483" s="9" t="str">
        <x:v>NHD</x:v>
      </x:c>
      <x:c r="C1483" s="9" t="str">
        <x:v>Consulta temprana protegida</x:v>
      </x:c>
      <x:c r="D1483" s="9" t="str">
        <x:v>P0</x:v>
      </x:c>
      <x:c r="E1483" s="9" t="str">
        <x:v>Positiva/regresión</x:v>
      </x:c>
      <x:c r="F1483" s="9" t="str">
        <x:v>Navegador + HTTP + persistencia; Real DEMO y doble identificados por separado</x:v>
      </x:c>
      <x:c r="G1483" s="23" t="str">
        <x:v>Pendiente</x:v>
      </x:c>
      <x:c r="H1483" s="23"/>
      <x:c r="I1483" s="23"/>
      <x:c r="J1483" s="23"/>
      <x:c r="K1483" s="23"/>
      <x:c r="L1483" s="24"/>
      <x:c r="M1483" s="23"/>
      <x:c r="N1483" s="23"/>
    </x:row>
    <x:row r="1484" ht="70" customHeight="1">
      <x:c r="A1484" s="9" t="str">
        <x:v>QA-NHD-358</x:v>
      </x:c>
      <x:c r="B1484" s="9" t="str">
        <x:v>NHD</x:v>
      </x:c>
      <x:c r="C1484" s="9" t="str">
        <x:v>Respuesta obsoleta tras cambiar documento</x:v>
      </x:c>
      <x:c r="D1484" s="9" t="str">
        <x:v>P0</x:v>
      </x:c>
      <x:c r="E1484" s="9" t="str">
        <x:v>Negativa/control</x:v>
      </x:c>
      <x:c r="F1484" s="9" t="str">
        <x:v>Navegador + HTTP + persistencia; Real DEMO y doble identificados por separado</x:v>
      </x:c>
      <x:c r="G1484" s="23" t="str">
        <x:v>Pendiente</x:v>
      </x:c>
      <x:c r="H1484" s="23"/>
      <x:c r="I1484" s="23"/>
      <x:c r="J1484" s="23"/>
      <x:c r="K1484" s="23"/>
      <x:c r="L1484" s="24"/>
      <x:c r="M1484" s="23"/>
      <x:c r="N1484" s="23"/>
    </x:row>
    <x:row r="1485" ht="70" customHeight="1">
      <x:c r="A1485" s="9" t="str">
        <x:v>QA-NHD-359</x:v>
      </x:c>
      <x:c r="B1485" s="9" t="str">
        <x:v>NHD</x:v>
      </x:c>
      <x:c r="C1485" s="9" t="str">
        <x:v>Original A4 omitido no se reconstruye</x:v>
      </x:c>
      <x:c r="D1485" s="9" t="str">
        <x:v>P0</x:v>
      </x:c>
      <x:c r="E1485" s="9" t="str">
        <x:v>Positiva/regresión</x:v>
      </x:c>
      <x:c r="F1485" s="9" t="str">
        <x:v>Navegador + HTTP + persistencia; Real DEMO y doble identificados por separado</x:v>
      </x:c>
      <x:c r="G1485" s="23" t="str">
        <x:v>Pendiente</x:v>
      </x:c>
      <x:c r="H1485" s="23"/>
      <x:c r="I1485" s="23"/>
      <x:c r="J1485" s="23"/>
      <x:c r="K1485" s="23"/>
      <x:c r="L1485" s="24"/>
      <x:c r="M1485" s="23"/>
      <x:c r="N1485" s="23"/>
    </x:row>
    <x:row r="1486" ht="70" customHeight="1">
      <x:c r="A1486" s="9" t="str">
        <x:v>QA-NHD-360</x:v>
      </x:c>
      <x:c r="B1486" s="9" t="str">
        <x:v>NHD</x:v>
      </x:c>
      <x:c r="C1486" s="9" t="str">
        <x:v>Ticket requiere URL verificada</x:v>
      </x:c>
      <x:c r="D1486" s="9" t="str">
        <x:v>P0</x:v>
      </x:c>
      <x:c r="E1486" s="9" t="str">
        <x:v>Positiva/regresión</x:v>
      </x:c>
      <x:c r="F1486" s="9" t="str">
        <x:v>Navegador + HTTP + persistencia; Real DEMO y doble identificados por separado</x:v>
      </x:c>
      <x:c r="G1486" s="23" t="str">
        <x:v>Pendiente</x:v>
      </x:c>
      <x:c r="H1486" s="23"/>
      <x:c r="I1486" s="23"/>
      <x:c r="J1486" s="23"/>
      <x:c r="K1486" s="23"/>
      <x:c r="L1486" s="24"/>
      <x:c r="M1486" s="23"/>
      <x:c r="N1486" s="23"/>
    </x:row>
    <x:row r="1487" ht="70" customHeight="1">
      <x:c r="A1487" s="9" t="str">
        <x:v>QA-NHD-361</x:v>
      </x:c>
      <x:c r="B1487" s="9" t="str">
        <x:v>NHD</x:v>
      </x:c>
      <x:c r="C1487" s="9" t="str">
        <x:v>Correo falla sin degradación</x:v>
      </x:c>
      <x:c r="D1487" s="9" t="str">
        <x:v>P0</x:v>
      </x:c>
      <x:c r="E1487" s="9" t="str">
        <x:v>Negativa/control</x:v>
      </x:c>
      <x:c r="F1487" s="9" t="str">
        <x:v>Navegador + HTTP + persistencia; Real DEMO y doble identificados por separado</x:v>
      </x:c>
      <x:c r="G1487" s="23" t="str">
        <x:v>Pendiente</x:v>
      </x:c>
      <x:c r="H1487" s="23"/>
      <x:c r="I1487" s="23"/>
      <x:c r="J1487" s="23"/>
      <x:c r="K1487" s="23"/>
      <x:c r="L1487" s="24"/>
      <x:c r="M1487" s="23"/>
      <x:c r="N1487" s="23"/>
    </x:row>
    <x:row r="1488" ht="70" customHeight="1">
      <x:c r="A1488" s="9" t="str">
        <x:v>QA-NHD-362</x:v>
      </x:c>
      <x:c r="B1488" s="9" t="str">
        <x:v>NHD</x:v>
      </x:c>
      <x:c r="C1488" s="9" t="str">
        <x:v>IGTF98 dependiente de ND con régimen bloqueado</x:v>
      </x:c>
      <x:c r="D1488" s="9" t="str">
        <x:v>P0</x:v>
      </x:c>
      <x:c r="E1488" s="9" t="str">
        <x:v>Negativa/control</x:v>
      </x:c>
      <x:c r="F1488" s="9" t="str">
        <x:v>Navegador + HTTP + persistencia; Real DEMO y doble identificados por separado</x:v>
      </x:c>
      <x:c r="G1488" s="23" t="str">
        <x:v>Pendiente</x:v>
      </x:c>
      <x:c r="H1488" s="23"/>
      <x:c r="I1488" s="23"/>
      <x:c r="J1488" s="23"/>
      <x:c r="K1488" s="23"/>
      <x:c r="L1488" s="24"/>
      <x:c r="M1488" s="23"/>
      <x:c r="N1488" s="23"/>
    </x:row>
    <x:row r="1489" ht="70" customHeight="1">
      <x:c r="A1489" s="9" t="str">
        <x:v>QA-NRF-001</x:v>
      </x:c>
      <x:c r="B1489" s="9" t="str">
        <x:v>NRF</x:v>
      </x:c>
      <x:c r="C1489" s="9" t="str">
        <x:v>Devolución parcial VES</x:v>
      </x:c>
      <x:c r="D1489" s="9" t="str">
        <x:v>P0</x:v>
      </x:c>
      <x:c r="E1489" s="9" t="str">
        <x:v>Positiva/regresión</x:v>
      </x:c>
      <x:c r="F1489" s="9" t="str">
        <x:v>Navegador + HTTP + persistencia; Real DEMO y doble identificados por separado</x:v>
      </x:c>
      <x:c r="G1489" s="23" t="str">
        <x:v>Pendiente</x:v>
      </x:c>
      <x:c r="H1489" s="23"/>
      <x:c r="I1489" s="23"/>
      <x:c r="J1489" s="23"/>
      <x:c r="K1489" s="23"/>
      <x:c r="L1489" s="24"/>
      <x:c r="M1489" s="23"/>
      <x:c r="N1489" s="23"/>
    </x:row>
    <x:row r="1490" ht="70" customHeight="1">
      <x:c r="A1490" s="9" t="str">
        <x:v>QA-NRF-002</x:v>
      </x:c>
      <x:c r="B1490" s="9" t="str">
        <x:v>NRF</x:v>
      </x:c>
      <x:c r="C1490" s="9" t="str">
        <x:v>Devolución total VES</x:v>
      </x:c>
      <x:c r="D1490" s="9" t="str">
        <x:v>P0</x:v>
      </x:c>
      <x:c r="E1490" s="9" t="str">
        <x:v>Positiva/regresión</x:v>
      </x:c>
      <x:c r="F1490" s="9" t="str">
        <x:v>Navegador + HTTP + persistencia; Real DEMO y doble identificados por separado</x:v>
      </x:c>
      <x:c r="G1490" s="23" t="str">
        <x:v>Pendiente</x:v>
      </x:c>
      <x:c r="H1490" s="23"/>
      <x:c r="I1490" s="23"/>
      <x:c r="J1490" s="23"/>
      <x:c r="K1490" s="23"/>
      <x:c r="L1490" s="24"/>
      <x:c r="M1490" s="23"/>
      <x:c r="N1490" s="23"/>
    </x:row>
    <x:row r="1491" ht="70" customHeight="1">
      <x:c r="A1491" s="9" t="str">
        <x:v>QA-NRF-003</x:v>
      </x:c>
      <x:c r="B1491" s="9" t="str">
        <x:v>NRF</x:v>
      </x:c>
      <x:c r="C1491" s="9" t="str">
        <x:v>Devolución parcial USD</x:v>
      </x:c>
      <x:c r="D1491" s="9" t="str">
        <x:v>P0</x:v>
      </x:c>
      <x:c r="E1491" s="9" t="str">
        <x:v>Positiva/regresión</x:v>
      </x:c>
      <x:c r="F1491" s="9" t="str">
        <x:v>Navegador + HTTP + persistencia; Real DEMO y doble identificados por separado</x:v>
      </x:c>
      <x:c r="G1491" s="23" t="str">
        <x:v>Pendiente</x:v>
      </x:c>
      <x:c r="H1491" s="23"/>
      <x:c r="I1491" s="23"/>
      <x:c r="J1491" s="23"/>
      <x:c r="K1491" s="23"/>
      <x:c r="L1491" s="24"/>
      <x:c r="M1491" s="23"/>
      <x:c r="N1491" s="23"/>
    </x:row>
    <x:row r="1492" ht="70" customHeight="1">
      <x:c r="A1492" s="9" t="str">
        <x:v>QA-NRF-004</x:v>
      </x:c>
      <x:c r="B1492" s="9" t="str">
        <x:v>NRF</x:v>
      </x:c>
      <x:c r="C1492" s="9" t="str">
        <x:v>Devolución total USD</x:v>
      </x:c>
      <x:c r="D1492" s="9" t="str">
        <x:v>P0</x:v>
      </x:c>
      <x:c r="E1492" s="9" t="str">
        <x:v>Positiva/regresión</x:v>
      </x:c>
      <x:c r="F1492" s="9" t="str">
        <x:v>Navegador + HTTP + persistencia; Real DEMO y doble identificados por separado</x:v>
      </x:c>
      <x:c r="G1492" s="23" t="str">
        <x:v>Pendiente</x:v>
      </x:c>
      <x:c r="H1492" s="23"/>
      <x:c r="I1492" s="23"/>
      <x:c r="J1492" s="23"/>
      <x:c r="K1492" s="23"/>
      <x:c r="L1492" s="24"/>
      <x:c r="M1492" s="23"/>
      <x:c r="N1492" s="23"/>
    </x:row>
    <x:row r="1493" ht="70" customHeight="1">
      <x:c r="A1493" s="9" t="str">
        <x:v>QA-NRF-005</x:v>
      </x:c>
      <x:c r="B1493" s="9" t="str">
        <x:v>NRF</x:v>
      </x:c>
      <x:c r="C1493" s="9" t="str">
        <x:v>Devolución moneda cruzada</x:v>
      </x:c>
      <x:c r="D1493" s="9" t="str">
        <x:v>P0</x:v>
      </x:c>
      <x:c r="E1493" s="9" t="str">
        <x:v>Positiva/regresión</x:v>
      </x:c>
      <x:c r="F1493" s="9" t="str">
        <x:v>Navegador + HTTP + persistencia; Real DEMO y doble identificados por separado</x:v>
      </x:c>
      <x:c r="G1493" s="23" t="str">
        <x:v>Pendiente</x:v>
      </x:c>
      <x:c r="H1493" s="23"/>
      <x:c r="I1493" s="23"/>
      <x:c r="J1493" s="23"/>
      <x:c r="K1493" s="23"/>
      <x:c r="L1493" s="24"/>
      <x:c r="M1493" s="23"/>
      <x:c r="N1493" s="23"/>
    </x:row>
    <x:row r="1494" ht="70" customHeight="1">
      <x:c r="A1494" s="9" t="str">
        <x:v>QA-NRF-006</x:v>
      </x:c>
      <x:c r="B1494" s="9" t="str">
        <x:v>NRF</x:v>
      </x:c>
      <x:c r="C1494" s="9" t="str">
        <x:v>Tasa de ocho decimales</x:v>
      </x:c>
      <x:c r="D1494" s="9" t="str">
        <x:v>P0</x:v>
      </x:c>
      <x:c r="E1494" s="9" t="str">
        <x:v>Positiva/regresión</x:v>
      </x:c>
      <x:c r="F1494" s="9" t="str">
        <x:v>Navegador + HTTP + persistencia; Real DEMO y doble identificados por separado</x:v>
      </x:c>
      <x:c r="G1494" s="23" t="str">
        <x:v>Pendiente</x:v>
      </x:c>
      <x:c r="H1494" s="23"/>
      <x:c r="I1494" s="23"/>
      <x:c r="J1494" s="23"/>
      <x:c r="K1494" s="23"/>
      <x:c r="L1494" s="24"/>
      <x:c r="M1494" s="23"/>
      <x:c r="N1494" s="23"/>
    </x:row>
    <x:row r="1495" ht="70" customHeight="1">
      <x:c r="A1495" s="9" t="str">
        <x:v>QA-NRF-007</x:v>
      </x:c>
      <x:c r="B1495" s="9" t="str">
        <x:v>NRF</x:v>
      </x:c>
      <x:c r="C1495" s="9" t="str">
        <x:v>Exceso por NC</x:v>
      </x:c>
      <x:c r="D1495" s="9" t="str">
        <x:v>P0</x:v>
      </x:c>
      <x:c r="E1495" s="9" t="str">
        <x:v>Negativa/control</x:v>
      </x:c>
      <x:c r="F1495" s="9" t="str">
        <x:v>Navegador + HTTP + persistencia; Real DEMO y doble identificados por separado</x:v>
      </x:c>
      <x:c r="G1495" s="23" t="str">
        <x:v>Pendiente</x:v>
      </x:c>
      <x:c r="H1495" s="23"/>
      <x:c r="I1495" s="23"/>
      <x:c r="J1495" s="23"/>
      <x:c r="K1495" s="23"/>
      <x:c r="L1495" s="24"/>
      <x:c r="M1495" s="23"/>
      <x:c r="N1495" s="23"/>
    </x:row>
    <x:row r="1496" ht="70" customHeight="1">
      <x:c r="A1496" s="9" t="str">
        <x:v>QA-NRF-008</x:v>
      </x:c>
      <x:c r="B1496" s="9" t="str">
        <x:v>NRF</x:v>
      </x:c>
      <x:c r="C1496" s="9" t="str">
        <x:v>Exceso por cobro origen</x:v>
      </x:c>
      <x:c r="D1496" s="9" t="str">
        <x:v>P0</x:v>
      </x:c>
      <x:c r="E1496" s="9" t="str">
        <x:v>Negativa/control</x:v>
      </x:c>
      <x:c r="F1496" s="9" t="str">
        <x:v>Navegador + HTTP + persistencia; Real DEMO y doble identificados por separado</x:v>
      </x:c>
      <x:c r="G1496" s="23" t="str">
        <x:v>Pendiente</x:v>
      </x:c>
      <x:c r="H1496" s="23"/>
      <x:c r="I1496" s="23"/>
      <x:c r="J1496" s="23"/>
      <x:c r="K1496" s="23"/>
      <x:c r="L1496" s="24"/>
      <x:c r="M1496" s="23"/>
      <x:c r="N1496" s="23"/>
    </x:row>
    <x:row r="1497" ht="70" customHeight="1">
      <x:c r="A1497" s="9" t="str">
        <x:v>QA-NRF-009</x:v>
      </x:c>
      <x:c r="B1497" s="9" t="str">
        <x:v>NRF</x:v>
      </x:c>
      <x:c r="C1497" s="9" t="str">
        <x:v>Exceso por devoluciones previas</x:v>
      </x:c>
      <x:c r="D1497" s="9" t="str">
        <x:v>P0</x:v>
      </x:c>
      <x:c r="E1497" s="9" t="str">
        <x:v>Negativa/control</x:v>
      </x:c>
      <x:c r="F1497" s="9" t="str">
        <x:v>Navegador + HTTP + persistencia; Real DEMO y doble identificados por separado</x:v>
      </x:c>
      <x:c r="G1497" s="23" t="str">
        <x:v>Pendiente</x:v>
      </x:c>
      <x:c r="H1497" s="23"/>
      <x:c r="I1497" s="23"/>
      <x:c r="J1497" s="23"/>
      <x:c r="K1497" s="23"/>
      <x:c r="L1497" s="24"/>
      <x:c r="M1497" s="23"/>
      <x:c r="N1497" s="23"/>
    </x:row>
    <x:row r="1498" ht="70" customHeight="1">
      <x:c r="A1498" s="9" t="str">
        <x:v>QA-NRF-010</x:v>
      </x:c>
      <x:c r="B1498" s="9" t="str">
        <x:v>NRF</x:v>
      </x:c>
      <x:c r="C1498" s="9" t="str">
        <x:v>Cobro revertido no sirve de origen</x:v>
      </x:c>
      <x:c r="D1498" s="9" t="str">
        <x:v>P0</x:v>
      </x:c>
      <x:c r="E1498" s="9" t="str">
        <x:v>Positiva/regresión</x:v>
      </x:c>
      <x:c r="F1498" s="9" t="str">
        <x:v>Navegador + HTTP + persistencia; Real DEMO y doble identificados por separado</x:v>
      </x:c>
      <x:c r="G1498" s="23" t="str">
        <x:v>Pendiente</x:v>
      </x:c>
      <x:c r="H1498" s="23"/>
      <x:c r="I1498" s="23"/>
      <x:c r="J1498" s="23"/>
      <x:c r="K1498" s="23"/>
      <x:c r="L1498" s="24"/>
      <x:c r="M1498" s="23"/>
      <x:c r="N1498" s="23"/>
    </x:row>
    <x:row r="1499" ht="70" customHeight="1">
      <x:c r="A1499" s="9" t="str">
        <x:v>QA-NRF-011</x:v>
      </x:c>
      <x:c r="B1499" s="9" t="str">
        <x:v>NRF</x:v>
      </x:c>
      <x:c r="C1499" s="9" t="str">
        <x:v>Previsión no acredita efectivo</x:v>
      </x:c>
      <x:c r="D1499" s="9" t="str">
        <x:v>P0</x:v>
      </x:c>
      <x:c r="E1499" s="9" t="str">
        <x:v>Positiva/regresión</x:v>
      </x:c>
      <x:c r="F1499" s="9" t="str">
        <x:v>Navegador + HTTP + persistencia; Real DEMO y doble identificados por separado</x:v>
      </x:c>
      <x:c r="G1499" s="23" t="str">
        <x:v>Pendiente</x:v>
      </x:c>
      <x:c r="H1499" s="23"/>
      <x:c r="I1499" s="23"/>
      <x:c r="J1499" s="23"/>
      <x:c r="K1499" s="23"/>
      <x:c r="L1499" s="24"/>
      <x:c r="M1499" s="23"/>
      <x:c r="N1499" s="23"/>
    </x:row>
    <x:row r="1500" ht="70" customHeight="1">
      <x:c r="A1500" s="9" t="str">
        <x:v>QA-NRF-012</x:v>
      </x:c>
      <x:c r="B1500" s="9" t="str">
        <x:v>NRF</x:v>
      </x:c>
      <x:c r="C1500" s="9" t="str">
        <x:v>NC sin confirmar bloquea egreso</x:v>
      </x:c>
      <x:c r="D1500" s="9" t="str">
        <x:v>P0</x:v>
      </x:c>
      <x:c r="E1500" s="9" t="str">
        <x:v>Negativa/control</x:v>
      </x:c>
      <x:c r="F1500" s="9" t="str">
        <x:v>Navegador + HTTP + persistencia; Real DEMO y doble identificados por separado</x:v>
      </x:c>
      <x:c r="G1500" s="23" t="str">
        <x:v>Pendiente</x:v>
      </x:c>
      <x:c r="H1500" s="23"/>
      <x:c r="I1500" s="23"/>
      <x:c r="J1500" s="23"/>
      <x:c r="K1500" s="23"/>
      <x:c r="L1500" s="24"/>
      <x:c r="M1500" s="23"/>
      <x:c r="N1500" s="23"/>
    </x:row>
    <x:row r="1501" ht="70" customHeight="1">
      <x:c r="A1501" s="9" t="str">
        <x:v>QA-NRF-013</x:v>
      </x:c>
      <x:c r="B1501" s="9" t="str">
        <x:v>NRF</x:v>
      </x:c>
      <x:c r="C1501" s="9" t="str">
        <x:v>Control incoherente bloquea egreso</x:v>
      </x:c>
      <x:c r="D1501" s="9" t="str">
        <x:v>P0</x:v>
      </x:c>
      <x:c r="E1501" s="9" t="str">
        <x:v>Negativa/control</x:v>
      </x:c>
      <x:c r="F1501" s="9" t="str">
        <x:v>Navegador + HTTP + persistencia; Real DEMO y doble identificados por separado</x:v>
      </x:c>
      <x:c r="G1501" s="23" t="str">
        <x:v>Pendiente</x:v>
      </x:c>
      <x:c r="H1501" s="23"/>
      <x:c r="I1501" s="23"/>
      <x:c r="J1501" s="23"/>
      <x:c r="K1501" s="23"/>
      <x:c r="L1501" s="24"/>
      <x:c r="M1501" s="23"/>
      <x:c r="N1501" s="23"/>
    </x:row>
    <x:row r="1502" ht="70" customHeight="1">
      <x:c r="A1502" s="9" t="str">
        <x:v>QA-NRF-014</x:v>
      </x:c>
      <x:c r="B1502" s="9" t="str">
        <x:v>NRF</x:v>
      </x:c>
      <x:c r="C1502" s="9" t="str">
        <x:v>UUID idéntico de refund</x:v>
      </x:c>
      <x:c r="D1502" s="9" t="str">
        <x:v>P0</x:v>
      </x:c>
      <x:c r="E1502" s="9" t="str">
        <x:v>Positiva/regresión</x:v>
      </x:c>
      <x:c r="F1502" s="9" t="str">
        <x:v>Navegador + HTTP + persistencia; Real DEMO y doble identificados por separado</x:v>
      </x:c>
      <x:c r="G1502" s="23" t="str">
        <x:v>Pendiente</x:v>
      </x:c>
      <x:c r="H1502" s="23"/>
      <x:c r="I1502" s="23"/>
      <x:c r="J1502" s="23"/>
      <x:c r="K1502" s="23"/>
      <x:c r="L1502" s="24"/>
      <x:c r="M1502" s="23"/>
      <x:c r="N1502" s="23"/>
    </x:row>
    <x:row r="1503" ht="70" customHeight="1">
      <x:c r="A1503" s="9" t="str">
        <x:v>QA-NRF-015</x:v>
      </x:c>
      <x:c r="B1503" s="9" t="str">
        <x:v>NRF</x:v>
      </x:c>
      <x:c r="C1503" s="9" t="str">
        <x:v>UUID refund con importe diferente</x:v>
      </x:c>
      <x:c r="D1503" s="9" t="str">
        <x:v>P0</x:v>
      </x:c>
      <x:c r="E1503" s="9" t="str">
        <x:v>Positiva/regresión</x:v>
      </x:c>
      <x:c r="F1503" s="9" t="str">
        <x:v>Navegador + HTTP + persistencia; Real DEMO y doble identificados por separado</x:v>
      </x:c>
      <x:c r="G1503" s="23" t="str">
        <x:v>Pendiente</x:v>
      </x:c>
      <x:c r="H1503" s="23"/>
      <x:c r="I1503" s="23"/>
      <x:c r="J1503" s="23"/>
      <x:c r="K1503" s="23"/>
      <x:c r="L1503" s="24"/>
      <x:c r="M1503" s="23"/>
      <x:c r="N1503" s="23"/>
    </x:row>
    <x:row r="1504" ht="70" customHeight="1">
      <x:c r="A1504" s="9" t="str">
        <x:v>QA-NRF-016</x:v>
      </x:c>
      <x:c r="B1504" s="9" t="str">
        <x:v>NRF</x:v>
      </x:c>
      <x:c r="C1504" s="9" t="str">
        <x:v>Dos refunds concurrentes por límite</x:v>
      </x:c>
      <x:c r="D1504" s="9" t="str">
        <x:v>P0</x:v>
      </x:c>
      <x:c r="E1504" s="9" t="str">
        <x:v>Positiva/regresión</x:v>
      </x:c>
      <x:c r="F1504" s="9" t="str">
        <x:v>Navegador + HTTP + persistencia; Real DEMO y doble identificados por separado</x:v>
      </x:c>
      <x:c r="G1504" s="23" t="str">
        <x:v>Pendiente</x:v>
      </x:c>
      <x:c r="H1504" s="23"/>
      <x:c r="I1504" s="23"/>
      <x:c r="J1504" s="23"/>
      <x:c r="K1504" s="23"/>
      <x:c r="L1504" s="24"/>
      <x:c r="M1504" s="23"/>
      <x:c r="N1504" s="23"/>
    </x:row>
    <x:row r="1505" ht="70" customHeight="1">
      <x:c r="A1505" s="9" t="str">
        <x:v>QA-NRF-017</x:v>
      </x:c>
      <x:c r="B1505" s="9" t="str">
        <x:v>NRF</x:v>
      </x:c>
      <x:c r="C1505" s="9" t="str">
        <x:v>Reversión auditada de refund</x:v>
      </x:c>
      <x:c r="D1505" s="9" t="str">
        <x:v>P0</x:v>
      </x:c>
      <x:c r="E1505" s="9" t="str">
        <x:v>Positiva/regresión</x:v>
      </x:c>
      <x:c r="F1505" s="9" t="str">
        <x:v>Navegador + HTTP + persistencia; Real DEMO y doble identificados por separado</x:v>
      </x:c>
      <x:c r="G1505" s="23" t="str">
        <x:v>Pendiente</x:v>
      </x:c>
      <x:c r="H1505" s="23"/>
      <x:c r="I1505" s="23"/>
      <x:c r="J1505" s="23"/>
      <x:c r="K1505" s="23"/>
      <x:c r="L1505" s="24"/>
      <x:c r="M1505" s="23"/>
      <x:c r="N1505" s="23"/>
    </x:row>
    <x:row r="1506" ht="70" customHeight="1">
      <x:c r="A1506" s="9" t="str">
        <x:v>QA-NRF-018</x:v>
      </x:c>
      <x:c r="B1506" s="9" t="str">
        <x:v>NRF</x:v>
      </x:c>
      <x:c r="C1506" s="9" t="str">
        <x:v>Reversión UUID incompatible</x:v>
      </x:c>
      <x:c r="D1506" s="9" t="str">
        <x:v>P0</x:v>
      </x:c>
      <x:c r="E1506" s="9" t="str">
        <x:v>Positiva/regresión</x:v>
      </x:c>
      <x:c r="F1506" s="9" t="str">
        <x:v>Navegador + HTTP + persistencia; Real DEMO y doble identificados por separado</x:v>
      </x:c>
      <x:c r="G1506" s="23" t="str">
        <x:v>Pendiente</x:v>
      </x:c>
      <x:c r="H1506" s="23"/>
      <x:c r="I1506" s="23"/>
      <x:c r="J1506" s="23"/>
      <x:c r="K1506" s="23"/>
      <x:c r="L1506" s="24"/>
      <x:c r="M1506" s="23"/>
      <x:c r="N1506" s="23"/>
    </x:row>
    <x:row r="1507" ht="70" customHeight="1">
      <x:c r="A1507" s="9" t="str">
        <x:v>QA-NRF-019</x:v>
      </x:c>
      <x:c r="B1507" s="9" t="str">
        <x:v>NRF</x:v>
      </x:c>
      <x:c r="C1507" s="9" t="str">
        <x:v>Sin permiso create_payment</x:v>
      </x:c>
      <x:c r="D1507" s="9" t="str">
        <x:v>P0</x:v>
      </x:c>
      <x:c r="E1507" s="9" t="str">
        <x:v>Negativa/control</x:v>
      </x:c>
      <x:c r="F1507" s="9" t="str">
        <x:v>Navegador + HTTP + persistencia; Real DEMO y doble identificados por separado</x:v>
      </x:c>
      <x:c r="G1507" s="23" t="str">
        <x:v>Pendiente</x:v>
      </x:c>
      <x:c r="H1507" s="23"/>
      <x:c r="I1507" s="23"/>
      <x:c r="J1507" s="23"/>
      <x:c r="K1507" s="23"/>
      <x:c r="L1507" s="24"/>
      <x:c r="M1507" s="23"/>
      <x:c r="N1507" s="23"/>
    </x:row>
    <x:row r="1508" ht="70" customHeight="1">
      <x:c r="A1508" s="9" t="str">
        <x:v>QA-NRF-020</x:v>
      </x:c>
      <x:c r="B1508" s="9" t="str">
        <x:v>NRF</x:v>
      </x:c>
      <x:c r="C1508" s="9" t="str">
        <x:v>Sin permiso delete_payment</x:v>
      </x:c>
      <x:c r="D1508" s="9" t="str">
        <x:v>P0</x:v>
      </x:c>
      <x:c r="E1508" s="9" t="str">
        <x:v>Negativa/control</x:v>
      </x:c>
      <x:c r="F1508" s="9" t="str">
        <x:v>Navegador + HTTP + persistencia; Real DEMO y doble identificados por separado</x:v>
      </x:c>
      <x:c r="G1508" s="23" t="str">
        <x:v>Pendiente</x:v>
      </x:c>
      <x:c r="H1508" s="23"/>
      <x:c r="I1508" s="23"/>
      <x:c r="J1508" s="23"/>
      <x:c r="K1508" s="23"/>
      <x:c r="L1508" s="24"/>
      <x:c r="M1508" s="23"/>
      <x:c r="N1508" s="23"/>
    </x:row>
    <x:row r="1509" ht="70" customHeight="1">
      <x:c r="A1509" s="9" t="str">
        <x:v>QA-NRF-021</x:v>
      </x:c>
      <x:c r="B1509" s="9" t="str">
        <x:v>NRF</x:v>
      </x:c>
      <x:c r="C1509" s="9" t="str">
        <x:v>Caja cerrada o de otro usuario</x:v>
      </x:c>
      <x:c r="D1509" s="9" t="str">
        <x:v>P0</x:v>
      </x:c>
      <x:c r="E1509" s="9" t="str">
        <x:v>Positiva/regresión</x:v>
      </x:c>
      <x:c r="F1509" s="9" t="str">
        <x:v>Navegador + HTTP + persistencia; Real DEMO y doble identificados por separado</x:v>
      </x:c>
      <x:c r="G1509" s="23" t="str">
        <x:v>Pendiente</x:v>
      </x:c>
      <x:c r="H1509" s="23"/>
      <x:c r="I1509" s="23"/>
      <x:c r="J1509" s="23"/>
      <x:c r="K1509" s="23"/>
      <x:c r="L1509" s="24"/>
      <x:c r="M1509" s="23"/>
      <x:c r="N1509" s="23"/>
    </x:row>
    <x:row r="1510" ht="70" customHeight="1">
      <x:c r="A1510" s="9" t="str">
        <x:v>QA-NRF-022</x:v>
      </x:c>
      <x:c r="B1510" s="9" t="str">
        <x:v>NRF</x:v>
      </x:c>
      <x:c r="C1510" s="9" t="str">
        <x:v>Banco de otra moneda</x:v>
      </x:c>
      <x:c r="D1510" s="9" t="str">
        <x:v>P0</x:v>
      </x:c>
      <x:c r="E1510" s="9" t="str">
        <x:v>Positiva/regresión</x:v>
      </x:c>
      <x:c r="F1510" s="9" t="str">
        <x:v>Navegador + HTTP + persistencia; Real DEMO y doble identificados por separado</x:v>
      </x:c>
      <x:c r="G1510" s="23" t="str">
        <x:v>Pendiente</x:v>
      </x:c>
      <x:c r="H1510" s="23"/>
      <x:c r="I1510" s="23"/>
      <x:c r="J1510" s="23"/>
      <x:c r="K1510" s="23"/>
      <x:c r="L1510" s="24"/>
      <x:c r="M1510" s="23"/>
      <x:c r="N1510" s="23"/>
    </x:row>
    <x:row r="1511" ht="70" customHeight="1">
      <x:c r="A1511" s="9" t="str">
        <x:v>QA-NRF-023</x:v>
      </x:c>
      <x:c r="B1511" s="9" t="str">
        <x:v>NRF</x:v>
      </x:c>
      <x:c r="C1511" s="9" t="str">
        <x:v>Banco de otra sucursal</x:v>
      </x:c>
      <x:c r="D1511" s="9" t="str">
        <x:v>P0</x:v>
      </x:c>
      <x:c r="E1511" s="9" t="str">
        <x:v>Positiva/regresión</x:v>
      </x:c>
      <x:c r="F1511" s="9" t="str">
        <x:v>Navegador + HTTP + persistencia; Real DEMO y doble identificados por separado</x:v>
      </x:c>
      <x:c r="G1511" s="23" t="str">
        <x:v>Pendiente</x:v>
      </x:c>
      <x:c r="H1511" s="23"/>
      <x:c r="I1511" s="23"/>
      <x:c r="J1511" s="23"/>
      <x:c r="K1511" s="23"/>
      <x:c r="L1511" s="24"/>
      <x:c r="M1511" s="23"/>
      <x:c r="N1511" s="23"/>
    </x:row>
    <x:row r="1512" ht="70" customHeight="1">
      <x:c r="A1512" s="9" t="str">
        <x:v>QA-NRF-024</x:v>
      </x:c>
      <x:c r="B1512" s="9" t="str">
        <x:v>NRF</x:v>
      </x:c>
      <x:c r="C1512" s="9" t="str">
        <x:v>Corrección IVA tras NC</x:v>
      </x:c>
      <x:c r="D1512" s="9" t="str">
        <x:v>P0</x:v>
      </x:c>
      <x:c r="E1512" s="9" t="str">
        <x:v>Positiva/regresión</x:v>
      </x:c>
      <x:c r="F1512" s="9" t="str">
        <x:v>Navegador + HTTP + persistencia; Real DEMO y doble identificados por separado</x:v>
      </x:c>
      <x:c r="G1512" s="23" t="str">
        <x:v>Pendiente</x:v>
      </x:c>
      <x:c r="H1512" s="23"/>
      <x:c r="I1512" s="23"/>
      <x:c r="J1512" s="23"/>
      <x:c r="K1512" s="23"/>
      <x:c r="L1512" s="24"/>
      <x:c r="M1512" s="23"/>
      <x:c r="N1512" s="23"/>
    </x:row>
    <x:row r="1513" ht="70" customHeight="1">
      <x:c r="A1513" s="9" t="str">
        <x:v>QA-NRF-025</x:v>
      </x:c>
      <x:c r="B1513" s="9" t="str">
        <x:v>NRF</x:v>
      </x:c>
      <x:c r="C1513" s="9" t="str">
        <x:v>Corrección ISLR independiente</x:v>
      </x:c>
      <x:c r="D1513" s="9" t="str">
        <x:v>P0</x:v>
      </x:c>
      <x:c r="E1513" s="9" t="str">
        <x:v>Positiva/regresión</x:v>
      </x:c>
      <x:c r="F1513" s="9" t="str">
        <x:v>Navegador + HTTP + persistencia; Real DEMO y doble identificados por separado</x:v>
      </x:c>
      <x:c r="G1513" s="23" t="str">
        <x:v>Pendiente</x:v>
      </x:c>
      <x:c r="H1513" s="23"/>
      <x:c r="I1513" s="23"/>
      <x:c r="J1513" s="23"/>
      <x:c r="K1513" s="23"/>
      <x:c r="L1513" s="24"/>
      <x:c r="M1513" s="23"/>
      <x:c r="N1513" s="23"/>
    </x:row>
    <x:row r="1514" ht="70" customHeight="1">
      <x:c r="A1514" s="9" t="str">
        <x:v>QA-NRF-026</x:v>
      </x:c>
      <x:c r="B1514" s="9" t="str">
        <x:v>NRF</x:v>
      </x:c>
      <x:c r="C1514" s="9" t="str">
        <x:v>Reversión IVA incierta conserva saldo</x:v>
      </x:c>
      <x:c r="D1514" s="9" t="str">
        <x:v>P0</x:v>
      </x:c>
      <x:c r="E1514" s="9" t="str">
        <x:v>Positiva/regresión</x:v>
      </x:c>
      <x:c r="F1514" s="9" t="str">
        <x:v>Navegador + HTTP + persistencia; Real DEMO y doble identificados por separado</x:v>
      </x:c>
      <x:c r="G1514" s="23" t="str">
        <x:v>Pendiente</x:v>
      </x:c>
      <x:c r="H1514" s="23"/>
      <x:c r="I1514" s="23"/>
      <x:c r="J1514" s="23"/>
      <x:c r="K1514" s="23"/>
      <x:c r="L1514" s="24"/>
      <x:c r="M1514" s="23"/>
      <x:c r="N1514" s="23"/>
    </x:row>
    <x:row r="1515" ht="70" customHeight="1">
      <x:c r="A1515" s="9" t="str">
        <x:v>QA-NRF-027</x:v>
      </x:c>
      <x:c r="B1515" s="9" t="str">
        <x:v>NRF</x:v>
      </x:c>
      <x:c r="C1515" s="9" t="str">
        <x:v>Reversión ISLR incierta conserva saldo</x:v>
      </x:c>
      <x:c r="D1515" s="9" t="str">
        <x:v>P0</x:v>
      </x:c>
      <x:c r="E1515" s="9" t="str">
        <x:v>Positiva/regresión</x:v>
      </x:c>
      <x:c r="F1515" s="9" t="str">
        <x:v>Navegador + HTTP + persistencia; Real DEMO y doble identificados por separado</x:v>
      </x:c>
      <x:c r="G1515" s="23" t="str">
        <x:v>Pendiente</x:v>
      </x:c>
      <x:c r="H1515" s="23"/>
      <x:c r="I1515" s="23"/>
      <x:c r="J1515" s="23"/>
      <x:c r="K1515" s="23"/>
      <x:c r="L1515" s="24"/>
      <x:c r="M1515" s="23"/>
      <x:c r="N1515" s="23"/>
    </x:row>
    <x:row r="1516" ht="70" customHeight="1">
      <x:c r="A1516" s="9" t="str">
        <x:v>QA-NRF-028</x:v>
      </x:c>
      <x:c r="B1516" s="9" t="str">
        <x:v>NRF</x:v>
      </x:c>
      <x:c r="C1516" s="9" t="str">
        <x:v>Replacement sin soporte privado</x:v>
      </x:c>
      <x:c r="D1516" s="9" t="str">
        <x:v>P0</x:v>
      </x:c>
      <x:c r="E1516" s="9" t="str">
        <x:v>Negativa/control</x:v>
      </x:c>
      <x:c r="F1516" s="9" t="str">
        <x:v>Navegador + HTTP + persistencia; Real DEMO y doble identificados por separado</x:v>
      </x:c>
      <x:c r="G1516" s="23" t="str">
        <x:v>Pendiente</x:v>
      </x:c>
      <x:c r="H1516" s="23"/>
      <x:c r="I1516" s="23"/>
      <x:c r="J1516" s="23"/>
      <x:c r="K1516" s="23"/>
      <x:c r="L1516" s="24"/>
      <x:c r="M1516" s="23"/>
      <x:c r="N1516" s="23"/>
    </x:row>
    <x:row r="1517" ht="70" customHeight="1">
      <x:c r="A1517" s="9" t="str">
        <x:v>QA-NRF-029</x:v>
      </x:c>
      <x:c r="B1517" s="9" t="str">
        <x:v>NRF</x:v>
      </x:c>
      <x:c r="C1517" s="9" t="str">
        <x:v>Replacement duplicado</x:v>
      </x:c>
      <x:c r="D1517" s="9" t="str">
        <x:v>P0</x:v>
      </x:c>
      <x:c r="E1517" s="9" t="str">
        <x:v>Positiva/regresión</x:v>
      </x:c>
      <x:c r="F1517" s="9" t="str">
        <x:v>Navegador + HTTP + persistencia; Real DEMO y doble identificados por separado</x:v>
      </x:c>
      <x:c r="G1517" s="23" t="str">
        <x:v>Pendiente</x:v>
      </x:c>
      <x:c r="H1517" s="23"/>
      <x:c r="I1517" s="23"/>
      <x:c r="J1517" s="23"/>
      <x:c r="K1517" s="23"/>
      <x:c r="L1517" s="24"/>
      <x:c r="M1517" s="23"/>
      <x:c r="N1517" s="23"/>
    </x:row>
    <x:row r="1518" ht="70" customHeight="1">
      <x:c r="A1518" s="9" t="str">
        <x:v>QA-NRF-030</x:v>
      </x:c>
      <x:c r="B1518" s="9" t="str">
        <x:v>NRF</x:v>
      </x:c>
      <x:c r="C1518" s="9" t="str">
        <x:v>Replacement exceso rechazado</x:v>
      </x:c>
      <x:c r="D1518" s="9" t="str">
        <x:v>P0</x:v>
      </x:c>
      <x:c r="E1518" s="9" t="str">
        <x:v>Negativa/control</x:v>
      </x:c>
      <x:c r="F1518" s="9" t="str">
        <x:v>Navegador + HTTP + persistencia; Real DEMO y doble identificados por separado</x:v>
      </x:c>
      <x:c r="G1518" s="23" t="str">
        <x:v>Pendiente</x:v>
      </x:c>
      <x:c r="H1518" s="23"/>
      <x:c r="I1518" s="23"/>
      <x:c r="J1518" s="23"/>
      <x:c r="K1518" s="23"/>
      <x:c r="L1518" s="24"/>
      <x:c r="M1518" s="23"/>
      <x:c r="N1518" s="23"/>
    </x:row>
    <x:row r="1519" ht="70" customHeight="1">
      <x:c r="A1519" s="9" t="str">
        <x:v>QA-NRF-031</x:v>
      </x:c>
      <x:c r="B1519" s="9" t="str">
        <x:v>NRF</x:v>
      </x:c>
      <x:c r="C1519" s="9" t="str">
        <x:v>Sustraendo ISLR declarado</x:v>
      </x:c>
      <x:c r="D1519" s="9" t="str">
        <x:v>P0</x:v>
      </x:c>
      <x:c r="E1519" s="9" t="str">
        <x:v>Positiva/regresión</x:v>
      </x:c>
      <x:c r="F1519" s="9" t="str">
        <x:v>Navegador + HTTP + persistencia; Real DEMO y doble identificados por separado</x:v>
      </x:c>
      <x:c r="G1519" s="23" t="str">
        <x:v>Pendiente</x:v>
      </x:c>
      <x:c r="H1519" s="23"/>
      <x:c r="I1519" s="23"/>
      <x:c r="J1519" s="23"/>
      <x:c r="K1519" s="23"/>
      <x:c r="L1519" s="24"/>
      <x:c r="M1519" s="23"/>
      <x:c r="N1519" s="23"/>
    </x:row>
    <x:row r="1520" ht="70" customHeight="1">
      <x:c r="A1520" s="9" t="str">
        <x:v>QA-NRF-032</x:v>
      </x:c>
      <x:c r="B1520" s="9" t="str">
        <x:v>NRF</x:v>
      </x:c>
      <x:c r="C1520" s="9" t="str">
        <x:v>Fondo reducción parcial auditada</x:v>
      </x:c>
      <x:c r="D1520" s="9" t="str">
        <x:v>P0</x:v>
      </x:c>
      <x:c r="E1520" s="9" t="str">
        <x:v>Positiva/regresión</x:v>
      </x:c>
      <x:c r="F1520" s="9" t="str">
        <x:v>Navegador + HTTP + persistencia; Real DEMO y doble identificados por separado</x:v>
      </x:c>
      <x:c r="G1520" s="23" t="str">
        <x:v>Pendiente</x:v>
      </x:c>
      <x:c r="H1520" s="23"/>
      <x:c r="I1520" s="23"/>
      <x:c r="J1520" s="23"/>
      <x:c r="K1520" s="23"/>
      <x:c r="L1520" s="24"/>
      <x:c r="M1520" s="23"/>
      <x:c r="N1520" s="23"/>
    </x:row>
    <x:row r="1521" ht="70" customHeight="1">
      <x:c r="A1521" s="9" t="str">
        <x:v>QA-NRF-033</x:v>
      </x:c>
      <x:c r="B1521" s="9" t="str">
        <x:v>NRF</x:v>
      </x:c>
      <x:c r="C1521" s="9" t="str">
        <x:v>Fondo reducción total</x:v>
      </x:c>
      <x:c r="D1521" s="9" t="str">
        <x:v>P0</x:v>
      </x:c>
      <x:c r="E1521" s="9" t="str">
        <x:v>Positiva/regresión</x:v>
      </x:c>
      <x:c r="F1521" s="9" t="str">
        <x:v>Navegador + HTTP + persistencia; Real DEMO y doble identificados por separado</x:v>
      </x:c>
      <x:c r="G1521" s="23" t="str">
        <x:v>Pendiente</x:v>
      </x:c>
      <x:c r="H1521" s="23"/>
      <x:c r="I1521" s="23"/>
      <x:c r="J1521" s="23"/>
      <x:c r="K1521" s="23"/>
      <x:c r="L1521" s="24"/>
      <x:c r="M1521" s="23"/>
      <x:c r="N1521" s="23"/>
    </x:row>
    <x:row r="1522" ht="70" customHeight="1">
      <x:c r="A1522" s="9" t="str">
        <x:v>QA-NRF-034</x:v>
      </x:c>
      <x:c r="B1522" s="9" t="str">
        <x:v>NRF</x:v>
      </x:c>
      <x:c r="C1522" s="9" t="str">
        <x:v>Fondo exceso rechazado</x:v>
      </x:c>
      <x:c r="D1522" s="9" t="str">
        <x:v>P0</x:v>
      </x:c>
      <x:c r="E1522" s="9" t="str">
        <x:v>Negativa/control</x:v>
      </x:c>
      <x:c r="F1522" s="9" t="str">
        <x:v>Navegador + HTTP + persistencia; Real DEMO y doble identificados por separado</x:v>
      </x:c>
      <x:c r="G1522" s="23" t="str">
        <x:v>Pendiente</x:v>
      </x:c>
      <x:c r="H1522" s="23"/>
      <x:c r="I1522" s="23"/>
      <x:c r="J1522" s="23"/>
      <x:c r="K1522" s="23"/>
      <x:c r="L1522" s="24"/>
      <x:c r="M1522" s="23"/>
      <x:c r="N1522" s="23"/>
    </x:row>
    <x:row r="1523" ht="70" customHeight="1">
      <x:c r="A1523" s="9" t="str">
        <x:v>QA-NRF-035</x:v>
      </x:c>
      <x:c r="B1523" s="9" t="str">
        <x:v>NRF</x:v>
      </x:c>
      <x:c r="C1523" s="9" t="str">
        <x:v>IGTF devolución exige ajuste confirmado</x:v>
      </x:c>
      <x:c r="D1523" s="9" t="str">
        <x:v>P0</x:v>
      </x:c>
      <x:c r="E1523" s="9" t="str">
        <x:v>Positiva/regresión</x:v>
      </x:c>
      <x:c r="F1523" s="9" t="str">
        <x:v>Navegador + HTTP + persistencia; Real DEMO y doble identificados por separado</x:v>
      </x:c>
      <x:c r="G1523" s="23" t="str">
        <x:v>Pendiente</x:v>
      </x:c>
      <x:c r="H1523" s="23"/>
      <x:c r="I1523" s="23"/>
      <x:c r="J1523" s="23"/>
      <x:c r="K1523" s="23"/>
      <x:c r="L1523" s="24"/>
      <x:c r="M1523" s="23"/>
      <x:c r="N1523" s="23"/>
    </x:row>
    <x:row r="1524" ht="70" customHeight="1">
      <x:c r="A1524" s="9" t="str">
        <x:v>QA-NRF-036</x:v>
      </x:c>
      <x:c r="B1524" s="9" t="str">
        <x:v>NRF</x:v>
      </x:c>
      <x:c r="C1524" s="9" t="str">
        <x:v>IGTF usa tasa y recibo originales</x:v>
      </x:c>
      <x:c r="D1524" s="9" t="str">
        <x:v>P0</x:v>
      </x:c>
      <x:c r="E1524" s="9" t="str">
        <x:v>Positiva/regresión</x:v>
      </x:c>
      <x:c r="F1524" s="9" t="str">
        <x:v>Navegador + HTTP + persistencia; Real DEMO y doble identificados por separado</x:v>
      </x:c>
      <x:c r="G1524" s="23" t="str">
        <x:v>Pendiente</x:v>
      </x:c>
      <x:c r="H1524" s="23"/>
      <x:c r="I1524" s="23"/>
      <x:c r="J1524" s="23"/>
      <x:c r="K1524" s="23"/>
      <x:c r="L1524" s="24"/>
      <x:c r="M1524" s="23"/>
      <x:c r="N1524" s="23"/>
    </x:row>
    <x:row r="1525" ht="70" customHeight="1">
      <x:c r="A1525" s="9" t="str">
        <x:v>QA-NRF-037</x:v>
      </x:c>
      <x:c r="B1525" s="9" t="str">
        <x:v>NRF</x:v>
      </x:c>
      <x:c r="C1525" s="9" t="str">
        <x:v>Reporte excluye egreso revertido</x:v>
      </x:c>
      <x:c r="D1525" s="9" t="str">
        <x:v>P0</x:v>
      </x:c>
      <x:c r="E1525" s="9" t="str">
        <x:v>Positiva/regresión</x:v>
      </x:c>
      <x:c r="F1525" s="9" t="str">
        <x:v>Navegador + HTTP + persistencia; Real DEMO y doble identificados por separado</x:v>
      </x:c>
      <x:c r="G1525" s="23" t="str">
        <x:v>Pendiente</x:v>
      </x:c>
      <x:c r="H1525" s="23"/>
      <x:c r="I1525" s="23"/>
      <x:c r="J1525" s="23"/>
      <x:c r="K1525" s="23"/>
      <x:c r="L1525" s="24"/>
      <x:c r="M1525" s="23"/>
      <x:c r="N1525" s="23"/>
    </x:row>
    <x:row r="1526" ht="70" customHeight="1">
      <x:c r="A1526" s="9" t="str">
        <x:v>QA-NRF-038</x:v>
      </x:c>
      <x:c r="B1526" s="9" t="str">
        <x:v>NRF</x:v>
      </x:c>
      <x:c r="C1526" s="9" t="str">
        <x:v>Fallo exterior revierte refund</x:v>
      </x:c>
      <x:c r="D1526" s="9" t="str">
        <x:v>P0</x:v>
      </x:c>
      <x:c r="E1526" s="9" t="str">
        <x:v>Positiva/regresión</x:v>
      </x:c>
      <x:c r="F1526" s="9" t="str">
        <x:v>Navegador + HTTP + persistencia; Real DEMO y doble identificados por separado</x:v>
      </x:c>
      <x:c r="G1526" s="23" t="str">
        <x:v>Pendiente</x:v>
      </x:c>
      <x:c r="H1526" s="23"/>
      <x:c r="I1526" s="23"/>
      <x:c r="J1526" s="23"/>
      <x:c r="K1526" s="23"/>
      <x:c r="L1526" s="24"/>
      <x:c r="M1526" s="23"/>
      <x:c r="N1526" s="23"/>
    </x:row>
    <x:row r="1527" ht="70" customHeight="1">
      <x:c r="A1527" s="9" t="str">
        <x:v>QA-NAN-001</x:v>
      </x:c>
      <x:c r="B1527" s="9" t="str">
        <x:v>NAN</x:v>
      </x:c>
      <x:c r="C1527" s="9" t="str">
        <x:v>NC01 no anula la factura fiscal</x:v>
      </x:c>
      <x:c r="D1527" s="9" t="str">
        <x:v>P0</x:v>
      </x:c>
      <x:c r="E1527" s="9" t="str">
        <x:v>Positiva/regresión</x:v>
      </x:c>
      <x:c r="F1527" s="9" t="str">
        <x:v>Navegador + HTTP + persistencia; Real DEMO y doble identificados por separado</x:v>
      </x:c>
      <x:c r="G1527" s="23" t="str">
        <x:v>Pendiente</x:v>
      </x:c>
      <x:c r="H1527" s="23"/>
      <x:c r="I1527" s="23"/>
      <x:c r="J1527" s="23"/>
      <x:c r="K1527" s="23"/>
      <x:c r="L1527" s="24"/>
      <x:c r="M1527" s="23"/>
      <x:c r="N1527" s="23"/>
    </x:row>
    <x:row r="1528" ht="70" customHeight="1">
      <x:c r="A1528" s="9" t="str">
        <x:v>QA-NAN-002</x:v>
      </x:c>
      <x:c r="B1528" s="9" t="str">
        <x:v>NAN</x:v>
      </x:c>
      <x:c r="C1528" s="9" t="str">
        <x:v>Anulación local sin transmisión</x:v>
      </x:c>
      <x:c r="D1528" s="9" t="str">
        <x:v>P0</x:v>
      </x:c>
      <x:c r="E1528" s="9" t="str">
        <x:v>Negativa/control</x:v>
      </x:c>
      <x:c r="F1528" s="9" t="str">
        <x:v>Navegador + HTTP + persistencia; Real DEMO y doble identificados por separado</x:v>
      </x:c>
      <x:c r="G1528" s="23" t="str">
        <x:v>Pendiente</x:v>
      </x:c>
      <x:c r="H1528" s="23"/>
      <x:c r="I1528" s="23"/>
      <x:c r="J1528" s="23"/>
      <x:c r="K1528" s="23"/>
      <x:c r="L1528" s="24"/>
      <x:c r="M1528" s="23"/>
      <x:c r="N1528" s="23"/>
    </x:row>
    <x:row r="1529" ht="70" customHeight="1">
      <x:c r="A1529" s="9" t="str">
        <x:v>QA-NAN-003</x:v>
      </x:c>
      <x:c r="B1529" s="9" t="str">
        <x:v>NAN</x:v>
      </x:c>
      <x:c r="C1529" s="9" t="str">
        <x:v>Local tras ausencia acreditada</x:v>
      </x:c>
      <x:c r="D1529" s="9" t="str">
        <x:v>P0</x:v>
      </x:c>
      <x:c r="E1529" s="9" t="str">
        <x:v>Positiva/regresión</x:v>
      </x:c>
      <x:c r="F1529" s="9" t="str">
        <x:v>Navegador + HTTP + persistencia; Real DEMO y doble identificados por separado</x:v>
      </x:c>
      <x:c r="G1529" s="23" t="str">
        <x:v>Pendiente</x:v>
      </x:c>
      <x:c r="H1529" s="23"/>
      <x:c r="I1529" s="23"/>
      <x:c r="J1529" s="23"/>
      <x:c r="K1529" s="23"/>
      <x:c r="L1529" s="24"/>
      <x:c r="M1529" s="23"/>
      <x:c r="N1529" s="23"/>
    </x:row>
    <x:row r="1530" ht="70" customHeight="1">
      <x:c r="A1530" s="9" t="str">
        <x:v>QA-NAN-004</x:v>
      </x:c>
      <x:c r="B1530" s="9" t="str">
        <x:v>NAN</x:v>
      </x:c>
      <x:c r="C1530" s="9" t="str">
        <x:v>Incertidumbre sin ausencia bloquea local</x:v>
      </x:c>
      <x:c r="D1530" s="9" t="str">
        <x:v>P0</x:v>
      </x:c>
      <x:c r="E1530" s="9" t="str">
        <x:v>Negativa/control</x:v>
      </x:c>
      <x:c r="F1530" s="9" t="str">
        <x:v>Navegador + HTTP + persistencia; Real DEMO y doble identificados por separado</x:v>
      </x:c>
      <x:c r="G1530" s="23" t="str">
        <x:v>Pendiente</x:v>
      </x:c>
      <x:c r="H1530" s="23"/>
      <x:c r="I1530" s="23"/>
      <x:c r="J1530" s="23"/>
      <x:c r="K1530" s="23"/>
      <x:c r="L1530" s="24"/>
      <x:c r="M1530" s="23"/>
      <x:c r="N1530" s="23"/>
    </x:row>
    <x:row r="1531" ht="70" customHeight="1">
      <x:c r="A1531" s="9" t="str">
        <x:v>QA-NAN-005</x:v>
      </x:c>
      <x:c r="B1531" s="9" t="str">
        <x:v>NAN</x:v>
      </x:c>
      <x:c r="C1531" s="9" t="str">
        <x:v>Rechazo fiscal no habilita bypass</x:v>
      </x:c>
      <x:c r="D1531" s="9" t="str">
        <x:v>P0</x:v>
      </x:c>
      <x:c r="E1531" s="9" t="str">
        <x:v>Negativa/control</x:v>
      </x:c>
      <x:c r="F1531" s="9" t="str">
        <x:v>Navegador + HTTP + persistencia; Real DEMO y doble identificados por separado</x:v>
      </x:c>
      <x:c r="G1531" s="23" t="str">
        <x:v>Pendiente</x:v>
      </x:c>
      <x:c r="H1531" s="23"/>
      <x:c r="I1531" s="23"/>
      <x:c r="J1531" s="23"/>
      <x:c r="K1531" s="23"/>
      <x:c r="L1531" s="24"/>
      <x:c r="M1531" s="23"/>
      <x:c r="N1531" s="23"/>
    </x:row>
    <x:row r="1532" ht="70" customHeight="1">
      <x:c r="A1532" s="9" t="str">
        <x:v>QA-NAN-006</x:v>
      </x:c>
      <x:c r="B1532" s="9" t="str">
        <x:v>NAN</x:v>
      </x:c>
      <x:c r="C1532" s="9" t="str">
        <x:v>NC física anulación remota</x:v>
      </x:c>
      <x:c r="D1532" s="9" t="str">
        <x:v>P0</x:v>
      </x:c>
      <x:c r="E1532" s="9" t="str">
        <x:v>Positiva/regresión</x:v>
      </x:c>
      <x:c r="F1532" s="9" t="str">
        <x:v>Navegador + HTTP + persistencia; Real DEMO y doble identificados por separado</x:v>
      </x:c>
      <x:c r="G1532" s="23" t="str">
        <x:v>Pendiente</x:v>
      </x:c>
      <x:c r="H1532" s="23"/>
      <x:c r="I1532" s="23"/>
      <x:c r="J1532" s="23"/>
      <x:c r="K1532" s="23"/>
      <x:c r="L1532" s="24"/>
      <x:c r="M1532" s="23"/>
      <x:c r="N1532" s="23"/>
    </x:row>
    <x:row r="1533" ht="70" customHeight="1">
      <x:c r="A1533" s="9" t="str">
        <x:v>QA-NAN-007</x:v>
      </x:c>
      <x:c r="B1533" s="9" t="str">
        <x:v>NAN</x:v>
      </x:c>
      <x:c r="C1533" s="9" t="str">
        <x:v>ND monetaria anulación remota</x:v>
      </x:c>
      <x:c r="D1533" s="9" t="str">
        <x:v>P0</x:v>
      </x:c>
      <x:c r="E1533" s="9" t="str">
        <x:v>Positiva/regresión</x:v>
      </x:c>
      <x:c r="F1533" s="9" t="str">
        <x:v>Navegador + HTTP + persistencia; Real DEMO y doble identificados por separado</x:v>
      </x:c>
      <x:c r="G1533" s="23" t="str">
        <x:v>Pendiente</x:v>
      </x:c>
      <x:c r="H1533" s="23"/>
      <x:c r="I1533" s="23"/>
      <x:c r="J1533" s="23"/>
      <x:c r="K1533" s="23"/>
      <x:c r="L1533" s="24"/>
      <x:c r="M1533" s="23"/>
      <x:c r="N1533" s="23"/>
    </x:row>
    <x:row r="1534" ht="70" customHeight="1">
      <x:c r="A1534" s="9" t="str">
        <x:v>QA-NAN-008</x:v>
      </x:c>
      <x:c r="B1534" s="9" t="str">
        <x:v>NAN</x:v>
      </x:c>
      <x:c r="C1534" s="9" t="str">
        <x:v>Administrador requerido</x:v>
      </x:c>
      <x:c r="D1534" s="9" t="str">
        <x:v>P0</x:v>
      </x:c>
      <x:c r="E1534" s="9" t="str">
        <x:v>Positiva/regresión</x:v>
      </x:c>
      <x:c r="F1534" s="9" t="str">
        <x:v>Navegador + HTTP + persistencia; Real DEMO y doble identificados por separado</x:v>
      </x:c>
      <x:c r="G1534" s="23" t="str">
        <x:v>Pendiente</x:v>
      </x:c>
      <x:c r="H1534" s="23"/>
      <x:c r="I1534" s="23"/>
      <x:c r="J1534" s="23"/>
      <x:c r="K1534" s="23"/>
      <x:c r="L1534" s="24"/>
      <x:c r="M1534" s="23"/>
      <x:c r="N1534" s="23"/>
    </x:row>
    <x:row r="1535" ht="70" customHeight="1">
      <x:c r="A1535" s="9" t="str">
        <x:v>QA-NAN-009</x:v>
      </x:c>
      <x:c r="B1535" s="9" t="str">
        <x:v>NAN</x:v>
      </x:c>
      <x:c r="C1535" s="9" t="str">
        <x:v>Motivo vacío y UUID inválido</x:v>
      </x:c>
      <x:c r="D1535" s="9" t="str">
        <x:v>P0</x:v>
      </x:c>
      <x:c r="E1535" s="9" t="str">
        <x:v>Negativa/control</x:v>
      </x:c>
      <x:c r="F1535" s="9" t="str">
        <x:v>Navegador + HTTP + persistencia; Real DEMO y doble identificados por separado</x:v>
      </x:c>
      <x:c r="G1535" s="23" t="str">
        <x:v>Pendiente</x:v>
      </x:c>
      <x:c r="H1535" s="23"/>
      <x:c r="I1535" s="23"/>
      <x:c r="J1535" s="23"/>
      <x:c r="K1535" s="23"/>
      <x:c r="L1535" s="24"/>
      <x:c r="M1535" s="23"/>
      <x:c r="N1535" s="23"/>
    </x:row>
    <x:row r="1536" ht="70" customHeight="1">
      <x:c r="A1536" s="9" t="str">
        <x:v>QA-NAN-010</x:v>
      </x:c>
      <x:c r="B1536" s="9" t="str">
        <x:v>NAN</x:v>
      </x:c>
      <x:c r="C1536" s="9" t="str">
        <x:v>Cobros ND activos bloquean</x:v>
      </x:c>
      <x:c r="D1536" s="9" t="str">
        <x:v>P0</x:v>
      </x:c>
      <x:c r="E1536" s="9" t="str">
        <x:v>Negativa/control</x:v>
      </x:c>
      <x:c r="F1536" s="9" t="str">
        <x:v>Navegador + HTTP + persistencia; Real DEMO y doble identificados por separado</x:v>
      </x:c>
      <x:c r="G1536" s="23" t="str">
        <x:v>Pendiente</x:v>
      </x:c>
      <x:c r="H1536" s="23"/>
      <x:c r="I1536" s="23"/>
      <x:c r="J1536" s="23"/>
      <x:c r="K1536" s="23"/>
      <x:c r="L1536" s="24"/>
      <x:c r="M1536" s="23"/>
      <x:c r="N1536" s="23"/>
    </x:row>
    <x:row r="1537" ht="70" customHeight="1">
      <x:c r="A1537" s="9" t="str">
        <x:v>QA-NAN-011</x:v>
      </x:c>
      <x:c r="B1537" s="9" t="str">
        <x:v>NAN</x:v>
      </x:c>
      <x:c r="C1537" s="9" t="str">
        <x:v>Refund NC activo bloquea</x:v>
      </x:c>
      <x:c r="D1537" s="9" t="str">
        <x:v>P0</x:v>
      </x:c>
      <x:c r="E1537" s="9" t="str">
        <x:v>Negativa/control</x:v>
      </x:c>
      <x:c r="F1537" s="9" t="str">
        <x:v>Navegador + HTTP + persistencia; Real DEMO y doble identificados por separado</x:v>
      </x:c>
      <x:c r="G1537" s="23" t="str">
        <x:v>Pendiente</x:v>
      </x:c>
      <x:c r="H1537" s="23"/>
      <x:c r="I1537" s="23"/>
      <x:c r="J1537" s="23"/>
      <x:c r="K1537" s="23"/>
      <x:c r="L1537" s="24"/>
      <x:c r="M1537" s="23"/>
      <x:c r="N1537" s="23"/>
    </x:row>
    <x:row r="1538" ht="70" customHeight="1">
      <x:c r="A1538" s="9" t="str">
        <x:v>QA-NAN-012</x:v>
      </x:c>
      <x:c r="B1538" s="9" t="str">
        <x:v>NAN</x:v>
      </x:c>
      <x:c r="C1538" s="9" t="str">
        <x:v>Ajuste activo bloquea</x:v>
      </x:c>
      <x:c r="D1538" s="9" t="str">
        <x:v>P0</x:v>
      </x:c>
      <x:c r="E1538" s="9" t="str">
        <x:v>Negativa/control</x:v>
      </x:c>
      <x:c r="F1538" s="9" t="str">
        <x:v>Navegador + HTTP + persistencia; Real DEMO y doble identificados por separado</x:v>
      </x:c>
      <x:c r="G1538" s="23" t="str">
        <x:v>Pendiente</x:v>
      </x:c>
      <x:c r="H1538" s="23"/>
      <x:c r="I1538" s="23"/>
      <x:c r="J1538" s="23"/>
      <x:c r="K1538" s="23"/>
      <x:c r="L1538" s="24"/>
      <x:c r="M1538" s="23"/>
      <x:c r="N1538" s="23"/>
    </x:row>
    <x:row r="1539" ht="70" customHeight="1">
      <x:c r="A1539" s="9" t="str">
        <x:v>QA-NAN-013</x:v>
      </x:c>
      <x:c r="B1539" s="9" t="str">
        <x:v>NAN</x:v>
      </x:c>
      <x:c r="C1539" s="9" t="str">
        <x:v>Validación previa stock antes HKA</x:v>
      </x:c>
      <x:c r="D1539" s="9" t="str">
        <x:v>P0</x:v>
      </x:c>
      <x:c r="E1539" s="9" t="str">
        <x:v>Positiva/regresión</x:v>
      </x:c>
      <x:c r="F1539" s="9" t="str">
        <x:v>Navegador + HTTP + persistencia; Real DEMO y doble identificados por separado</x:v>
      </x:c>
      <x:c r="G1539" s="23" t="str">
        <x:v>Pendiente</x:v>
      </x:c>
      <x:c r="H1539" s="23"/>
      <x:c r="I1539" s="23"/>
      <x:c r="J1539" s="23"/>
      <x:c r="K1539" s="23"/>
      <x:c r="L1539" s="24"/>
      <x:c r="M1539" s="23"/>
      <x:c r="N1539" s="23"/>
    </x:row>
    <x:row r="1540" ht="70" customHeight="1">
      <x:c r="A1540" s="9" t="str">
        <x:v>QA-NAN-014</x:v>
      </x:c>
      <x:c r="B1540" s="9" t="str">
        <x:v>NAN</x:v>
      </x:c>
      <x:c r="C1540" s="9" t="str">
        <x:v>Timeout conserva reservas</x:v>
      </x:c>
      <x:c r="D1540" s="9" t="str">
        <x:v>P0</x:v>
      </x:c>
      <x:c r="E1540" s="9" t="str">
        <x:v>Negativa/control</x:v>
      </x:c>
      <x:c r="F1540" s="9" t="str">
        <x:v>Navegador + HTTP + persistencia; Real DEMO y doble identificados por separado</x:v>
      </x:c>
      <x:c r="G1540" s="23" t="str">
        <x:v>Pendiente</x:v>
      </x:c>
      <x:c r="H1540" s="23"/>
      <x:c r="I1540" s="23"/>
      <x:c r="J1540" s="23"/>
      <x:c r="K1540" s="23"/>
      <x:c r="L1540" s="24"/>
      <x:c r="M1540" s="23"/>
      <x:c r="N1540" s="23"/>
    </x:row>
    <x:row r="1541" ht="70" customHeight="1">
      <x:c r="A1541" s="9" t="str">
        <x:v>QA-NAN-015</x:v>
      </x:c>
      <x:c r="B1541" s="9" t="str">
        <x:v>NAN</x:v>
      </x:c>
      <x:c r="C1541" s="9" t="str">
        <x:v>Listado 201 vacío no prueba ausencia</x:v>
      </x:c>
      <x:c r="D1541" s="9" t="str">
        <x:v>P0</x:v>
      </x:c>
      <x:c r="E1541" s="9" t="str">
        <x:v>Positiva/regresión</x:v>
      </x:c>
      <x:c r="F1541" s="9" t="str">
        <x:v>Navegador + HTTP + persistencia; Real DEMO y doble identificados por separado</x:v>
      </x:c>
      <x:c r="G1541" s="23" t="str">
        <x:v>Pendiente</x:v>
      </x:c>
      <x:c r="H1541" s="23"/>
      <x:c r="I1541" s="23"/>
      <x:c r="J1541" s="23"/>
      <x:c r="K1541" s="23"/>
      <x:c r="L1541" s="24"/>
      <x:c r="M1541" s="23"/>
      <x:c r="N1541" s="23"/>
    </x:row>
    <x:row r="1542" ht="70" customHeight="1">
      <x:c r="A1542" s="9" t="str">
        <x:v>QA-NAN-016</x:v>
      </x:c>
      <x:c r="B1542" s="9" t="str">
        <x:v>NAN</x:v>
      </x:c>
      <x:c r="C1542" s="9" t="str">
        <x:v>EstadoDocumento Anulada confirma</x:v>
      </x:c>
      <x:c r="D1542" s="9" t="str">
        <x:v>P0</x:v>
      </x:c>
      <x:c r="E1542" s="9" t="str">
        <x:v>Positiva/regresión</x:v>
      </x:c>
      <x:c r="F1542" s="9" t="str">
        <x:v>Navegador + HTTP + persistencia; Real DEMO y doble identificados por separado</x:v>
      </x:c>
      <x:c r="G1542" s="23" t="str">
        <x:v>Pendiente</x:v>
      </x:c>
      <x:c r="H1542" s="23"/>
      <x:c r="I1542" s="23"/>
      <x:c r="J1542" s="23"/>
      <x:c r="K1542" s="23"/>
      <x:c r="L1542" s="24"/>
      <x:c r="M1542" s="23"/>
      <x:c r="N1542" s="23"/>
    </x:row>
    <x:row r="1543" ht="70" customHeight="1">
      <x:c r="A1543" s="9" t="str">
        <x:v>QA-NAN-017</x:v>
      </x:c>
      <x:c r="B1543" s="9" t="str">
        <x:v>NAN</x:v>
      </x:c>
      <x:c r="C1543" s="9" t="str">
        <x:v>Identidad Anulada ajena rechazada</x:v>
      </x:c>
      <x:c r="D1543" s="9" t="str">
        <x:v>P0</x:v>
      </x:c>
      <x:c r="E1543" s="9" t="str">
        <x:v>Negativa/control</x:v>
      </x:c>
      <x:c r="F1543" s="9" t="str">
        <x:v>Navegador + HTTP + persistencia; Real DEMO y doble identificados por separado</x:v>
      </x:c>
      <x:c r="G1543" s="23" t="str">
        <x:v>Pendiente</x:v>
      </x:c>
      <x:c r="H1543" s="23"/>
      <x:c r="I1543" s="23"/>
      <x:c r="J1543" s="23"/>
      <x:c r="K1543" s="23"/>
      <x:c r="L1543" s="24"/>
      <x:c r="M1543" s="23"/>
      <x:c r="N1543" s="23"/>
    </x:row>
    <x:row r="1544" ht="70" customHeight="1">
      <x:c r="A1544" s="9" t="str">
        <x:v>QA-NAN-018</x:v>
      </x:c>
      <x:c r="B1544" s="9" t="str">
        <x:v>NAN</x:v>
      </x:c>
      <x:c r="C1544" s="9" t="str">
        <x:v>Listado paginado coteja RIF serie control</x:v>
      </x:c>
      <x:c r="D1544" s="9" t="str">
        <x:v>P0</x:v>
      </x:c>
      <x:c r="E1544" s="9" t="str">
        <x:v>Positiva/regresión</x:v>
      </x:c>
      <x:c r="F1544" s="9" t="str">
        <x:v>Navegador + HTTP + persistencia; Real DEMO y doble identificados por separado</x:v>
      </x:c>
      <x:c r="G1544" s="23" t="str">
        <x:v>Pendiente</x:v>
      </x:c>
      <x:c r="H1544" s="23"/>
      <x:c r="I1544" s="23"/>
      <x:c r="J1544" s="23"/>
      <x:c r="K1544" s="23"/>
      <x:c r="L1544" s="24"/>
      <x:c r="M1544" s="23"/>
      <x:c r="N1544" s="23"/>
    </x:row>
    <x:row r="1545" ht="70" customHeight="1">
      <x:c r="A1545" s="9" t="str">
        <x:v>QA-NAN-019</x:v>
      </x:c>
      <x:c r="B1545" s="9" t="str">
        <x:v>NAN</x:v>
      </x:c>
      <x:c r="C1545" s="9" t="str">
        <x:v>Rechazo remoto mantiene efectos</x:v>
      </x:c>
      <x:c r="D1545" s="9" t="str">
        <x:v>P0</x:v>
      </x:c>
      <x:c r="E1545" s="9" t="str">
        <x:v>Negativa/control</x:v>
      </x:c>
      <x:c r="F1545" s="9" t="str">
        <x:v>Navegador + HTTP + persistencia; Real DEMO y doble identificados por separado</x:v>
      </x:c>
      <x:c r="G1545" s="23" t="str">
        <x:v>Pendiente</x:v>
      </x:c>
      <x:c r="H1545" s="23"/>
      <x:c r="I1545" s="23"/>
      <x:c r="J1545" s="23"/>
      <x:c r="K1545" s="23"/>
      <x:c r="L1545" s="24"/>
      <x:c r="M1545" s="23"/>
      <x:c r="N1545" s="23"/>
    </x:row>
    <x:row r="1546" ht="70" customHeight="1">
      <x:c r="A1546" s="9" t="str">
        <x:v>QA-NAN-020</x:v>
      </x:c>
      <x:c r="B1546" s="9" t="str">
        <x:v>NAN</x:v>
      </x:c>
      <x:c r="C1546" s="9" t="str">
        <x:v>Remoto confirmado pero stock falla</x:v>
      </x:c>
      <x:c r="D1546" s="9" t="str">
        <x:v>P0</x:v>
      </x:c>
      <x:c r="E1546" s="9" t="str">
        <x:v>Negativa/control</x:v>
      </x:c>
      <x:c r="F1546" s="9" t="str">
        <x:v>Navegador + HTTP + persistencia; Real DEMO y doble identificados por separado</x:v>
      </x:c>
      <x:c r="G1546" s="23" t="str">
        <x:v>Pendiente</x:v>
      </x:c>
      <x:c r="H1546" s="23"/>
      <x:c r="I1546" s="23"/>
      <x:c r="J1546" s="23"/>
      <x:c r="K1546" s="23"/>
      <x:c r="L1546" s="24"/>
      <x:c r="M1546" s="23"/>
      <x:c r="N1546" s="23"/>
    </x:row>
    <x:row r="1547" ht="70" customHeight="1">
      <x:c r="A1547" s="9" t="str">
        <x:v>QA-NAN-021</x:v>
      </x:c>
      <x:c r="B1547" s="9" t="str">
        <x:v>NAN</x:v>
      </x:c>
      <x:c r="C1547" s="9" t="str">
        <x:v>Completar local sin repetir Anular</x:v>
      </x:c>
      <x:c r="D1547" s="9" t="str">
        <x:v>P0</x:v>
      </x:c>
      <x:c r="E1547" s="9" t="str">
        <x:v>Negativa/control</x:v>
      </x:c>
      <x:c r="F1547" s="9" t="str">
        <x:v>Navegador + HTTP + persistencia; Real DEMO y doble identificados por separado</x:v>
      </x:c>
      <x:c r="G1547" s="23" t="str">
        <x:v>Pendiente</x:v>
      </x:c>
      <x:c r="H1547" s="23"/>
      <x:c r="I1547" s="23"/>
      <x:c r="J1547" s="23"/>
      <x:c r="K1547" s="23"/>
      <x:c r="L1547" s="24"/>
      <x:c r="M1547" s="23"/>
      <x:c r="N1547" s="23"/>
    </x:row>
    <x:row r="1548" ht="70" customHeight="1">
      <x:c r="A1548" s="9" t="str">
        <x:v>QA-NAN-022</x:v>
      </x:c>
      <x:c r="B1548" s="9" t="str">
        <x:v>NAN</x:v>
      </x:c>
      <x:c r="C1548" s="9" t="str">
        <x:v>UUID replay anulación</x:v>
      </x:c>
      <x:c r="D1548" s="9" t="str">
        <x:v>P0</x:v>
      </x:c>
      <x:c r="E1548" s="9" t="str">
        <x:v>Positiva/regresión</x:v>
      </x:c>
      <x:c r="F1548" s="9" t="str">
        <x:v>Navegador + HTTP + persistencia; Real DEMO y doble identificados por separado</x:v>
      </x:c>
      <x:c r="G1548" s="23" t="str">
        <x:v>Pendiente</x:v>
      </x:c>
      <x:c r="H1548" s="23"/>
      <x:c r="I1548" s="23"/>
      <x:c r="J1548" s="23"/>
      <x:c r="K1548" s="23"/>
      <x:c r="L1548" s="24"/>
      <x:c r="M1548" s="23"/>
      <x:c r="N1548" s="23"/>
    </x:row>
    <x:row r="1549" ht="70" customHeight="1">
      <x:c r="A1549" s="9" t="str">
        <x:v>QA-NAN-023</x:v>
      </x:c>
      <x:c r="B1549" s="9" t="str">
        <x:v>NAN</x:v>
      </x:c>
      <x:c r="C1549" s="9" t="str">
        <x:v>UUID colisión anulación</x:v>
      </x:c>
      <x:c r="D1549" s="9" t="str">
        <x:v>P0</x:v>
      </x:c>
      <x:c r="E1549" s="9" t="str">
        <x:v>Positiva/regresión</x:v>
      </x:c>
      <x:c r="F1549" s="9" t="str">
        <x:v>Navegador + HTTP + persistencia; Real DEMO y doble identificados por separado</x:v>
      </x:c>
      <x:c r="G1549" s="23" t="str">
        <x:v>Pendiente</x:v>
      </x:c>
      <x:c r="H1549" s="23"/>
      <x:c r="I1549" s="23"/>
      <x:c r="J1549" s="23"/>
      <x:c r="K1549" s="23"/>
      <x:c r="L1549" s="24"/>
      <x:c r="M1549" s="23"/>
      <x:c r="N1549" s="23"/>
    </x:row>
    <x:row r="1550" ht="70" customHeight="1">
      <x:c r="A1550" s="9" t="str">
        <x:v>QA-NAN-024</x:v>
      </x:c>
      <x:c r="B1550" s="9" t="str">
        <x:v>NAN</x:v>
      </x:c>
      <x:c r="C1550" s="9" t="str">
        <x:v>Dos anulaciones concurrentes</x:v>
      </x:c>
      <x:c r="D1550" s="9" t="str">
        <x:v>P0</x:v>
      </x:c>
      <x:c r="E1550" s="9" t="str">
        <x:v>Positiva/regresión</x:v>
      </x:c>
      <x:c r="F1550" s="9" t="str">
        <x:v>Navegador + HTTP + persistencia; Real DEMO y doble identificados por separado</x:v>
      </x:c>
      <x:c r="G1550" s="23" t="str">
        <x:v>Pendiente</x:v>
      </x:c>
      <x:c r="H1550" s="23"/>
      <x:c r="I1550" s="23"/>
      <x:c r="J1550" s="23"/>
      <x:c r="K1550" s="23"/>
      <x:c r="L1550" s="24"/>
      <x:c r="M1550" s="23"/>
      <x:c r="N1550" s="23"/>
    </x:row>
    <x:row r="1551" ht="70" customHeight="1">
      <x:c r="A1551" s="9" t="str">
        <x:v>QA-NAN-025</x:v>
      </x:c>
      <x:c r="B1551" s="9" t="str">
        <x:v>NAN</x:v>
      </x:c>
      <x:c r="C1551" s="9" t="str">
        <x:v>Respuesta tardía intento antiguo</x:v>
      </x:c>
      <x:c r="D1551" s="9" t="str">
        <x:v>P0</x:v>
      </x:c>
      <x:c r="E1551" s="9" t="str">
        <x:v>Positiva/regresión</x:v>
      </x:c>
      <x:c r="F1551" s="9" t="str">
        <x:v>Navegador + HTTP + persistencia; Real DEMO y doble identificados por separado</x:v>
      </x:c>
      <x:c r="G1551" s="23" t="str">
        <x:v>Pendiente</x:v>
      </x:c>
      <x:c r="H1551" s="23"/>
      <x:c r="I1551" s="23"/>
      <x:c r="J1551" s="23"/>
      <x:c r="K1551" s="23"/>
      <x:c r="L1551" s="24"/>
      <x:c r="M1551" s="23"/>
      <x:c r="N1551" s="23"/>
    </x:row>
    <x:row r="1552" ht="70" customHeight="1">
      <x:c r="A1552" s="9" t="str">
        <x:v>QA-NAN-026</x:v>
      </x:c>
      <x:c r="B1552" s="9" t="str">
        <x:v>NAN</x:v>
      </x:c>
      <x:c r="C1552" s="9" t="str">
        <x:v>Cambio configuración mientras autentica</x:v>
      </x:c>
      <x:c r="D1552" s="9" t="str">
        <x:v>P0</x:v>
      </x:c>
      <x:c r="E1552" s="9" t="str">
        <x:v>Positiva/regresión</x:v>
      </x:c>
      <x:c r="F1552" s="9" t="str">
        <x:v>Navegador + HTTP + persistencia; Real DEMO y doble identificados por separado</x:v>
      </x:c>
      <x:c r="G1552" s="23" t="str">
        <x:v>Pendiente</x:v>
      </x:c>
      <x:c r="H1552" s="23"/>
      <x:c r="I1552" s="23"/>
      <x:c r="J1552" s="23"/>
      <x:c r="K1552" s="23"/>
      <x:c r="L1552" s="24"/>
      <x:c r="M1552" s="23"/>
      <x:c r="N1552" s="23"/>
    </x:row>
    <x:row r="1553" ht="70" customHeight="1">
      <x:c r="A1553" s="9" t="str">
        <x:v>QA-NAN-027</x:v>
      </x:c>
      <x:c r="B1553" s="9" t="str">
        <x:v>NAN</x:v>
      </x:c>
      <x:c r="C1553" s="9" t="str">
        <x:v>Ruta antigua no anula notas</x:v>
      </x:c>
      <x:c r="D1553" s="9" t="str">
        <x:v>P0</x:v>
      </x:c>
      <x:c r="E1553" s="9" t="str">
        <x:v>Positiva/regresión</x:v>
      </x:c>
      <x:c r="F1553" s="9" t="str">
        <x:v>Navegador + HTTP + persistencia; Real DEMO y doble identificados por separado</x:v>
      </x:c>
      <x:c r="G1553" s="23" t="str">
        <x:v>Pendiente</x:v>
      </x:c>
      <x:c r="H1553" s="23"/>
      <x:c r="I1553" s="23"/>
      <x:c r="J1553" s="23"/>
      <x:c r="K1553" s="23"/>
      <x:c r="L1553" s="24"/>
      <x:c r="M1553" s="23"/>
      <x:c r="N1553" s="23"/>
    </x:row>
    <x:row r="1554" ht="70" customHeight="1">
      <x:c r="A1554" s="9" t="str">
        <x:v>QA-NAN-028</x:v>
      </x:c>
      <x:c r="B1554" s="9" t="str">
        <x:v>NAN</x:v>
      </x:c>
      <x:c r="C1554" s="9" t="str">
        <x:v>Consulta repeated completed</x:v>
      </x:c>
      <x:c r="D1554" s="9" t="str">
        <x:v>P0</x:v>
      </x:c>
      <x:c r="E1554" s="9" t="str">
        <x:v>Positiva/regresión</x:v>
      </x:c>
      <x:c r="F1554" s="9" t="str">
        <x:v>Navegador + HTTP + persistencia; Real DEMO y doble identificados por separado</x:v>
      </x:c>
      <x:c r="G1554" s="23" t="str">
        <x:v>Pendiente</x:v>
      </x:c>
      <x:c r="H1554" s="23"/>
      <x:c r="I1554" s="23"/>
      <x:c r="J1554" s="23"/>
      <x:c r="K1554" s="23"/>
      <x:c r="L1554" s="24"/>
      <x:c r="M1554" s="23"/>
      <x:c r="N1554" s="23"/>
    </x:row>
    <x:row r="1555" ht="70" customHeight="1">
      <x:c r="A1555" s="9" t="str">
        <x:v>QA-NAN-029</x:v>
      </x:c>
      <x:c r="B1555" s="9" t="str">
        <x:v>NAN</x:v>
      </x:c>
      <x:c r="C1555" s="9" t="str">
        <x:v>Anulación conserva lotes y seriales exactos</x:v>
      </x:c>
      <x:c r="D1555" s="9" t="str">
        <x:v>P0</x:v>
      </x:c>
      <x:c r="E1555" s="9" t="str">
        <x:v>Positiva/regresión</x:v>
      </x:c>
      <x:c r="F1555" s="9" t="str">
        <x:v>Navegador + HTTP + persistencia; Real DEMO y doble identificados por separado</x:v>
      </x:c>
      <x:c r="G1555" s="23" t="str">
        <x:v>Pendiente</x:v>
      </x:c>
      <x:c r="H1555" s="23"/>
      <x:c r="I1555" s="23"/>
      <x:c r="J1555" s="23"/>
      <x:c r="K1555" s="23"/>
      <x:c r="L1555" s="24"/>
      <x:c r="M1555" s="23"/>
      <x:c r="N1555" s="23"/>
    </x:row>
    <x:row r="1556" ht="70" customHeight="1">
      <x:c r="A1556" s="9" t="str">
        <x:v>QA-NAN-030</x:v>
      </x:c>
      <x:c r="B1556" s="9" t="str">
        <x:v>NAN</x:v>
      </x:c>
      <x:c r="C1556" s="9" t="str">
        <x:v>Anulación NC monetaria sin stock</x:v>
      </x:c>
      <x:c r="D1556" s="9" t="str">
        <x:v>P0</x:v>
      </x:c>
      <x:c r="E1556" s="9" t="str">
        <x:v>Negativa/control</x:v>
      </x:c>
      <x:c r="F1556" s="9" t="str">
        <x:v>Navegador + HTTP + persistencia; Real DEMO y doble identificados por separado</x:v>
      </x:c>
      <x:c r="G1556" s="23" t="str">
        <x:v>Pendiente</x:v>
      </x:c>
      <x:c r="H1556" s="23"/>
      <x:c r="I1556" s="23"/>
      <x:c r="J1556" s="23"/>
      <x:c r="K1556" s="23"/>
      <x:c r="L1556" s="24"/>
      <x:c r="M1556" s="23"/>
      <x:c r="N1556" s="23"/>
    </x:row>
    <x:row r="1557" ht="70" customHeight="1">
      <x:c r="A1557" s="9" t="str">
        <x:v>QA-NAN-031</x:v>
      </x:c>
      <x:c r="B1557" s="9" t="str">
        <x:v>NAN</x:v>
      </x:c>
      <x:c r="C1557" s="9" t="str">
        <x:v>Factura no se anula por endpoint notas</x:v>
      </x:c>
      <x:c r="D1557" s="9" t="str">
        <x:v>P0</x:v>
      </x:c>
      <x:c r="E1557" s="9" t="str">
        <x:v>Positiva/regresión</x:v>
      </x:c>
      <x:c r="F1557" s="9" t="str">
        <x:v>Navegador + HTTP + persistencia; Real DEMO y doble identificados por separado</x:v>
      </x:c>
      <x:c r="G1557" s="23" t="str">
        <x:v>Pendiente</x:v>
      </x:c>
      <x:c r="H1557" s="23"/>
      <x:c r="I1557" s="23"/>
      <x:c r="J1557" s="23"/>
      <x:c r="K1557" s="23"/>
      <x:c r="L1557" s="24"/>
      <x:c r="M1557" s="23"/>
      <x:c r="N1557" s="23"/>
    </x:row>
    <x:row r="1558" ht="70" customHeight="1">
      <x:c r="A1558" s="9" t="str">
        <x:v>QA-NAN-032</x:v>
      </x:c>
      <x:c r="B1558" s="9" t="str">
        <x:v>NAN</x:v>
      </x:c>
      <x:c r="C1558" s="9" t="str">
        <x:v>IGTF98 no entra en anulación ordinaria</x:v>
      </x:c>
      <x:c r="D1558" s="9" t="str">
        <x:v>P0</x:v>
      </x:c>
      <x:c r="E1558" s="9" t="str">
        <x:v>Positiva/regresión</x:v>
      </x:c>
      <x:c r="F1558" s="9" t="str">
        <x:v>Navegador + HTTP + persistencia; Real DEMO y doble identificados por separado</x:v>
      </x:c>
      <x:c r="G1558" s="23" t="str">
        <x:v>Pendiente</x:v>
      </x:c>
      <x:c r="H1558" s="23"/>
      <x:c r="I1558" s="23"/>
      <x:c r="J1558" s="23"/>
      <x:c r="K1558" s="23"/>
      <x:c r="L1558" s="24"/>
      <x:c r="M1558" s="23"/>
      <x:c r="N1558" s="23"/>
    </x:row>
    <x:row r="1559" ht="70" customHeight="1">
      <x:c r="A1559" s="9" t="str">
        <x:v>QA-ODE-001</x:v>
      </x:c>
      <x:c r="B1559" s="9" t="str">
        <x:v>ODE</x:v>
      </x:c>
      <x:c r="C1559" s="9" t="str">
        <x:v>Motivo 04 / transporte público / stock 0 / valorización 0</x:v>
      </x:c>
      <x:c r="D1559" s="9" t="str">
        <x:v>P0</x:v>
      </x:c>
      <x:c r="E1559" s="9" t="str">
        <x:v>Positiva</x:v>
      </x:c>
      <x:c r="F1559" s="9" t="str">
        <x:v>Navegador + HTTP + persistencia; Real DEMO y doble identificados por separado</x:v>
      </x:c>
      <x:c r="G1559" s="23" t="str">
        <x:v>Pendiente</x:v>
      </x:c>
      <x:c r="H1559" s="23"/>
      <x:c r="I1559" s="23"/>
      <x:c r="J1559" s="23"/>
      <x:c r="K1559" s="23"/>
      <x:c r="L1559" s="24"/>
      <x:c r="M1559" s="23"/>
      <x:c r="N1559" s="23"/>
    </x:row>
    <x:row r="1560" ht="70" customHeight="1">
      <x:c r="A1560" s="9" t="str">
        <x:v>QA-ODE-002</x:v>
      </x:c>
      <x:c r="B1560" s="9" t="str">
        <x:v>ODE</x:v>
      </x:c>
      <x:c r="C1560" s="9" t="str">
        <x:v>Motivo 04 / transporte público / stock 0 / valorización 1</x:v>
      </x:c>
      <x:c r="D1560" s="9" t="str">
        <x:v>P0</x:v>
      </x:c>
      <x:c r="E1560" s="9" t="str">
        <x:v>Positiva</x:v>
      </x:c>
      <x:c r="F1560" s="9" t="str">
        <x:v>Navegador + HTTP + persistencia; Real DEMO y doble identificados por separado</x:v>
      </x:c>
      <x:c r="G1560" s="23" t="str">
        <x:v>Pendiente</x:v>
      </x:c>
      <x:c r="H1560" s="23"/>
      <x:c r="I1560" s="23"/>
      <x:c r="J1560" s="23"/>
      <x:c r="K1560" s="23"/>
      <x:c r="L1560" s="24"/>
      <x:c r="M1560" s="23"/>
      <x:c r="N1560" s="23"/>
    </x:row>
    <x:row r="1561" ht="70" customHeight="1">
      <x:c r="A1561" s="9" t="str">
        <x:v>QA-ODE-003</x:v>
      </x:c>
      <x:c r="B1561" s="9" t="str">
        <x:v>ODE</x:v>
      </x:c>
      <x:c r="C1561" s="9" t="str">
        <x:v>Motivo 04 / transporte público / stock 1 / valorización 0</x:v>
      </x:c>
      <x:c r="D1561" s="9" t="str">
        <x:v>P0</x:v>
      </x:c>
      <x:c r="E1561" s="9" t="str">
        <x:v>Positiva</x:v>
      </x:c>
      <x:c r="F1561" s="9" t="str">
        <x:v>Navegador + HTTP + persistencia; Real DEMO y doble identificados por separado</x:v>
      </x:c>
      <x:c r="G1561" s="23" t="str">
        <x:v>Pendiente</x:v>
      </x:c>
      <x:c r="H1561" s="23"/>
      <x:c r="I1561" s="23"/>
      <x:c r="J1561" s="23"/>
      <x:c r="K1561" s="23"/>
      <x:c r="L1561" s="24"/>
      <x:c r="M1561" s="23"/>
      <x:c r="N1561" s="23"/>
    </x:row>
    <x:row r="1562" ht="70" customHeight="1">
      <x:c r="A1562" s="9" t="str">
        <x:v>QA-ODE-004</x:v>
      </x:c>
      <x:c r="B1562" s="9" t="str">
        <x:v>ODE</x:v>
      </x:c>
      <x:c r="C1562" s="9" t="str">
        <x:v>Motivo 04 / transporte público / stock 1 / valorización 1</x:v>
      </x:c>
      <x:c r="D1562" s="9" t="str">
        <x:v>P0</x:v>
      </x:c>
      <x:c r="E1562" s="9" t="str">
        <x:v>Positiva</x:v>
      </x:c>
      <x:c r="F1562" s="9" t="str">
        <x:v>Navegador + HTTP + persistencia; Real DEMO y doble identificados por separado</x:v>
      </x:c>
      <x:c r="G1562" s="23" t="str">
        <x:v>Pendiente</x:v>
      </x:c>
      <x:c r="H1562" s="23"/>
      <x:c r="I1562" s="23"/>
      <x:c r="J1562" s="23"/>
      <x:c r="K1562" s="23"/>
      <x:c r="L1562" s="24"/>
      <x:c r="M1562" s="23"/>
      <x:c r="N1562" s="23"/>
    </x:row>
    <x:row r="1563" ht="70" customHeight="1">
      <x:c r="A1563" s="9" t="str">
        <x:v>QA-ODE-005</x:v>
      </x:c>
      <x:c r="B1563" s="9" t="str">
        <x:v>ODE</x:v>
      </x:c>
      <x:c r="C1563" s="9" t="str">
        <x:v>Motivo 04 / transporte privado / stock 0 / valorización 0</x:v>
      </x:c>
      <x:c r="D1563" s="9" t="str">
        <x:v>P0</x:v>
      </x:c>
      <x:c r="E1563" s="9" t="str">
        <x:v>Positiva</x:v>
      </x:c>
      <x:c r="F1563" s="9" t="str">
        <x:v>Navegador + HTTP + persistencia; Real DEMO y doble identificados por separado</x:v>
      </x:c>
      <x:c r="G1563" s="23" t="str">
        <x:v>Pendiente</x:v>
      </x:c>
      <x:c r="H1563" s="23"/>
      <x:c r="I1563" s="23"/>
      <x:c r="J1563" s="23"/>
      <x:c r="K1563" s="23"/>
      <x:c r="L1563" s="24"/>
      <x:c r="M1563" s="23"/>
      <x:c r="N1563" s="23"/>
    </x:row>
    <x:row r="1564" ht="70" customHeight="1">
      <x:c r="A1564" s="9" t="str">
        <x:v>QA-ODE-006</x:v>
      </x:c>
      <x:c r="B1564" s="9" t="str">
        <x:v>ODE</x:v>
      </x:c>
      <x:c r="C1564" s="9" t="str">
        <x:v>Motivo 04 / transporte privado / stock 0 / valorización 1</x:v>
      </x:c>
      <x:c r="D1564" s="9" t="str">
        <x:v>P0</x:v>
      </x:c>
      <x:c r="E1564" s="9" t="str">
        <x:v>Positiva</x:v>
      </x:c>
      <x:c r="F1564" s="9" t="str">
        <x:v>Navegador + HTTP + persistencia; Real DEMO y doble identificados por separado</x:v>
      </x:c>
      <x:c r="G1564" s="23" t="str">
        <x:v>Pendiente</x:v>
      </x:c>
      <x:c r="H1564" s="23"/>
      <x:c r="I1564" s="23"/>
      <x:c r="J1564" s="23"/>
      <x:c r="K1564" s="23"/>
      <x:c r="L1564" s="24"/>
      <x:c r="M1564" s="23"/>
      <x:c r="N1564" s="23"/>
    </x:row>
    <x:row r="1565" ht="70" customHeight="1">
      <x:c r="A1565" s="9" t="str">
        <x:v>QA-ODE-007</x:v>
      </x:c>
      <x:c r="B1565" s="9" t="str">
        <x:v>ODE</x:v>
      </x:c>
      <x:c r="C1565" s="9" t="str">
        <x:v>Motivo 04 / transporte privado / stock 1 / valorización 0</x:v>
      </x:c>
      <x:c r="D1565" s="9" t="str">
        <x:v>P0</x:v>
      </x:c>
      <x:c r="E1565" s="9" t="str">
        <x:v>Positiva</x:v>
      </x:c>
      <x:c r="F1565" s="9" t="str">
        <x:v>Navegador + HTTP + persistencia; Real DEMO y doble identificados por separado</x:v>
      </x:c>
      <x:c r="G1565" s="23" t="str">
        <x:v>Pendiente</x:v>
      </x:c>
      <x:c r="H1565" s="23"/>
      <x:c r="I1565" s="23"/>
      <x:c r="J1565" s="23"/>
      <x:c r="K1565" s="23"/>
      <x:c r="L1565" s="24"/>
      <x:c r="M1565" s="23"/>
      <x:c r="N1565" s="23"/>
    </x:row>
    <x:row r="1566" ht="70" customHeight="1">
      <x:c r="A1566" s="9" t="str">
        <x:v>QA-ODE-008</x:v>
      </x:c>
      <x:c r="B1566" s="9" t="str">
        <x:v>ODE</x:v>
      </x:c>
      <x:c r="C1566" s="9" t="str">
        <x:v>Motivo 04 / transporte privado / stock 1 / valorización 1</x:v>
      </x:c>
      <x:c r="D1566" s="9" t="str">
        <x:v>P0</x:v>
      </x:c>
      <x:c r="E1566" s="9" t="str">
        <x:v>Positiva</x:v>
      </x:c>
      <x:c r="F1566" s="9" t="str">
        <x:v>Navegador + HTTP + persistencia; Real DEMO y doble identificados por separado</x:v>
      </x:c>
      <x:c r="G1566" s="23" t="str">
        <x:v>Pendiente</x:v>
      </x:c>
      <x:c r="H1566" s="23"/>
      <x:c r="I1566" s="23"/>
      <x:c r="J1566" s="23"/>
      <x:c r="K1566" s="23"/>
      <x:c r="L1566" s="24"/>
      <x:c r="M1566" s="23"/>
      <x:c r="N1566" s="23"/>
    </x:row>
    <x:row r="1567" ht="70" customHeight="1">
      <x:c r="A1567" s="9" t="str">
        <x:v>QA-ODE-009</x:v>
      </x:c>
      <x:c r="B1567" s="9" t="str">
        <x:v>ODE</x:v>
      </x:c>
      <x:c r="C1567" s="9" t="str">
        <x:v>Motivo 21 / transporte público / stock 0 / valorización 0</x:v>
      </x:c>
      <x:c r="D1567" s="9" t="str">
        <x:v>P0</x:v>
      </x:c>
      <x:c r="E1567" s="9" t="str">
        <x:v>Positiva</x:v>
      </x:c>
      <x:c r="F1567" s="9" t="str">
        <x:v>Navegador + HTTP + persistencia; Real DEMO y doble identificados por separado</x:v>
      </x:c>
      <x:c r="G1567" s="23" t="str">
        <x:v>Pendiente</x:v>
      </x:c>
      <x:c r="H1567" s="23"/>
      <x:c r="I1567" s="23"/>
      <x:c r="J1567" s="23"/>
      <x:c r="K1567" s="23"/>
      <x:c r="L1567" s="24"/>
      <x:c r="M1567" s="23"/>
      <x:c r="N1567" s="23"/>
    </x:row>
    <x:row r="1568" ht="70" customHeight="1">
      <x:c r="A1568" s="9" t="str">
        <x:v>QA-ODE-010</x:v>
      </x:c>
      <x:c r="B1568" s="9" t="str">
        <x:v>ODE</x:v>
      </x:c>
      <x:c r="C1568" s="9" t="str">
        <x:v>Motivo 21 / transporte público / stock 0 / valorización 1</x:v>
      </x:c>
      <x:c r="D1568" s="9" t="str">
        <x:v>P0</x:v>
      </x:c>
      <x:c r="E1568" s="9" t="str">
        <x:v>Positiva</x:v>
      </x:c>
      <x:c r="F1568" s="9" t="str">
        <x:v>Navegador + HTTP + persistencia; Real DEMO y doble identificados por separado</x:v>
      </x:c>
      <x:c r="G1568" s="23" t="str">
        <x:v>Pendiente</x:v>
      </x:c>
      <x:c r="H1568" s="23"/>
      <x:c r="I1568" s="23"/>
      <x:c r="J1568" s="23"/>
      <x:c r="K1568" s="23"/>
      <x:c r="L1568" s="24"/>
      <x:c r="M1568" s="23"/>
      <x:c r="N1568" s="23"/>
    </x:row>
    <x:row r="1569" ht="70" customHeight="1">
      <x:c r="A1569" s="9" t="str">
        <x:v>QA-ODE-011</x:v>
      </x:c>
      <x:c r="B1569" s="9" t="str">
        <x:v>ODE</x:v>
      </x:c>
      <x:c r="C1569" s="9" t="str">
        <x:v>Motivo 21 / transporte público / stock 1 / valorización 0</x:v>
      </x:c>
      <x:c r="D1569" s="9" t="str">
        <x:v>P0</x:v>
      </x:c>
      <x:c r="E1569" s="9" t="str">
        <x:v>Positiva</x:v>
      </x:c>
      <x:c r="F1569" s="9" t="str">
        <x:v>Navegador + HTTP + persistencia; Real DEMO y doble identificados por separado</x:v>
      </x:c>
      <x:c r="G1569" s="23" t="str">
        <x:v>Pendiente</x:v>
      </x:c>
      <x:c r="H1569" s="23"/>
      <x:c r="I1569" s="23"/>
      <x:c r="J1569" s="23"/>
      <x:c r="K1569" s="23"/>
      <x:c r="L1569" s="24"/>
      <x:c r="M1569" s="23"/>
      <x:c r="N1569" s="23"/>
    </x:row>
    <x:row r="1570" ht="70" customHeight="1">
      <x:c r="A1570" s="9" t="str">
        <x:v>QA-ODE-012</x:v>
      </x:c>
      <x:c r="B1570" s="9" t="str">
        <x:v>ODE</x:v>
      </x:c>
      <x:c r="C1570" s="9" t="str">
        <x:v>Motivo 21 / transporte público / stock 1 / valorización 1</x:v>
      </x:c>
      <x:c r="D1570" s="9" t="str">
        <x:v>P0</x:v>
      </x:c>
      <x:c r="E1570" s="9" t="str">
        <x:v>Positiva</x:v>
      </x:c>
      <x:c r="F1570" s="9" t="str">
        <x:v>Navegador + HTTP + persistencia; Real DEMO y doble identificados por separado</x:v>
      </x:c>
      <x:c r="G1570" s="23" t="str">
        <x:v>Pendiente</x:v>
      </x:c>
      <x:c r="H1570" s="23"/>
      <x:c r="I1570" s="23"/>
      <x:c r="J1570" s="23"/>
      <x:c r="K1570" s="23"/>
      <x:c r="L1570" s="24"/>
      <x:c r="M1570" s="23"/>
      <x:c r="N1570" s="23"/>
    </x:row>
    <x:row r="1571" ht="70" customHeight="1">
      <x:c r="A1571" s="9" t="str">
        <x:v>QA-ODE-013</x:v>
      </x:c>
      <x:c r="B1571" s="9" t="str">
        <x:v>ODE</x:v>
      </x:c>
      <x:c r="C1571" s="9" t="str">
        <x:v>Motivo 21 / transporte privado / stock 0 / valorización 0</x:v>
      </x:c>
      <x:c r="D1571" s="9" t="str">
        <x:v>P0</x:v>
      </x:c>
      <x:c r="E1571" s="9" t="str">
        <x:v>Positiva</x:v>
      </x:c>
      <x:c r="F1571" s="9" t="str">
        <x:v>Navegador + HTTP + persistencia; Real DEMO y doble identificados por separado</x:v>
      </x:c>
      <x:c r="G1571" s="23" t="str">
        <x:v>Pendiente</x:v>
      </x:c>
      <x:c r="H1571" s="23"/>
      <x:c r="I1571" s="23"/>
      <x:c r="J1571" s="23"/>
      <x:c r="K1571" s="23"/>
      <x:c r="L1571" s="24"/>
      <x:c r="M1571" s="23"/>
      <x:c r="N1571" s="23"/>
    </x:row>
    <x:row r="1572" ht="70" customHeight="1">
      <x:c r="A1572" s="9" t="str">
        <x:v>QA-ODE-014</x:v>
      </x:c>
      <x:c r="B1572" s="9" t="str">
        <x:v>ODE</x:v>
      </x:c>
      <x:c r="C1572" s="9" t="str">
        <x:v>Motivo 21 / transporte privado / stock 0 / valorización 1</x:v>
      </x:c>
      <x:c r="D1572" s="9" t="str">
        <x:v>P0</x:v>
      </x:c>
      <x:c r="E1572" s="9" t="str">
        <x:v>Positiva</x:v>
      </x:c>
      <x:c r="F1572" s="9" t="str">
        <x:v>Navegador + HTTP + persistencia; Real DEMO y doble identificados por separado</x:v>
      </x:c>
      <x:c r="G1572" s="23" t="str">
        <x:v>Pendiente</x:v>
      </x:c>
      <x:c r="H1572" s="23"/>
      <x:c r="I1572" s="23"/>
      <x:c r="J1572" s="23"/>
      <x:c r="K1572" s="23"/>
      <x:c r="L1572" s="24"/>
      <x:c r="M1572" s="23"/>
      <x:c r="N1572" s="23"/>
    </x:row>
    <x:row r="1573" ht="70" customHeight="1">
      <x:c r="A1573" s="9" t="str">
        <x:v>QA-ODE-015</x:v>
      </x:c>
      <x:c r="B1573" s="9" t="str">
        <x:v>ODE</x:v>
      </x:c>
      <x:c r="C1573" s="9" t="str">
        <x:v>Motivo 21 / transporte privado / stock 1 / valorización 0</x:v>
      </x:c>
      <x:c r="D1573" s="9" t="str">
        <x:v>P0</x:v>
      </x:c>
      <x:c r="E1573" s="9" t="str">
        <x:v>Positiva</x:v>
      </x:c>
      <x:c r="F1573" s="9" t="str">
        <x:v>Navegador + HTTP + persistencia; Real DEMO y doble identificados por separado</x:v>
      </x:c>
      <x:c r="G1573" s="23" t="str">
        <x:v>Pendiente</x:v>
      </x:c>
      <x:c r="H1573" s="23"/>
      <x:c r="I1573" s="23"/>
      <x:c r="J1573" s="23"/>
      <x:c r="K1573" s="23"/>
      <x:c r="L1573" s="24"/>
      <x:c r="M1573" s="23"/>
      <x:c r="N1573" s="23"/>
    </x:row>
    <x:row r="1574" ht="70" customHeight="1">
      <x:c r="A1574" s="9" t="str">
        <x:v>QA-ODE-016</x:v>
      </x:c>
      <x:c r="B1574" s="9" t="str">
        <x:v>ODE</x:v>
      </x:c>
      <x:c r="C1574" s="9" t="str">
        <x:v>Motivo 21 / transporte privado / stock 1 / valorización 1</x:v>
      </x:c>
      <x:c r="D1574" s="9" t="str">
        <x:v>P0</x:v>
      </x:c>
      <x:c r="E1574" s="9" t="str">
        <x:v>Positiva</x:v>
      </x:c>
      <x:c r="F1574" s="9" t="str">
        <x:v>Navegador + HTTP + persistencia; Real DEMO y doble identificados por separado</x:v>
      </x:c>
      <x:c r="G1574" s="23" t="str">
        <x:v>Pendiente</x:v>
      </x:c>
      <x:c r="H1574" s="23"/>
      <x:c r="I1574" s="23"/>
      <x:c r="J1574" s="23"/>
      <x:c r="K1574" s="23"/>
      <x:c r="L1574" s="24"/>
      <x:c r="M1574" s="23"/>
      <x:c r="N1574" s="23"/>
    </x:row>
    <x:row r="1575" ht="70" customHeight="1">
      <x:c r="A1575" s="9" t="str">
        <x:v>QA-ODE-017</x:v>
      </x:c>
      <x:c r="B1575" s="9" t="str">
        <x:v>ODE</x:v>
      </x:c>
      <x:c r="C1575" s="9" t="str">
        <x:v>Motivo 22 / transporte público / stock 0 / valorización 0</x:v>
      </x:c>
      <x:c r="D1575" s="9" t="str">
        <x:v>P0</x:v>
      </x:c>
      <x:c r="E1575" s="9" t="str">
        <x:v>Positiva</x:v>
      </x:c>
      <x:c r="F1575" s="9" t="str">
        <x:v>Navegador + HTTP + persistencia; Real DEMO y doble identificados por separado</x:v>
      </x:c>
      <x:c r="G1575" s="23" t="str">
        <x:v>Pendiente</x:v>
      </x:c>
      <x:c r="H1575" s="23"/>
      <x:c r="I1575" s="23"/>
      <x:c r="J1575" s="23"/>
      <x:c r="K1575" s="23"/>
      <x:c r="L1575" s="24"/>
      <x:c r="M1575" s="23"/>
      <x:c r="N1575" s="23"/>
    </x:row>
    <x:row r="1576" ht="70" customHeight="1">
      <x:c r="A1576" s="9" t="str">
        <x:v>QA-ODE-018</x:v>
      </x:c>
      <x:c r="B1576" s="9" t="str">
        <x:v>ODE</x:v>
      </x:c>
      <x:c r="C1576" s="9" t="str">
        <x:v>Motivo 22 / transporte público / stock 0 / valorización 1</x:v>
      </x:c>
      <x:c r="D1576" s="9" t="str">
        <x:v>P0</x:v>
      </x:c>
      <x:c r="E1576" s="9" t="str">
        <x:v>Positiva</x:v>
      </x:c>
      <x:c r="F1576" s="9" t="str">
        <x:v>Navegador + HTTP + persistencia; Real DEMO y doble identificados por separado</x:v>
      </x:c>
      <x:c r="G1576" s="23" t="str">
        <x:v>Pendiente</x:v>
      </x:c>
      <x:c r="H1576" s="23"/>
      <x:c r="I1576" s="23"/>
      <x:c r="J1576" s="23"/>
      <x:c r="K1576" s="23"/>
      <x:c r="L1576" s="24"/>
      <x:c r="M1576" s="23"/>
      <x:c r="N1576" s="23"/>
    </x:row>
    <x:row r="1577" ht="70" customHeight="1">
      <x:c r="A1577" s="9" t="str">
        <x:v>QA-ODE-019</x:v>
      </x:c>
      <x:c r="B1577" s="9" t="str">
        <x:v>ODE</x:v>
      </x:c>
      <x:c r="C1577" s="9" t="str">
        <x:v>Motivo 22 / transporte público / stock 1 / valorización 0</x:v>
      </x:c>
      <x:c r="D1577" s="9" t="str">
        <x:v>P0</x:v>
      </x:c>
      <x:c r="E1577" s="9" t="str">
        <x:v>Positiva</x:v>
      </x:c>
      <x:c r="F1577" s="9" t="str">
        <x:v>Navegador + HTTP + persistencia; Real DEMO y doble identificados por separado</x:v>
      </x:c>
      <x:c r="G1577" s="23" t="str">
        <x:v>Pendiente</x:v>
      </x:c>
      <x:c r="H1577" s="23"/>
      <x:c r="I1577" s="23"/>
      <x:c r="J1577" s="23"/>
      <x:c r="K1577" s="23"/>
      <x:c r="L1577" s="24"/>
      <x:c r="M1577" s="23"/>
      <x:c r="N1577" s="23"/>
    </x:row>
    <x:row r="1578" ht="70" customHeight="1">
      <x:c r="A1578" s="9" t="str">
        <x:v>QA-ODE-020</x:v>
      </x:c>
      <x:c r="B1578" s="9" t="str">
        <x:v>ODE</x:v>
      </x:c>
      <x:c r="C1578" s="9" t="str">
        <x:v>Motivo 22 / transporte público / stock 1 / valorización 1</x:v>
      </x:c>
      <x:c r="D1578" s="9" t="str">
        <x:v>P0</x:v>
      </x:c>
      <x:c r="E1578" s="9" t="str">
        <x:v>Positiva</x:v>
      </x:c>
      <x:c r="F1578" s="9" t="str">
        <x:v>Navegador + HTTP + persistencia; Real DEMO y doble identificados por separado</x:v>
      </x:c>
      <x:c r="G1578" s="23" t="str">
        <x:v>Pendiente</x:v>
      </x:c>
      <x:c r="H1578" s="23"/>
      <x:c r="I1578" s="23"/>
      <x:c r="J1578" s="23"/>
      <x:c r="K1578" s="23"/>
      <x:c r="L1578" s="24"/>
      <x:c r="M1578" s="23"/>
      <x:c r="N1578" s="23"/>
    </x:row>
    <x:row r="1579" ht="70" customHeight="1">
      <x:c r="A1579" s="9" t="str">
        <x:v>QA-ODE-021</x:v>
      </x:c>
      <x:c r="B1579" s="9" t="str">
        <x:v>ODE</x:v>
      </x:c>
      <x:c r="C1579" s="9" t="str">
        <x:v>Motivo 22 / transporte privado / stock 0 / valorización 0</x:v>
      </x:c>
      <x:c r="D1579" s="9" t="str">
        <x:v>P0</x:v>
      </x:c>
      <x:c r="E1579" s="9" t="str">
        <x:v>Positiva</x:v>
      </x:c>
      <x:c r="F1579" s="9" t="str">
        <x:v>Navegador + HTTP + persistencia; Real DEMO y doble identificados por separado</x:v>
      </x:c>
      <x:c r="G1579" s="23" t="str">
        <x:v>Pendiente</x:v>
      </x:c>
      <x:c r="H1579" s="23"/>
      <x:c r="I1579" s="23"/>
      <x:c r="J1579" s="23"/>
      <x:c r="K1579" s="23"/>
      <x:c r="L1579" s="24"/>
      <x:c r="M1579" s="23"/>
      <x:c r="N1579" s="23"/>
    </x:row>
    <x:row r="1580" ht="70" customHeight="1">
      <x:c r="A1580" s="9" t="str">
        <x:v>QA-ODE-022</x:v>
      </x:c>
      <x:c r="B1580" s="9" t="str">
        <x:v>ODE</x:v>
      </x:c>
      <x:c r="C1580" s="9" t="str">
        <x:v>Motivo 22 / transporte privado / stock 0 / valorización 1</x:v>
      </x:c>
      <x:c r="D1580" s="9" t="str">
        <x:v>P0</x:v>
      </x:c>
      <x:c r="E1580" s="9" t="str">
        <x:v>Positiva</x:v>
      </x:c>
      <x:c r="F1580" s="9" t="str">
        <x:v>Navegador + HTTP + persistencia; Real DEMO y doble identificados por separado</x:v>
      </x:c>
      <x:c r="G1580" s="23" t="str">
        <x:v>Pendiente</x:v>
      </x:c>
      <x:c r="H1580" s="23"/>
      <x:c r="I1580" s="23"/>
      <x:c r="J1580" s="23"/>
      <x:c r="K1580" s="23"/>
      <x:c r="L1580" s="24"/>
      <x:c r="M1580" s="23"/>
      <x:c r="N1580" s="23"/>
    </x:row>
    <x:row r="1581" ht="70" customHeight="1">
      <x:c r="A1581" s="9" t="str">
        <x:v>QA-ODE-023</x:v>
      </x:c>
      <x:c r="B1581" s="9" t="str">
        <x:v>ODE</x:v>
      </x:c>
      <x:c r="C1581" s="9" t="str">
        <x:v>Motivo 22 / transporte privado / stock 1 / valorización 0</x:v>
      </x:c>
      <x:c r="D1581" s="9" t="str">
        <x:v>P0</x:v>
      </x:c>
      <x:c r="E1581" s="9" t="str">
        <x:v>Positiva</x:v>
      </x:c>
      <x:c r="F1581" s="9" t="str">
        <x:v>Navegador + HTTP + persistencia; Real DEMO y doble identificados por separado</x:v>
      </x:c>
      <x:c r="G1581" s="23" t="str">
        <x:v>Pendiente</x:v>
      </x:c>
      <x:c r="H1581" s="23"/>
      <x:c r="I1581" s="23"/>
      <x:c r="J1581" s="23"/>
      <x:c r="K1581" s="23"/>
      <x:c r="L1581" s="24"/>
      <x:c r="M1581" s="23"/>
      <x:c r="N1581" s="23"/>
    </x:row>
    <x:row r="1582" ht="70" customHeight="1">
      <x:c r="A1582" s="9" t="str">
        <x:v>QA-ODE-024</x:v>
      </x:c>
      <x:c r="B1582" s="9" t="str">
        <x:v>ODE</x:v>
      </x:c>
      <x:c r="C1582" s="9" t="str">
        <x:v>Motivo 22 / transporte privado / stock 1 / valorización 1</x:v>
      </x:c>
      <x:c r="D1582" s="9" t="str">
        <x:v>P0</x:v>
      </x:c>
      <x:c r="E1582" s="9" t="str">
        <x:v>Positiva</x:v>
      </x:c>
      <x:c r="F1582" s="9" t="str">
        <x:v>Navegador + HTTP + persistencia; Real DEMO y doble identificados por separado</x:v>
      </x:c>
      <x:c r="G1582" s="23" t="str">
        <x:v>Pendiente</x:v>
      </x:c>
      <x:c r="H1582" s="23"/>
      <x:c r="I1582" s="23"/>
      <x:c r="J1582" s="23"/>
      <x:c r="K1582" s="23"/>
      <x:c r="L1582" s="24"/>
      <x:c r="M1582" s="23"/>
      <x:c r="N1582" s="23"/>
    </x:row>
    <x:row r="1583" ht="70" customHeight="1">
      <x:c r="A1583" s="9" t="str">
        <x:v>QA-ODE-025</x:v>
      </x:c>
      <x:c r="B1583" s="9" t="str">
        <x:v>ODE</x:v>
      </x:c>
      <x:c r="C1583" s="9" t="str">
        <x:v>Motivo 23 / transporte público / stock 0 / valorización 0</x:v>
      </x:c>
      <x:c r="D1583" s="9" t="str">
        <x:v>P0</x:v>
      </x:c>
      <x:c r="E1583" s="9" t="str">
        <x:v>Positiva</x:v>
      </x:c>
      <x:c r="F1583" s="9" t="str">
        <x:v>Navegador + HTTP + persistencia; Real DEMO y doble identificados por separado</x:v>
      </x:c>
      <x:c r="G1583" s="23" t="str">
        <x:v>Pendiente</x:v>
      </x:c>
      <x:c r="H1583" s="23"/>
      <x:c r="I1583" s="23"/>
      <x:c r="J1583" s="23"/>
      <x:c r="K1583" s="23"/>
      <x:c r="L1583" s="24"/>
      <x:c r="M1583" s="23"/>
      <x:c r="N1583" s="23"/>
    </x:row>
    <x:row r="1584" ht="70" customHeight="1">
      <x:c r="A1584" s="9" t="str">
        <x:v>QA-ODE-026</x:v>
      </x:c>
      <x:c r="B1584" s="9" t="str">
        <x:v>ODE</x:v>
      </x:c>
      <x:c r="C1584" s="9" t="str">
        <x:v>Motivo 23 / transporte público / stock 0 / valorización 1</x:v>
      </x:c>
      <x:c r="D1584" s="9" t="str">
        <x:v>P0</x:v>
      </x:c>
      <x:c r="E1584" s="9" t="str">
        <x:v>Positiva</x:v>
      </x:c>
      <x:c r="F1584" s="9" t="str">
        <x:v>Navegador + HTTP + persistencia; Real DEMO y doble identificados por separado</x:v>
      </x:c>
      <x:c r="G1584" s="23" t="str">
        <x:v>Pendiente</x:v>
      </x:c>
      <x:c r="H1584" s="23"/>
      <x:c r="I1584" s="23"/>
      <x:c r="J1584" s="23"/>
      <x:c r="K1584" s="23"/>
      <x:c r="L1584" s="24"/>
      <x:c r="M1584" s="23"/>
      <x:c r="N1584" s="23"/>
    </x:row>
    <x:row r="1585" ht="70" customHeight="1">
      <x:c r="A1585" s="9" t="str">
        <x:v>QA-ODE-027</x:v>
      </x:c>
      <x:c r="B1585" s="9" t="str">
        <x:v>ODE</x:v>
      </x:c>
      <x:c r="C1585" s="9" t="str">
        <x:v>Motivo 23 / transporte público / stock 1 / valorización 0</x:v>
      </x:c>
      <x:c r="D1585" s="9" t="str">
        <x:v>P0</x:v>
      </x:c>
      <x:c r="E1585" s="9" t="str">
        <x:v>Positiva</x:v>
      </x:c>
      <x:c r="F1585" s="9" t="str">
        <x:v>Navegador + HTTP + persistencia; Real DEMO y doble identificados por separado</x:v>
      </x:c>
      <x:c r="G1585" s="23" t="str">
        <x:v>Pendiente</x:v>
      </x:c>
      <x:c r="H1585" s="23"/>
      <x:c r="I1585" s="23"/>
      <x:c r="J1585" s="23"/>
      <x:c r="K1585" s="23"/>
      <x:c r="L1585" s="24"/>
      <x:c r="M1585" s="23"/>
      <x:c r="N1585" s="23"/>
    </x:row>
    <x:row r="1586" ht="70" customHeight="1">
      <x:c r="A1586" s="9" t="str">
        <x:v>QA-ODE-028</x:v>
      </x:c>
      <x:c r="B1586" s="9" t="str">
        <x:v>ODE</x:v>
      </x:c>
      <x:c r="C1586" s="9" t="str">
        <x:v>Motivo 23 / transporte público / stock 1 / valorización 1</x:v>
      </x:c>
      <x:c r="D1586" s="9" t="str">
        <x:v>P0</x:v>
      </x:c>
      <x:c r="E1586" s="9" t="str">
        <x:v>Positiva</x:v>
      </x:c>
      <x:c r="F1586" s="9" t="str">
        <x:v>Navegador + HTTP + persistencia; Real DEMO y doble identificados por separado</x:v>
      </x:c>
      <x:c r="G1586" s="23" t="str">
        <x:v>Pendiente</x:v>
      </x:c>
      <x:c r="H1586" s="23"/>
      <x:c r="I1586" s="23"/>
      <x:c r="J1586" s="23"/>
      <x:c r="K1586" s="23"/>
      <x:c r="L1586" s="24"/>
      <x:c r="M1586" s="23"/>
      <x:c r="N1586" s="23"/>
    </x:row>
    <x:row r="1587" ht="70" customHeight="1">
      <x:c r="A1587" s="9" t="str">
        <x:v>QA-ODE-029</x:v>
      </x:c>
      <x:c r="B1587" s="9" t="str">
        <x:v>ODE</x:v>
      </x:c>
      <x:c r="C1587" s="9" t="str">
        <x:v>Motivo 23 / transporte privado / stock 0 / valorización 0</x:v>
      </x:c>
      <x:c r="D1587" s="9" t="str">
        <x:v>P0</x:v>
      </x:c>
      <x:c r="E1587" s="9" t="str">
        <x:v>Positiva</x:v>
      </x:c>
      <x:c r="F1587" s="9" t="str">
        <x:v>Navegador + HTTP + persistencia; Real DEMO y doble identificados por separado</x:v>
      </x:c>
      <x:c r="G1587" s="23" t="str">
        <x:v>Pendiente</x:v>
      </x:c>
      <x:c r="H1587" s="23"/>
      <x:c r="I1587" s="23"/>
      <x:c r="J1587" s="23"/>
      <x:c r="K1587" s="23"/>
      <x:c r="L1587" s="24"/>
      <x:c r="M1587" s="23"/>
      <x:c r="N1587" s="23"/>
    </x:row>
    <x:row r="1588" ht="70" customHeight="1">
      <x:c r="A1588" s="9" t="str">
        <x:v>QA-ODE-030</x:v>
      </x:c>
      <x:c r="B1588" s="9" t="str">
        <x:v>ODE</x:v>
      </x:c>
      <x:c r="C1588" s="9" t="str">
        <x:v>Motivo 23 / transporte privado / stock 0 / valorización 1</x:v>
      </x:c>
      <x:c r="D1588" s="9" t="str">
        <x:v>P0</x:v>
      </x:c>
      <x:c r="E1588" s="9" t="str">
        <x:v>Positiva</x:v>
      </x:c>
      <x:c r="F1588" s="9" t="str">
        <x:v>Navegador + HTTP + persistencia; Real DEMO y doble identificados por separado</x:v>
      </x:c>
      <x:c r="G1588" s="23" t="str">
        <x:v>Pendiente</x:v>
      </x:c>
      <x:c r="H1588" s="23"/>
      <x:c r="I1588" s="23"/>
      <x:c r="J1588" s="23"/>
      <x:c r="K1588" s="23"/>
      <x:c r="L1588" s="24"/>
      <x:c r="M1588" s="23"/>
      <x:c r="N1588" s="23"/>
    </x:row>
    <x:row r="1589" ht="70" customHeight="1">
      <x:c r="A1589" s="9" t="str">
        <x:v>QA-ODE-031</x:v>
      </x:c>
      <x:c r="B1589" s="9" t="str">
        <x:v>ODE</x:v>
      </x:c>
      <x:c r="C1589" s="9" t="str">
        <x:v>Motivo 23 / transporte privado / stock 1 / valorización 0</x:v>
      </x:c>
      <x:c r="D1589" s="9" t="str">
        <x:v>P0</x:v>
      </x:c>
      <x:c r="E1589" s="9" t="str">
        <x:v>Positiva</x:v>
      </x:c>
      <x:c r="F1589" s="9" t="str">
        <x:v>Navegador + HTTP + persistencia; Real DEMO y doble identificados por separado</x:v>
      </x:c>
      <x:c r="G1589" s="23" t="str">
        <x:v>Pendiente</x:v>
      </x:c>
      <x:c r="H1589" s="23"/>
      <x:c r="I1589" s="23"/>
      <x:c r="J1589" s="23"/>
      <x:c r="K1589" s="23"/>
      <x:c r="L1589" s="24"/>
      <x:c r="M1589" s="23"/>
      <x:c r="N1589" s="23"/>
    </x:row>
    <x:row r="1590" ht="70" customHeight="1">
      <x:c r="A1590" s="9" t="str">
        <x:v>QA-ODE-032</x:v>
      </x:c>
      <x:c r="B1590" s="9" t="str">
        <x:v>ODE</x:v>
      </x:c>
      <x:c r="C1590" s="9" t="str">
        <x:v>Motivo 23 / transporte privado / stock 1 / valorización 1</x:v>
      </x:c>
      <x:c r="D1590" s="9" t="str">
        <x:v>P0</x:v>
      </x:c>
      <x:c r="E1590" s="9" t="str">
        <x:v>Positiva</x:v>
      </x:c>
      <x:c r="F1590" s="9" t="str">
        <x:v>Navegador + HTTP + persistencia; Real DEMO y doble identificados por separado</x:v>
      </x:c>
      <x:c r="G1590" s="23" t="str">
        <x:v>Pendiente</x:v>
      </x:c>
      <x:c r="H1590" s="23"/>
      <x:c r="I1590" s="23"/>
      <x:c r="J1590" s="23"/>
      <x:c r="K1590" s="23"/>
      <x:c r="L1590" s="24"/>
      <x:c r="M1590" s="23"/>
      <x:c r="N1590" s="23"/>
    </x:row>
    <x:row r="1591" ht="70" customHeight="1">
      <x:c r="A1591" s="9" t="str">
        <x:v>QA-ODE-033</x:v>
      </x:c>
      <x:c r="B1591" s="9" t="str">
        <x:v>ODE</x:v>
      </x:c>
      <x:c r="C1591" s="9" t="str">
        <x:v>Motivo 24 / transporte público / stock 0 / valorización 0</x:v>
      </x:c>
      <x:c r="D1591" s="9" t="str">
        <x:v>P0</x:v>
      </x:c>
      <x:c r="E1591" s="9" t="str">
        <x:v>Positiva</x:v>
      </x:c>
      <x:c r="F1591" s="9" t="str">
        <x:v>Navegador + HTTP + persistencia; Real DEMO y doble identificados por separado</x:v>
      </x:c>
      <x:c r="G1591" s="23" t="str">
        <x:v>Pendiente</x:v>
      </x:c>
      <x:c r="H1591" s="23"/>
      <x:c r="I1591" s="23"/>
      <x:c r="J1591" s="23"/>
      <x:c r="K1591" s="23"/>
      <x:c r="L1591" s="24"/>
      <x:c r="M1591" s="23"/>
      <x:c r="N1591" s="23"/>
    </x:row>
    <x:row r="1592" ht="70" customHeight="1">
      <x:c r="A1592" s="9" t="str">
        <x:v>QA-ODE-034</x:v>
      </x:c>
      <x:c r="B1592" s="9" t="str">
        <x:v>ODE</x:v>
      </x:c>
      <x:c r="C1592" s="9" t="str">
        <x:v>Motivo 24 / transporte público / stock 0 / valorización 1</x:v>
      </x:c>
      <x:c r="D1592" s="9" t="str">
        <x:v>P0</x:v>
      </x:c>
      <x:c r="E1592" s="9" t="str">
        <x:v>Positiva</x:v>
      </x:c>
      <x:c r="F1592" s="9" t="str">
        <x:v>Navegador + HTTP + persistencia; Real DEMO y doble identificados por separado</x:v>
      </x:c>
      <x:c r="G1592" s="23" t="str">
        <x:v>Pendiente</x:v>
      </x:c>
      <x:c r="H1592" s="23"/>
      <x:c r="I1592" s="23"/>
      <x:c r="J1592" s="23"/>
      <x:c r="K1592" s="23"/>
      <x:c r="L1592" s="24"/>
      <x:c r="M1592" s="23"/>
      <x:c r="N1592" s="23"/>
    </x:row>
    <x:row r="1593" ht="70" customHeight="1">
      <x:c r="A1593" s="9" t="str">
        <x:v>QA-ODE-035</x:v>
      </x:c>
      <x:c r="B1593" s="9" t="str">
        <x:v>ODE</x:v>
      </x:c>
      <x:c r="C1593" s="9" t="str">
        <x:v>Motivo 24 / transporte público / stock 1 / valorización 0</x:v>
      </x:c>
      <x:c r="D1593" s="9" t="str">
        <x:v>P0</x:v>
      </x:c>
      <x:c r="E1593" s="9" t="str">
        <x:v>Positiva</x:v>
      </x:c>
      <x:c r="F1593" s="9" t="str">
        <x:v>Navegador + HTTP + persistencia; Real DEMO y doble identificados por separado</x:v>
      </x:c>
      <x:c r="G1593" s="23" t="str">
        <x:v>Pendiente</x:v>
      </x:c>
      <x:c r="H1593" s="23"/>
      <x:c r="I1593" s="23"/>
      <x:c r="J1593" s="23"/>
      <x:c r="K1593" s="23"/>
      <x:c r="L1593" s="24"/>
      <x:c r="M1593" s="23"/>
      <x:c r="N1593" s="23"/>
    </x:row>
    <x:row r="1594" ht="70" customHeight="1">
      <x:c r="A1594" s="9" t="str">
        <x:v>QA-ODE-036</x:v>
      </x:c>
      <x:c r="B1594" s="9" t="str">
        <x:v>ODE</x:v>
      </x:c>
      <x:c r="C1594" s="9" t="str">
        <x:v>Motivo 24 / transporte público / stock 1 / valorización 1</x:v>
      </x:c>
      <x:c r="D1594" s="9" t="str">
        <x:v>P0</x:v>
      </x:c>
      <x:c r="E1594" s="9" t="str">
        <x:v>Positiva</x:v>
      </x:c>
      <x:c r="F1594" s="9" t="str">
        <x:v>Navegador + HTTP + persistencia; Real DEMO y doble identificados por separado</x:v>
      </x:c>
      <x:c r="G1594" s="23" t="str">
        <x:v>Pendiente</x:v>
      </x:c>
      <x:c r="H1594" s="23"/>
      <x:c r="I1594" s="23"/>
      <x:c r="J1594" s="23"/>
      <x:c r="K1594" s="23"/>
      <x:c r="L1594" s="24"/>
      <x:c r="M1594" s="23"/>
      <x:c r="N1594" s="23"/>
    </x:row>
    <x:row r="1595" ht="70" customHeight="1">
      <x:c r="A1595" s="9" t="str">
        <x:v>QA-ODE-037</x:v>
      </x:c>
      <x:c r="B1595" s="9" t="str">
        <x:v>ODE</x:v>
      </x:c>
      <x:c r="C1595" s="9" t="str">
        <x:v>Motivo 24 / transporte privado / stock 0 / valorización 0</x:v>
      </x:c>
      <x:c r="D1595" s="9" t="str">
        <x:v>P0</x:v>
      </x:c>
      <x:c r="E1595" s="9" t="str">
        <x:v>Positiva</x:v>
      </x:c>
      <x:c r="F1595" s="9" t="str">
        <x:v>Navegador + HTTP + persistencia; Real DEMO y doble identificados por separado</x:v>
      </x:c>
      <x:c r="G1595" s="23" t="str">
        <x:v>Pendiente</x:v>
      </x:c>
      <x:c r="H1595" s="23"/>
      <x:c r="I1595" s="23"/>
      <x:c r="J1595" s="23"/>
      <x:c r="K1595" s="23"/>
      <x:c r="L1595" s="24"/>
      <x:c r="M1595" s="23"/>
      <x:c r="N1595" s="23"/>
    </x:row>
    <x:row r="1596" ht="70" customHeight="1">
      <x:c r="A1596" s="9" t="str">
        <x:v>QA-ODE-038</x:v>
      </x:c>
      <x:c r="B1596" s="9" t="str">
        <x:v>ODE</x:v>
      </x:c>
      <x:c r="C1596" s="9" t="str">
        <x:v>Motivo 24 / transporte privado / stock 0 / valorización 1</x:v>
      </x:c>
      <x:c r="D1596" s="9" t="str">
        <x:v>P0</x:v>
      </x:c>
      <x:c r="E1596" s="9" t="str">
        <x:v>Positiva</x:v>
      </x:c>
      <x:c r="F1596" s="9" t="str">
        <x:v>Navegador + HTTP + persistencia; Real DEMO y doble identificados por separado</x:v>
      </x:c>
      <x:c r="G1596" s="23" t="str">
        <x:v>Pendiente</x:v>
      </x:c>
      <x:c r="H1596" s="23"/>
      <x:c r="I1596" s="23"/>
      <x:c r="J1596" s="23"/>
      <x:c r="K1596" s="23"/>
      <x:c r="L1596" s="24"/>
      <x:c r="M1596" s="23"/>
      <x:c r="N1596" s="23"/>
    </x:row>
    <x:row r="1597" ht="70" customHeight="1">
      <x:c r="A1597" s="9" t="str">
        <x:v>QA-ODE-039</x:v>
      </x:c>
      <x:c r="B1597" s="9" t="str">
        <x:v>ODE</x:v>
      </x:c>
      <x:c r="C1597" s="9" t="str">
        <x:v>Motivo 24 / transporte privado / stock 1 / valorización 0</x:v>
      </x:c>
      <x:c r="D1597" s="9" t="str">
        <x:v>P0</x:v>
      </x:c>
      <x:c r="E1597" s="9" t="str">
        <x:v>Positiva</x:v>
      </x:c>
      <x:c r="F1597" s="9" t="str">
        <x:v>Navegador + HTTP + persistencia; Real DEMO y doble identificados por separado</x:v>
      </x:c>
      <x:c r="G1597" s="23" t="str">
        <x:v>Pendiente</x:v>
      </x:c>
      <x:c r="H1597" s="23"/>
      <x:c r="I1597" s="23"/>
      <x:c r="J1597" s="23"/>
      <x:c r="K1597" s="23"/>
      <x:c r="L1597" s="24"/>
      <x:c r="M1597" s="23"/>
      <x:c r="N1597" s="23"/>
    </x:row>
    <x:row r="1598" ht="70" customHeight="1">
      <x:c r="A1598" s="9" t="str">
        <x:v>QA-ODE-040</x:v>
      </x:c>
      <x:c r="B1598" s="9" t="str">
        <x:v>ODE</x:v>
      </x:c>
      <x:c r="C1598" s="9" t="str">
        <x:v>Motivo 24 / transporte privado / stock 1 / valorización 1</x:v>
      </x:c>
      <x:c r="D1598" s="9" t="str">
        <x:v>P0</x:v>
      </x:c>
      <x:c r="E1598" s="9" t="str">
        <x:v>Positiva</x:v>
      </x:c>
      <x:c r="F1598" s="9" t="str">
        <x:v>Navegador + HTTP + persistencia; Real DEMO y doble identificados por separado</x:v>
      </x:c>
      <x:c r="G1598" s="23" t="str">
        <x:v>Pendiente</x:v>
      </x:c>
      <x:c r="H1598" s="23"/>
      <x:c r="I1598" s="23"/>
      <x:c r="J1598" s="23"/>
      <x:c r="K1598" s="23"/>
      <x:c r="L1598" s="24"/>
      <x:c r="M1598" s="23"/>
      <x:c r="N1598" s="23"/>
    </x:row>
    <x:row r="1599" ht="70" customHeight="1">
      <x:c r="A1599" s="9" t="str">
        <x:v>QA-ODE-041</x:v>
      </x:c>
      <x:c r="B1599" s="9" t="str">
        <x:v>ODE</x:v>
      </x:c>
      <x:c r="C1599" s="9" t="str">
        <x:v>UUID de creación replay idéntico</x:v>
      </x:c>
      <x:c r="D1599" s="9" t="str">
        <x:v>P0</x:v>
      </x:c>
      <x:c r="E1599" s="9" t="str">
        <x:v>Positiva/regresión</x:v>
      </x:c>
      <x:c r="F1599" s="9" t="str">
        <x:v>Navegador + HTTP + persistencia; Real DEMO y doble identificados por separado</x:v>
      </x:c>
      <x:c r="G1599" s="23" t="str">
        <x:v>Pendiente</x:v>
      </x:c>
      <x:c r="H1599" s="23"/>
      <x:c r="I1599" s="23"/>
      <x:c r="J1599" s="23"/>
      <x:c r="K1599" s="23"/>
      <x:c r="L1599" s="24"/>
      <x:c r="M1599" s="23"/>
      <x:c r="N1599" s="23"/>
    </x:row>
    <x:row r="1600" ht="70" customHeight="1">
      <x:c r="A1600" s="9" t="str">
        <x:v>QA-ODE-042</x:v>
      </x:c>
      <x:c r="B1600" s="9" t="str">
        <x:v>ODE</x:v>
      </x:c>
      <x:c r="C1600" s="9" t="str">
        <x:v>UUID distinto con datos colisionados</x:v>
      </x:c>
      <x:c r="D1600" s="9" t="str">
        <x:v>P0</x:v>
      </x:c>
      <x:c r="E1600" s="9" t="str">
        <x:v>Positiva/regresión</x:v>
      </x:c>
      <x:c r="F1600" s="9" t="str">
        <x:v>Navegador + HTTP + persistencia; Real DEMO y doble identificados por separado</x:v>
      </x:c>
      <x:c r="G1600" s="23" t="str">
        <x:v>Pendiente</x:v>
      </x:c>
      <x:c r="H1600" s="23"/>
      <x:c r="I1600" s="23"/>
      <x:c r="J1600" s="23"/>
      <x:c r="K1600" s="23"/>
      <x:c r="L1600" s="24"/>
      <x:c r="M1600" s="23"/>
      <x:c r="N1600" s="23"/>
    </x:row>
    <x:row r="1601" ht="70" customHeight="1">
      <x:c r="A1601" s="9" t="str">
        <x:v>QA-ODE-043</x:v>
      </x:c>
      <x:c r="B1601" s="9" t="str">
        <x:v>ODE</x:v>
      </x:c>
      <x:c r="C1601" s="9" t="str">
        <x:v>Concurrencia misma clave</x:v>
      </x:c>
      <x:c r="D1601" s="9" t="str">
        <x:v>P0</x:v>
      </x:c>
      <x:c r="E1601" s="9" t="str">
        <x:v>Positiva/regresión</x:v>
      </x:c>
      <x:c r="F1601" s="9" t="str">
        <x:v>Navegador + HTTP + persistencia; Real DEMO y doble identificados por separado</x:v>
      </x:c>
      <x:c r="G1601" s="23" t="str">
        <x:v>Pendiente</x:v>
      </x:c>
      <x:c r="H1601" s="23"/>
      <x:c r="I1601" s="23"/>
      <x:c r="J1601" s="23"/>
      <x:c r="K1601" s="23"/>
      <x:c r="L1601" s="24"/>
      <x:c r="M1601" s="23"/>
      <x:c r="N1601" s="23"/>
    </x:row>
    <x:row r="1602" ht="70" customHeight="1">
      <x:c r="A1602" s="9" t="str">
        <x:v>QA-ODE-044</x:v>
      </x:c>
      <x:c r="B1602" s="9" t="str">
        <x:v>ODE</x:v>
      </x:c>
      <x:c r="C1602" s="9" t="str">
        <x:v>Concurrencia claves distintas numeración</x:v>
      </x:c>
      <x:c r="D1602" s="9" t="str">
        <x:v>P0</x:v>
      </x:c>
      <x:c r="E1602" s="9" t="str">
        <x:v>Positiva/regresión</x:v>
      </x:c>
      <x:c r="F1602" s="9" t="str">
        <x:v>Navegador + HTTP + persistencia; Real DEMO y doble identificados por separado</x:v>
      </x:c>
      <x:c r="G1602" s="23" t="str">
        <x:v>Pendiente</x:v>
      </x:c>
      <x:c r="H1602" s="23"/>
      <x:c r="I1602" s="23"/>
      <x:c r="J1602" s="23"/>
      <x:c r="K1602" s="23"/>
      <x:c r="L1602" s="24"/>
      <x:c r="M1602" s="23"/>
      <x:c r="N1602" s="23"/>
    </x:row>
    <x:row r="1603" ht="70" customHeight="1">
      <x:c r="A1603" s="9" t="str">
        <x:v>QA-ODE-045</x:v>
      </x:c>
      <x:c r="B1603" s="9" t="str">
        <x:v>ODE</x:v>
      </x:c>
      <x:c r="C1603" s="9" t="str">
        <x:v>Peso cero rechazado</x:v>
      </x:c>
      <x:c r="D1603" s="9" t="str">
        <x:v>P0</x:v>
      </x:c>
      <x:c r="E1603" s="9" t="str">
        <x:v>Negativa/control</x:v>
      </x:c>
      <x:c r="F1603" s="9" t="str">
        <x:v>Navegador + HTTP + persistencia; Real DEMO y doble identificados por separado</x:v>
      </x:c>
      <x:c r="G1603" s="23" t="str">
        <x:v>Pendiente</x:v>
      </x:c>
      <x:c r="H1603" s="23"/>
      <x:c r="I1603" s="23"/>
      <x:c r="J1603" s="23"/>
      <x:c r="K1603" s="23"/>
      <x:c r="L1603" s="24"/>
      <x:c r="M1603" s="23"/>
      <x:c r="N1603" s="23"/>
    </x:row>
    <x:row r="1604" ht="70" customHeight="1">
      <x:c r="A1604" s="9" t="str">
        <x:v>QA-ODE-046</x:v>
      </x:c>
      <x:c r="B1604" s="9" t="str">
        <x:v>ODE</x:v>
      </x:c>
      <x:c r="C1604" s="9" t="str">
        <x:v>Peso negativo rechazado</x:v>
      </x:c>
      <x:c r="D1604" s="9" t="str">
        <x:v>P0</x:v>
      </x:c>
      <x:c r="E1604" s="9" t="str">
        <x:v>Negativa/control</x:v>
      </x:c>
      <x:c r="F1604" s="9" t="str">
        <x:v>Navegador + HTTP + persistencia; Real DEMO y doble identificados por separado</x:v>
      </x:c>
      <x:c r="G1604" s="23" t="str">
        <x:v>Pendiente</x:v>
      </x:c>
      <x:c r="H1604" s="23"/>
      <x:c r="I1604" s="23"/>
      <x:c r="J1604" s="23"/>
      <x:c r="K1604" s="23"/>
      <x:c r="L1604" s="24"/>
      <x:c r="M1604" s="23"/>
      <x:c r="N1604" s="23"/>
    </x:row>
    <x:row r="1605" ht="70" customHeight="1">
      <x:c r="A1605" s="9" t="str">
        <x:v>QA-ODE-047</x:v>
      </x:c>
      <x:c r="B1605" s="9" t="str">
        <x:v>ODE</x:v>
      </x:c>
      <x:c r="C1605" s="9" t="str">
        <x:v>Unidad peso no vigente</x:v>
      </x:c>
      <x:c r="D1605" s="9" t="str">
        <x:v>P0</x:v>
      </x:c>
      <x:c r="E1605" s="9" t="str">
        <x:v>Positiva/regresión</x:v>
      </x:c>
      <x:c r="F1605" s="9" t="str">
        <x:v>Navegador + HTTP + persistencia; Real DEMO y doble identificados por separado</x:v>
      </x:c>
      <x:c r="G1605" s="23" t="str">
        <x:v>Pendiente</x:v>
      </x:c>
      <x:c r="H1605" s="23"/>
      <x:c r="I1605" s="23"/>
      <x:c r="J1605" s="23"/>
      <x:c r="K1605" s="23"/>
      <x:c r="L1605" s="24"/>
      <x:c r="M1605" s="23"/>
      <x:c r="N1605" s="23"/>
    </x:row>
    <x:row r="1606" ht="70" customHeight="1">
      <x:c r="A1606" s="9" t="str">
        <x:v>QA-ODE-048</x:v>
      </x:c>
      <x:c r="B1606" s="9" t="str">
        <x:v>ODE</x:v>
      </x:c>
      <x:c r="C1606" s="9" t="str">
        <x:v>Peso TON conserva unidad</x:v>
      </x:c>
      <x:c r="D1606" s="9" t="str">
        <x:v>P0</x:v>
      </x:c>
      <x:c r="E1606" s="9" t="str">
        <x:v>Positiva/regresión</x:v>
      </x:c>
      <x:c r="F1606" s="9" t="str">
        <x:v>Navegador + HTTP + persistencia; Real DEMO y doble identificados por separado</x:v>
      </x:c>
      <x:c r="G1606" s="23" t="str">
        <x:v>Pendiente</x:v>
      </x:c>
      <x:c r="H1606" s="23"/>
      <x:c r="I1606" s="23"/>
      <x:c r="J1606" s="23"/>
      <x:c r="K1606" s="23"/>
      <x:c r="L1606" s="24"/>
      <x:c r="M1606" s="23"/>
      <x:c r="N1606" s="23"/>
    </x:row>
    <x:row r="1607" ht="70" customHeight="1">
      <x:c r="A1607" s="9" t="str">
        <x:v>QA-ODE-049</x:v>
      </x:c>
      <x:c r="B1607" s="9" t="str">
        <x:v>ODE</x:v>
      </x:c>
      <x:c r="C1607" s="9" t="str">
        <x:v>Fecha traslado anterior</x:v>
      </x:c>
      <x:c r="D1607" s="9" t="str">
        <x:v>P0</x:v>
      </x:c>
      <x:c r="E1607" s="9" t="str">
        <x:v>Positiva/regresión</x:v>
      </x:c>
      <x:c r="F1607" s="9" t="str">
        <x:v>Navegador + HTTP + persistencia; Real DEMO y doble identificados por separado</x:v>
      </x:c>
      <x:c r="G1607" s="23" t="str">
        <x:v>Pendiente</x:v>
      </x:c>
      <x:c r="H1607" s="23"/>
      <x:c r="I1607" s="23"/>
      <x:c r="J1607" s="23"/>
      <x:c r="K1607" s="23"/>
      <x:c r="L1607" s="24"/>
      <x:c r="M1607" s="23"/>
      <x:c r="N1607" s="23"/>
    </x:row>
    <x:row r="1608" ht="70" customHeight="1">
      <x:c r="A1608" s="9" t="str">
        <x:v>QA-ODE-050</x:v>
      </x:c>
      <x:c r="B1608" s="9" t="str">
        <x:v>ODE</x:v>
      </x:c>
      <x:c r="C1608" s="9" t="str">
        <x:v>Reparación sin descripción</x:v>
      </x:c>
      <x:c r="D1608" s="9" t="str">
        <x:v>P0</x:v>
      </x:c>
      <x:c r="E1608" s="9" t="str">
        <x:v>Negativa/control</x:v>
      </x:c>
      <x:c r="F1608" s="9" t="str">
        <x:v>Navegador + HTTP + persistencia; Real DEMO y doble identificados por separado</x:v>
      </x:c>
      <x:c r="G1608" s="23" t="str">
        <x:v>Pendiente</x:v>
      </x:c>
      <x:c r="H1608" s="23"/>
      <x:c r="I1608" s="23"/>
      <x:c r="J1608" s="23"/>
      <x:c r="K1608" s="23"/>
      <x:c r="L1608" s="24"/>
      <x:c r="M1608" s="23"/>
      <x:c r="N1608" s="23"/>
    </x:row>
    <x:row r="1609" ht="70" customHeight="1">
      <x:c r="A1609" s="9" t="str">
        <x:v>QA-ODE-051</x:v>
      </x:c>
      <x:c r="B1609" s="9" t="str">
        <x:v>ODE</x:v>
      </x:c>
      <x:c r="C1609" s="9" t="str">
        <x:v>Transporte público sin transportista</x:v>
      </x:c>
      <x:c r="D1609" s="9" t="str">
        <x:v>P0</x:v>
      </x:c>
      <x:c r="E1609" s="9" t="str">
        <x:v>Negativa/control</x:v>
      </x:c>
      <x:c r="F1609" s="9" t="str">
        <x:v>Navegador + HTTP + persistencia; Real DEMO y doble identificados por separado</x:v>
      </x:c>
      <x:c r="G1609" s="23" t="str">
        <x:v>Pendiente</x:v>
      </x:c>
      <x:c r="H1609" s="23"/>
      <x:c r="I1609" s="23"/>
      <x:c r="J1609" s="23"/>
      <x:c r="K1609" s="23"/>
      <x:c r="L1609" s="24"/>
      <x:c r="M1609" s="23"/>
      <x:c r="N1609" s="23"/>
    </x:row>
    <x:row r="1610" ht="70" customHeight="1">
      <x:c r="A1610" s="9" t="str">
        <x:v>QA-ODE-052</x:v>
      </x:c>
      <x:c r="B1610" s="9" t="str">
        <x:v>ODE</x:v>
      </x:c>
      <x:c r="C1610" s="9" t="str">
        <x:v>Público sin conductor propio permitido</x:v>
      </x:c>
      <x:c r="D1610" s="9" t="str">
        <x:v>P0</x:v>
      </x:c>
      <x:c r="E1610" s="9" t="str">
        <x:v>Negativa/control</x:v>
      </x:c>
      <x:c r="F1610" s="9" t="str">
        <x:v>Navegador + HTTP + persistencia; Real DEMO y doble identificados por separado</x:v>
      </x:c>
      <x:c r="G1610" s="23" t="str">
        <x:v>Pendiente</x:v>
      </x:c>
      <x:c r="H1610" s="23"/>
      <x:c r="I1610" s="23"/>
      <x:c r="J1610" s="23"/>
      <x:c r="K1610" s="23"/>
      <x:c r="L1610" s="24"/>
      <x:c r="M1610" s="23"/>
      <x:c r="N1610" s="23"/>
    </x:row>
    <x:row r="1611" ht="70" customHeight="1">
      <x:c r="A1611" s="9" t="str">
        <x:v>QA-ODE-053</x:v>
      </x:c>
      <x:c r="B1611" s="9" t="str">
        <x:v>ODE</x:v>
      </x:c>
      <x:c r="C1611" s="9" t="str">
        <x:v>Privado sin conductor bloqueado</x:v>
      </x:c>
      <x:c r="D1611" s="9" t="str">
        <x:v>P0</x:v>
      </x:c>
      <x:c r="E1611" s="9" t="str">
        <x:v>Negativa/control</x:v>
      </x:c>
      <x:c r="F1611" s="9" t="str">
        <x:v>Navegador + HTTP + persistencia; Real DEMO y doble identificados por separado</x:v>
      </x:c>
      <x:c r="G1611" s="23" t="str">
        <x:v>Pendiente</x:v>
      </x:c>
      <x:c r="H1611" s="23"/>
      <x:c r="I1611" s="23"/>
      <x:c r="J1611" s="23"/>
      <x:c r="K1611" s="23"/>
      <x:c r="L1611" s="24"/>
      <x:c r="M1611" s="23"/>
      <x:c r="N1611" s="23"/>
    </x:row>
    <x:row r="1612" ht="70" customHeight="1">
      <x:c r="A1612" s="9" t="str">
        <x:v>QA-ODE-054</x:v>
      </x:c>
      <x:c r="B1612" s="9" t="str">
        <x:v>ODE</x:v>
      </x:c>
      <x:c r="C1612" s="9" t="str">
        <x:v>Privado sin vehículo bloqueado</x:v>
      </x:c>
      <x:c r="D1612" s="9" t="str">
        <x:v>P0</x:v>
      </x:c>
      <x:c r="E1612" s="9" t="str">
        <x:v>Negativa/control</x:v>
      </x:c>
      <x:c r="F1612" s="9" t="str">
        <x:v>Navegador + HTTP + persistencia; Real DEMO y doble identificados por separado</x:v>
      </x:c>
      <x:c r="G1612" s="23" t="str">
        <x:v>Pendiente</x:v>
      </x:c>
      <x:c r="H1612" s="23"/>
      <x:c r="I1612" s="23"/>
      <x:c r="J1612" s="23"/>
      <x:c r="K1612" s="23"/>
      <x:c r="L1612" s="24"/>
      <x:c r="M1612" s="23"/>
      <x:c r="N1612" s="23"/>
    </x:row>
    <x:row r="1613" ht="70" customHeight="1">
      <x:c r="A1613" s="9" t="str">
        <x:v>QA-ODE-055</x:v>
      </x:c>
      <x:c r="B1613" s="9" t="str">
        <x:v>ODE</x:v>
      </x:c>
      <x:c r="C1613" s="9" t="str">
        <x:v>Dirección receptor ajena</x:v>
      </x:c>
      <x:c r="D1613" s="9" t="str">
        <x:v>P0</x:v>
      </x:c>
      <x:c r="E1613" s="9" t="str">
        <x:v>Positiva/regresión</x:v>
      </x:c>
      <x:c r="F1613" s="9" t="str">
        <x:v>Navegador + HTTP + persistencia; Real DEMO y doble identificados por separado</x:v>
      </x:c>
      <x:c r="G1613" s="23" t="str">
        <x:v>Pendiente</x:v>
      </x:c>
      <x:c r="H1613" s="23"/>
      <x:c r="I1613" s="23"/>
      <x:c r="J1613" s="23"/>
      <x:c r="K1613" s="23"/>
      <x:c r="L1613" s="24"/>
      <x:c r="M1613" s="23"/>
      <x:c r="N1613" s="23"/>
    </x:row>
    <x:row r="1614" ht="70" customHeight="1">
      <x:c r="A1614" s="9" t="str">
        <x:v>QA-ODE-056</x:v>
      </x:c>
      <x:c r="B1614" s="9" t="str">
        <x:v>ODE</x:v>
      </x:c>
      <x:c r="C1614" s="9" t="str">
        <x:v>Origen ajeno a sucursal</x:v>
      </x:c>
      <x:c r="D1614" s="9" t="str">
        <x:v>P0</x:v>
      </x:c>
      <x:c r="E1614" s="9" t="str">
        <x:v>Negativa/control</x:v>
      </x:c>
      <x:c r="F1614" s="9" t="str">
        <x:v>Navegador + HTTP + persistencia; Real DEMO y doble identificados por separado</x:v>
      </x:c>
      <x:c r="G1614" s="23" t="str">
        <x:v>Pendiente</x:v>
      </x:c>
      <x:c r="H1614" s="23"/>
      <x:c r="I1614" s="23"/>
      <x:c r="J1614" s="23"/>
      <x:c r="K1614" s="23"/>
      <x:c r="L1614" s="24"/>
      <x:c r="M1614" s="23"/>
      <x:c r="N1614" s="23"/>
    </x:row>
    <x:row r="1615" ht="70" customHeight="1">
      <x:c r="A1615" s="9" t="str">
        <x:v>QA-ODE-057</x:v>
      </x:c>
      <x:c r="B1615" s="9" t="str">
        <x:v>ODE</x:v>
      </x:c>
      <x:c r="C1615" s="9" t="str">
        <x:v>Cliente no local/inactivo</x:v>
      </x:c>
      <x:c r="D1615" s="9" t="str">
        <x:v>P0</x:v>
      </x:c>
      <x:c r="E1615" s="9" t="str">
        <x:v>Positiva/regresión</x:v>
      </x:c>
      <x:c r="F1615" s="9" t="str">
        <x:v>Navegador + HTTP + persistencia; Real DEMO y doble identificados por separado</x:v>
      </x:c>
      <x:c r="G1615" s="23" t="str">
        <x:v>Pendiente</x:v>
      </x:c>
      <x:c r="H1615" s="23"/>
      <x:c r="I1615" s="23"/>
      <x:c r="J1615" s="23"/>
      <x:c r="K1615" s="23"/>
      <x:c r="L1615" s="24"/>
      <x:c r="M1615" s="23"/>
      <x:c r="N1615" s="23"/>
    </x:row>
    <x:row r="1616" ht="70" customHeight="1">
      <x:c r="A1616" s="9" t="str">
        <x:v>QA-ODE-058</x:v>
      </x:c>
      <x:c r="B1616" s="9" t="str">
        <x:v>ODE</x:v>
      </x:c>
      <x:c r="C1616" s="9" t="str">
        <x:v>Principal ajeno al tenant</x:v>
      </x:c>
      <x:c r="D1616" s="9" t="str">
        <x:v>P0</x:v>
      </x:c>
      <x:c r="E1616" s="9" t="str">
        <x:v>Negativa/control</x:v>
      </x:c>
      <x:c r="F1616" s="9" t="str">
        <x:v>Navegador + HTTP + persistencia; Real DEMO y doble identificados por separado</x:v>
      </x:c>
      <x:c r="G1616" s="23" t="str">
        <x:v>Pendiente</x:v>
      </x:c>
      <x:c r="H1616" s="23"/>
      <x:c r="I1616" s="23"/>
      <x:c r="J1616" s="23"/>
      <x:c r="K1616" s="23"/>
      <x:c r="L1616" s="24"/>
      <x:c r="M1616" s="23"/>
      <x:c r="N1616" s="23"/>
    </x:row>
    <x:row r="1617" ht="70" customHeight="1">
      <x:c r="A1617" s="9" t="str">
        <x:v>QA-ODE-059</x:v>
      </x:c>
      <x:c r="B1617" s="9" t="str">
        <x:v>ODE</x:v>
      </x:c>
      <x:c r="C1617" s="9" t="str">
        <x:v>Producto servicio o pack bloqueado</x:v>
      </x:c>
      <x:c r="D1617" s="9" t="str">
        <x:v>P0</x:v>
      </x:c>
      <x:c r="E1617" s="9" t="str">
        <x:v>Negativa/control</x:v>
      </x:c>
      <x:c r="F1617" s="9" t="str">
        <x:v>Navegador + HTTP + persistencia; Real DEMO y doble identificados por separado</x:v>
      </x:c>
      <x:c r="G1617" s="23" t="str">
        <x:v>Pendiente</x:v>
      </x:c>
      <x:c r="H1617" s="23"/>
      <x:c r="I1617" s="23"/>
      <x:c r="J1617" s="23"/>
      <x:c r="K1617" s="23"/>
      <x:c r="L1617" s="24"/>
      <x:c r="M1617" s="23"/>
      <x:c r="N1617" s="23"/>
    </x:row>
    <x:row r="1618" ht="70" customHeight="1">
      <x:c r="A1618" s="9" t="str">
        <x:v>QA-ODE-060</x:v>
      </x:c>
      <x:c r="B1618" s="9" t="str">
        <x:v>ODE</x:v>
      </x:c>
      <x:c r="C1618" s="9" t="str">
        <x:v>Límite 300 líneas</x:v>
      </x:c>
      <x:c r="D1618" s="9" t="str">
        <x:v>P0</x:v>
      </x:c>
      <x:c r="E1618" s="9" t="str">
        <x:v>Positiva/regresión</x:v>
      </x:c>
      <x:c r="F1618" s="9" t="str">
        <x:v>Navegador + HTTP + persistencia; Real DEMO y doble identificados por separado</x:v>
      </x:c>
      <x:c r="G1618" s="23" t="str">
        <x:v>Pendiente</x:v>
      </x:c>
      <x:c r="H1618" s="23"/>
      <x:c r="I1618" s="23"/>
      <x:c r="J1618" s="23"/>
      <x:c r="K1618" s="23"/>
      <x:c r="L1618" s="24"/>
      <x:c r="M1618" s="23"/>
      <x:c r="N1618" s="23"/>
    </x:row>
    <x:row r="1619" ht="70" customHeight="1">
      <x:c r="A1619" s="9" t="str">
        <x:v>QA-ODE-061</x:v>
      </x:c>
      <x:c r="B1619" s="9" t="str">
        <x:v>ODE</x:v>
      </x:c>
      <x:c r="C1619" s="9" t="str">
        <x:v>Valorización oculta ignorada</x:v>
      </x:c>
      <x:c r="D1619" s="9" t="str">
        <x:v>P0</x:v>
      </x:c>
      <x:c r="E1619" s="9" t="str">
        <x:v>Positiva/regresión</x:v>
      </x:c>
      <x:c r="F1619" s="9" t="str">
        <x:v>Navegador + HTTP + persistencia; Real DEMO y doble identificados por separado</x:v>
      </x:c>
      <x:c r="G1619" s="23" t="str">
        <x:v>Pendiente</x:v>
      </x:c>
      <x:c r="H1619" s="23"/>
      <x:c r="I1619" s="23"/>
      <x:c r="J1619" s="23"/>
      <x:c r="K1619" s="23"/>
      <x:c r="L1619" s="24"/>
      <x:c r="M1619" s="23"/>
      <x:c r="N1619" s="23"/>
    </x:row>
    <x:row r="1620" ht="70" customHeight="1">
      <x:c r="A1620" s="9" t="str">
        <x:v>QA-ODE-062</x:v>
      </x:c>
      <x:c r="B1620" s="9" t="str">
        <x:v>ODE</x:v>
      </x:c>
      <x:c r="C1620" s="9" t="str">
        <x:v>Valorización USD sin tasa no convertida</x:v>
      </x:c>
      <x:c r="D1620" s="9" t="str">
        <x:v>P0</x:v>
      </x:c>
      <x:c r="E1620" s="9" t="str">
        <x:v>Negativa/control</x:v>
      </x:c>
      <x:c r="F1620" s="9" t="str">
        <x:v>Navegador + HTTP + persistencia; Real DEMO y doble identificados por separado</x:v>
      </x:c>
      <x:c r="G1620" s="23" t="str">
        <x:v>Pendiente</x:v>
      </x:c>
      <x:c r="H1620" s="23"/>
      <x:c r="I1620" s="23"/>
      <x:c r="J1620" s="23"/>
      <x:c r="K1620" s="23"/>
      <x:c r="L1620" s="24"/>
      <x:c r="M1620" s="23"/>
      <x:c r="N1620" s="23"/>
    </x:row>
    <x:row r="1621" ht="70" customHeight="1">
      <x:c r="A1621" s="9" t="str">
        <x:v>QA-ODE-063</x:v>
      </x:c>
      <x:c r="B1621" s="9" t="str">
        <x:v>ODE</x:v>
      </x:c>
      <x:c r="C1621" s="9" t="str">
        <x:v>Snapshot no cambia con catálogo</x:v>
      </x:c>
      <x:c r="D1621" s="9" t="str">
        <x:v>P0</x:v>
      </x:c>
      <x:c r="E1621" s="9" t="str">
        <x:v>Positiva/regresión</x:v>
      </x:c>
      <x:c r="F1621" s="9" t="str">
        <x:v>Navegador + HTTP + persistencia; Real DEMO y doble identificados por separado</x:v>
      </x:c>
      <x:c r="G1621" s="23" t="str">
        <x:v>Pendiente</x:v>
      </x:c>
      <x:c r="H1621" s="23"/>
      <x:c r="I1621" s="23"/>
      <x:c r="J1621" s="23"/>
      <x:c r="K1621" s="23"/>
      <x:c r="L1621" s="24"/>
      <x:c r="M1621" s="23"/>
      <x:c r="N1621" s="23"/>
    </x:row>
    <x:row r="1622" ht="70" customHeight="1">
      <x:c r="A1622" s="9" t="str">
        <x:v>QA-ODE-064</x:v>
      </x:c>
      <x:c r="B1622" s="9" t="str">
        <x:v>ODE</x:v>
      </x:c>
      <x:c r="C1622" s="9" t="str">
        <x:v>Rollback no emite orden</x:v>
      </x:c>
      <x:c r="D1622" s="9" t="str">
        <x:v>P0</x:v>
      </x:c>
      <x:c r="E1622" s="9" t="str">
        <x:v>Positiva/regresión</x:v>
      </x:c>
      <x:c r="F1622" s="9" t="str">
        <x:v>Navegador + HTTP + persistencia; Real DEMO y doble identificados por separado</x:v>
      </x:c>
      <x:c r="G1622" s="23" t="str">
        <x:v>Pendiente</x:v>
      </x:c>
      <x:c r="H1622" s="23"/>
      <x:c r="I1622" s="23"/>
      <x:c r="J1622" s="23"/>
      <x:c r="K1622" s="23"/>
      <x:c r="L1622" s="24"/>
      <x:c r="M1622" s="23"/>
      <x:c r="N1622" s="23"/>
    </x:row>
    <x:row r="1623" ht="70" customHeight="1">
      <x:c r="A1623" s="9" t="str">
        <x:v>QA-ODE-065</x:v>
      </x:c>
      <x:c r="B1623" s="9" t="str">
        <x:v>ODE</x:v>
      </x:c>
      <x:c r="C1623" s="9" t="str">
        <x:v>Timeout no elimina traslado</x:v>
      </x:c>
      <x:c r="D1623" s="9" t="str">
        <x:v>P0</x:v>
      </x:c>
      <x:c r="E1623" s="9" t="str">
        <x:v>Negativa/control</x:v>
      </x:c>
      <x:c r="F1623" s="9" t="str">
        <x:v>Navegador + HTTP + persistencia; Real DEMO y doble identificados por separado</x:v>
      </x:c>
      <x:c r="G1623" s="23" t="str">
        <x:v>Pendiente</x:v>
      </x:c>
      <x:c r="H1623" s="23"/>
      <x:c r="I1623" s="23"/>
      <x:c r="J1623" s="23"/>
      <x:c r="K1623" s="23"/>
      <x:c r="L1623" s="24"/>
      <x:c r="M1623" s="23"/>
      <x:c r="N1623" s="23"/>
    </x:row>
    <x:row r="1624" ht="70" customHeight="1">
      <x:c r="A1624" s="9" t="str">
        <x:v>QA-ODE-066</x:v>
      </x:c>
      <x:c r="B1624" s="9" t="str">
        <x:v>ODE</x:v>
      </x:c>
      <x:c r="C1624" s="9" t="str">
        <x:v>Pending 40 y reenvío 30</x:v>
      </x:c>
      <x:c r="D1624" s="9" t="str">
        <x:v>P0</x:v>
      </x:c>
      <x:c r="E1624" s="9" t="str">
        <x:v>Positiva/regresión</x:v>
      </x:c>
      <x:c r="F1624" s="9" t="str">
        <x:v>Navegador + HTTP + persistencia; Real DEMO y doble identificados por separado</x:v>
      </x:c>
      <x:c r="G1624" s="23" t="str">
        <x:v>Pendiente</x:v>
      </x:c>
      <x:c r="H1624" s="23"/>
      <x:c r="I1624" s="23"/>
      <x:c r="J1624" s="23"/>
      <x:c r="K1624" s="23"/>
      <x:c r="L1624" s="24"/>
      <x:c r="M1624" s="23"/>
      <x:c r="N1624" s="23"/>
    </x:row>
    <x:row r="1625" ht="70" customHeight="1">
      <x:c r="A1625" s="9" t="str">
        <x:v>QA-ODE-067</x:v>
      </x:c>
      <x:c r="B1625" s="9" t="str">
        <x:v>ODE</x:v>
      </x:c>
      <x:c r="C1625" s="9" t="str">
        <x:v>Corregir rechazo renueva UUID</x:v>
      </x:c>
      <x:c r="D1625" s="9" t="str">
        <x:v>P0</x:v>
      </x:c>
      <x:c r="E1625" s="9" t="str">
        <x:v>Negativa/control</x:v>
      </x:c>
      <x:c r="F1625" s="9" t="str">
        <x:v>Navegador + HTTP + persistencia; Real DEMO y doble identificados por separado</x:v>
      </x:c>
      <x:c r="G1625" s="23" t="str">
        <x:v>Pendiente</x:v>
      </x:c>
      <x:c r="H1625" s="23"/>
      <x:c r="I1625" s="23"/>
      <x:c r="J1625" s="23"/>
      <x:c r="K1625" s="23"/>
      <x:c r="L1625" s="24"/>
      <x:c r="M1625" s="23"/>
      <x:c r="N1625" s="23"/>
    </x:row>
    <x:row r="1626" ht="70" customHeight="1">
      <x:c r="A1626" s="9" t="str">
        <x:v>QA-ODE-068</x:v>
      </x:c>
      <x:c r="B1626" s="9" t="str">
        <x:v>ODE</x:v>
      </x:c>
      <x:c r="C1626" s="9" t="str">
        <x:v>Confirmada no admite edición</x:v>
      </x:c>
      <x:c r="D1626" s="9" t="str">
        <x:v>P0</x:v>
      </x:c>
      <x:c r="E1626" s="9" t="str">
        <x:v>Positiva/regresión</x:v>
      </x:c>
      <x:c r="F1626" s="9" t="str">
        <x:v>Navegador + HTTP + persistencia; Real DEMO y doble identificados por separado</x:v>
      </x:c>
      <x:c r="G1626" s="23" t="str">
        <x:v>Pendiente</x:v>
      </x:c>
      <x:c r="H1626" s="23"/>
      <x:c r="I1626" s="23"/>
      <x:c r="J1626" s="23"/>
      <x:c r="K1626" s="23"/>
      <x:c r="L1626" s="24"/>
      <x:c r="M1626" s="23"/>
      <x:c r="N1626" s="23"/>
    </x:row>
    <x:row r="1627" ht="70" customHeight="1">
      <x:c r="A1627" s="9" t="str">
        <x:v>QA-ODE-069</x:v>
      </x:c>
      <x:c r="B1627" s="9" t="str">
        <x:v>ODE</x:v>
      </x:c>
      <x:c r="C1627" s="9" t="str">
        <x:v>PDF privado identidad control</x:v>
      </x:c>
      <x:c r="D1627" s="9" t="str">
        <x:v>P0</x:v>
      </x:c>
      <x:c r="E1627" s="9" t="str">
        <x:v>Positiva/regresión</x:v>
      </x:c>
      <x:c r="F1627" s="9" t="str">
        <x:v>Navegador + HTTP + persistencia; Real DEMO y doble identificados por separado</x:v>
      </x:c>
      <x:c r="G1627" s="23" t="str">
        <x:v>Pendiente</x:v>
      </x:c>
      <x:c r="H1627" s="23"/>
      <x:c r="I1627" s="23"/>
      <x:c r="J1627" s="23"/>
      <x:c r="K1627" s="23"/>
      <x:c r="L1627" s="24"/>
      <x:c r="M1627" s="23"/>
      <x:c r="N1627" s="23"/>
    </x:row>
    <x:row r="1628" ht="70" customHeight="1">
      <x:c r="A1628" s="9" t="str">
        <x:v>QA-ODE-070</x:v>
      </x:c>
      <x:c r="B1628" s="9" t="str">
        <x:v>ODE</x:v>
      </x:c>
      <x:c r="C1628" s="9" t="str">
        <x:v>PDF inválido no entra cache</x:v>
      </x:c>
      <x:c r="D1628" s="9" t="str">
        <x:v>P0</x:v>
      </x:c>
      <x:c r="E1628" s="9" t="str">
        <x:v>Negativa/control</x:v>
      </x:c>
      <x:c r="F1628" s="9" t="str">
        <x:v>Navegador + HTTP + persistencia; Real DEMO y doble identificados por separado</x:v>
      </x:c>
      <x:c r="G1628" s="23" t="str">
        <x:v>Pendiente</x:v>
      </x:c>
      <x:c r="H1628" s="23"/>
      <x:c r="I1628" s="23"/>
      <x:c r="J1628" s="23"/>
      <x:c r="K1628" s="23"/>
      <x:c r="L1628" s="24"/>
      <x:c r="M1628" s="23"/>
      <x:c r="N1628" s="23"/>
    </x:row>
    <x:row r="1629" ht="70" customHeight="1">
      <x:c r="A1629" s="9" t="str">
        <x:v>QA-ODE-071</x:v>
      </x:c>
      <x:c r="B1629" s="9" t="str">
        <x:v>ODE</x:v>
      </x:c>
      <x:c r="C1629" s="9" t="str">
        <x:v>Enviar y relacionar manual admin</x:v>
      </x:c>
      <x:c r="D1629" s="9" t="str">
        <x:v>P0</x:v>
      </x:c>
      <x:c r="E1629" s="9" t="str">
        <x:v>Positiva/regresión</x:v>
      </x:c>
      <x:c r="F1629" s="9" t="str">
        <x:v>Navegador + HTTP + persistencia; Real DEMO y doble identificados por separado</x:v>
      </x:c>
      <x:c r="G1629" s="23" t="str">
        <x:v>Pendiente</x:v>
      </x:c>
      <x:c r="H1629" s="23"/>
      <x:c r="I1629" s="23"/>
      <x:c r="J1629" s="23"/>
      <x:c r="K1629" s="23"/>
      <x:c r="L1629" s="24"/>
      <x:c r="M1629" s="23"/>
      <x:c r="N1629" s="23"/>
    </x:row>
    <x:row r="1630" ht="70" customHeight="1">
      <x:c r="A1630" s="9" t="str">
        <x:v>QA-ODE-072</x:v>
      </x:c>
      <x:c r="B1630" s="9" t="str">
        <x:v>ODE</x:v>
      </x:c>
      <x:c r="C1630" s="9" t="str">
        <x:v>Identidad repetida sucursales bloqueada</x:v>
      </x:c>
      <x:c r="D1630" s="9" t="str">
        <x:v>P0</x:v>
      </x:c>
      <x:c r="E1630" s="9" t="str">
        <x:v>Negativa/control</x:v>
      </x:c>
      <x:c r="F1630" s="9" t="str">
        <x:v>Navegador + HTTP + persistencia; Real DEMO y doble identificados por separado</x:v>
      </x:c>
      <x:c r="G1630" s="23" t="str">
        <x:v>Pendiente</x:v>
      </x:c>
      <x:c r="H1630" s="23"/>
      <x:c r="I1630" s="23"/>
      <x:c r="J1630" s="23"/>
      <x:c r="K1630" s="23"/>
      <x:c r="L1630" s="24"/>
      <x:c r="M1630" s="23"/>
      <x:c r="N1630" s="23"/>
    </x:row>
    <x:row r="1631" ht="70" customHeight="1">
      <x:c r="A1631" s="9" t="str">
        <x:v>QA-ODI-001</x:v>
      </x:c>
      <x:c r="B1631" s="9" t="str">
        <x:v>ODI</x:v>
      </x:c>
      <x:c r="C1631" s="9" t="str">
        <x:v>Almacén de sucursal orden</x:v>
      </x:c>
      <x:c r="D1631" s="9" t="str">
        <x:v>P0</x:v>
      </x:c>
      <x:c r="E1631" s="9" t="str">
        <x:v>Positiva/regresión</x:v>
      </x:c>
      <x:c r="F1631" s="9" t="str">
        <x:v>Navegador + HTTP + persistencia; Real DEMO y doble identificados por separado</x:v>
      </x:c>
      <x:c r="G1631" s="23" t="str">
        <x:v>Pendiente</x:v>
      </x:c>
      <x:c r="H1631" s="23"/>
      <x:c r="I1631" s="23"/>
      <x:c r="J1631" s="23"/>
      <x:c r="K1631" s="23"/>
      <x:c r="L1631" s="24"/>
      <x:c r="M1631" s="23"/>
      <x:c r="N1631" s="23"/>
    </x:row>
    <x:row r="1632" ht="70" customHeight="1">
      <x:c r="A1632" s="9" t="str">
        <x:v>QA-ODI-002</x:v>
      </x:c>
      <x:c r="B1632" s="9" t="str">
        <x:v>ODI</x:v>
      </x:c>
      <x:c r="C1632" s="9" t="str">
        <x:v>Cantidad cuatro decimales</x:v>
      </x:c>
      <x:c r="D1632" s="9" t="str">
        <x:v>P0</x:v>
      </x:c>
      <x:c r="E1632" s="9" t="str">
        <x:v>Positiva/regresión</x:v>
      </x:c>
      <x:c r="F1632" s="9" t="str">
        <x:v>Navegador + HTTP + persistencia; Real DEMO y doble identificados por separado</x:v>
      </x:c>
      <x:c r="G1632" s="23" t="str">
        <x:v>Pendiente</x:v>
      </x:c>
      <x:c r="H1632" s="23"/>
      <x:c r="I1632" s="23"/>
      <x:c r="J1632" s="23"/>
      <x:c r="K1632" s="23"/>
      <x:c r="L1632" s="24"/>
      <x:c r="M1632" s="23"/>
      <x:c r="N1632" s="23"/>
    </x:row>
    <x:row r="1633" ht="70" customHeight="1">
      <x:c r="A1633" s="9" t="str">
        <x:v>QA-ODI-003</x:v>
      </x:c>
      <x:c r="B1633" s="9" t="str">
        <x:v>ODI</x:v>
      </x:c>
      <x:c r="C1633" s="9" t="str">
        <x:v>Quinta decimal rechazada</x:v>
      </x:c>
      <x:c r="D1633" s="9" t="str">
        <x:v>P0</x:v>
      </x:c>
      <x:c r="E1633" s="9" t="str">
        <x:v>Negativa/control</x:v>
      </x:c>
      <x:c r="F1633" s="9" t="str">
        <x:v>Navegador + HTTP + persistencia; Real DEMO y doble identificados por separado</x:v>
      </x:c>
      <x:c r="G1633" s="23" t="str">
        <x:v>Pendiente</x:v>
      </x:c>
      <x:c r="H1633" s="23"/>
      <x:c r="I1633" s="23"/>
      <x:c r="J1633" s="23"/>
      <x:c r="K1633" s="23"/>
      <x:c r="L1633" s="24"/>
      <x:c r="M1633" s="23"/>
      <x:c r="N1633" s="23"/>
    </x:row>
    <x:row r="1634" ht="70" customHeight="1">
      <x:c r="A1634" s="9" t="str">
        <x:v>QA-ODI-004</x:v>
      </x:c>
      <x:c r="B1634" s="9" t="str">
        <x:v>ODI</x:v>
      </x:c>
      <x:c r="C1634" s="9" t="str">
        <x:v>Cero y negativo cantidad</x:v>
      </x:c>
      <x:c r="D1634" s="9" t="str">
        <x:v>P0</x:v>
      </x:c>
      <x:c r="E1634" s="9" t="str">
        <x:v>Positiva/regresión</x:v>
      </x:c>
      <x:c r="F1634" s="9" t="str">
        <x:v>Navegador + HTTP + persistencia; Real DEMO y doble identificados por separado</x:v>
      </x:c>
      <x:c r="G1634" s="23" t="str">
        <x:v>Pendiente</x:v>
      </x:c>
      <x:c r="H1634" s="23"/>
      <x:c r="I1634" s="23"/>
      <x:c r="J1634" s="23"/>
      <x:c r="K1634" s="23"/>
      <x:c r="L1634" s="24"/>
      <x:c r="M1634" s="23"/>
      <x:c r="N1634" s="23"/>
    </x:row>
    <x:row r="1635" ht="70" customHeight="1">
      <x:c r="A1635" s="9" t="str">
        <x:v>QA-ODI-005</x:v>
      </x:c>
      <x:c r="B1635" s="9" t="str">
        <x:v>ODI</x:v>
      </x:c>
      <x:c r="C1635" s="9" t="str">
        <x:v>Lote pertenece producto/almacén</x:v>
      </x:c>
      <x:c r="D1635" s="9" t="str">
        <x:v>P0</x:v>
      </x:c>
      <x:c r="E1635" s="9" t="str">
        <x:v>Positiva/regresión</x:v>
      </x:c>
      <x:c r="F1635" s="9" t="str">
        <x:v>Navegador + HTTP + persistencia; Real DEMO y doble identificados por separado</x:v>
      </x:c>
      <x:c r="G1635" s="23" t="str">
        <x:v>Pendiente</x:v>
      </x:c>
      <x:c r="H1635" s="23"/>
      <x:c r="I1635" s="23"/>
      <x:c r="J1635" s="23"/>
      <x:c r="K1635" s="23"/>
      <x:c r="L1635" s="24"/>
      <x:c r="M1635" s="23"/>
      <x:c r="N1635" s="23"/>
    </x:row>
    <x:row r="1636" ht="70" customHeight="1">
      <x:c r="A1636" s="9" t="str">
        <x:v>QA-ODI-006</x:v>
      </x:c>
      <x:c r="B1636" s="9" t="str">
        <x:v>ODI</x:v>
      </x:c>
      <x:c r="C1636" s="9" t="str">
        <x:v>Lote insuficiente</x:v>
      </x:c>
      <x:c r="D1636" s="9" t="str">
        <x:v>P0</x:v>
      </x:c>
      <x:c r="E1636" s="9" t="str">
        <x:v>Positiva/regresión</x:v>
      </x:c>
      <x:c r="F1636" s="9" t="str">
        <x:v>Navegador + HTTP + persistencia; Real DEMO y doble identificados por separado</x:v>
      </x:c>
      <x:c r="G1636" s="23" t="str">
        <x:v>Pendiente</x:v>
      </x:c>
      <x:c r="H1636" s="23"/>
      <x:c r="I1636" s="23"/>
      <x:c r="J1636" s="23"/>
      <x:c r="K1636" s="23"/>
      <x:c r="L1636" s="24"/>
      <x:c r="M1636" s="23"/>
      <x:c r="N1636" s="23"/>
    </x:row>
    <x:row r="1637" ht="70" customHeight="1">
      <x:c r="A1637" s="9" t="str">
        <x:v>QA-ODI-007</x:v>
      </x:c>
      <x:c r="B1637" s="9" t="str">
        <x:v>ODI</x:v>
      </x:c>
      <x:c r="C1637" s="9" t="str">
        <x:v>Lote replay ya consumido propio</x:v>
      </x:c>
      <x:c r="D1637" s="9" t="str">
        <x:v>P0</x:v>
      </x:c>
      <x:c r="E1637" s="9" t="str">
        <x:v>Positiva/regresión</x:v>
      </x:c>
      <x:c r="F1637" s="9" t="str">
        <x:v>Navegador + HTTP + persistencia; Real DEMO y doble identificados por separado</x:v>
      </x:c>
      <x:c r="G1637" s="23" t="str">
        <x:v>Pendiente</x:v>
      </x:c>
      <x:c r="H1637" s="23"/>
      <x:c r="I1637" s="23"/>
      <x:c r="J1637" s="23"/>
      <x:c r="K1637" s="23"/>
      <x:c r="L1637" s="24"/>
      <x:c r="M1637" s="23"/>
      <x:c r="N1637" s="23"/>
    </x:row>
    <x:row r="1638" ht="70" customHeight="1">
      <x:c r="A1638" s="9" t="str">
        <x:v>QA-ODI-008</x:v>
      </x:c>
      <x:c r="B1638" s="9" t="str">
        <x:v>ODI</x:v>
      </x:c>
      <x:c r="C1638" s="9" t="str">
        <x:v>Serial ajeno o duplicado</x:v>
      </x:c>
      <x:c r="D1638" s="9" t="str">
        <x:v>P0</x:v>
      </x:c>
      <x:c r="E1638" s="9" t="str">
        <x:v>Negativa/control</x:v>
      </x:c>
      <x:c r="F1638" s="9" t="str">
        <x:v>Navegador + HTTP + persistencia; Real DEMO y doble identificados por separado</x:v>
      </x:c>
      <x:c r="G1638" s="23" t="str">
        <x:v>Pendiente</x:v>
      </x:c>
      <x:c r="H1638" s="23"/>
      <x:c r="I1638" s="23"/>
      <x:c r="J1638" s="23"/>
      <x:c r="K1638" s="23"/>
      <x:c r="L1638" s="24"/>
      <x:c r="M1638" s="23"/>
      <x:c r="N1638" s="23"/>
    </x:row>
    <x:row r="1639" ht="70" customHeight="1">
      <x:c r="A1639" s="9" t="str">
        <x:v>QA-ODI-009</x:v>
      </x:c>
      <x:c r="B1639" s="9" t="str">
        <x:v>ODI</x:v>
      </x:c>
      <x:c r="C1639" s="9" t="str">
        <x:v>Serial exige entero</x:v>
      </x:c>
      <x:c r="D1639" s="9" t="str">
        <x:v>P0</x:v>
      </x:c>
      <x:c r="E1639" s="9" t="str">
        <x:v>Positiva/regresión</x:v>
      </x:c>
      <x:c r="F1639" s="9" t="str">
        <x:v>Navegador + HTTP + persistencia; Real DEMO y doble identificados por separado</x:v>
      </x:c>
      <x:c r="G1639" s="23" t="str">
        <x:v>Pendiente</x:v>
      </x:c>
      <x:c r="H1639" s="23"/>
      <x:c r="I1639" s="23"/>
      <x:c r="J1639" s="23"/>
      <x:c r="K1639" s="23"/>
      <x:c r="L1639" s="24"/>
      <x:c r="M1639" s="23"/>
      <x:c r="N1639" s="23"/>
    </x:row>
    <x:row r="1640" ht="70" customHeight="1">
      <x:c r="A1640" s="9" t="str">
        <x:v>QA-ODI-010</x:v>
      </x:c>
      <x:c r="B1640" s="9" t="str">
        <x:v>ODI</x:v>
      </x:c>
      <x:c r="C1640" s="9" t="str">
        <x:v>Serial replay propio</x:v>
      </x:c>
      <x:c r="D1640" s="9" t="str">
        <x:v>P0</x:v>
      </x:c>
      <x:c r="E1640" s="9" t="str">
        <x:v>Positiva/regresión</x:v>
      </x:c>
      <x:c r="F1640" s="9" t="str">
        <x:v>Navegador + HTTP + persistencia; Real DEMO y doble identificados por separado</x:v>
      </x:c>
      <x:c r="G1640" s="23" t="str">
        <x:v>Pendiente</x:v>
      </x:c>
      <x:c r="H1640" s="23"/>
      <x:c r="I1640" s="23"/>
      <x:c r="J1640" s="23"/>
      <x:c r="K1640" s="23"/>
      <x:c r="L1640" s="24"/>
      <x:c r="M1640" s="23"/>
      <x:c r="N1640" s="23"/>
    </x:row>
    <x:row r="1641" ht="70" customHeight="1">
      <x:c r="A1641" s="9" t="str">
        <x:v>QA-ODI-011</x:v>
      </x:c>
      <x:c r="B1641" s="9" t="str">
        <x:v>ODI</x:v>
      </x:c>
      <x:c r="C1641" s="9" t="str">
        <x:v>Edición restaura y reaplica una vez</x:v>
      </x:c>
      <x:c r="D1641" s="9" t="str">
        <x:v>P0</x:v>
      </x:c>
      <x:c r="E1641" s="9" t="str">
        <x:v>Positiva/regresión</x:v>
      </x:c>
      <x:c r="F1641" s="9" t="str">
        <x:v>Navegador + HTTP + persistencia; Real DEMO y doble identificados por separado</x:v>
      </x:c>
      <x:c r="G1641" s="23" t="str">
        <x:v>Pendiente</x:v>
      </x:c>
      <x:c r="H1641" s="23"/>
      <x:c r="I1641" s="23"/>
      <x:c r="J1641" s="23"/>
      <x:c r="K1641" s="23"/>
      <x:c r="L1641" s="24"/>
      <x:c r="M1641" s="23"/>
      <x:c r="N1641" s="23"/>
    </x:row>
    <x:row r="1642" ht="70" customHeight="1">
      <x:c r="A1642" s="9" t="str">
        <x:v>QA-ODI-012</x:v>
      </x:c>
      <x:c r="B1642" s="9" t="str">
        <x:v>ODI</x:v>
      </x:c>
      <x:c r="C1642" s="9" t="str">
        <x:v>Edición preserva flagstock congelado</x:v>
      </x:c>
      <x:c r="D1642" s="9" t="str">
        <x:v>P0</x:v>
      </x:c>
      <x:c r="E1642" s="9" t="str">
        <x:v>Positiva/regresión</x:v>
      </x:c>
      <x:c r="F1642" s="9" t="str">
        <x:v>Navegador + HTTP + persistencia; Real DEMO y doble identificados por separado</x:v>
      </x:c>
      <x:c r="G1642" s="23" t="str">
        <x:v>Pendiente</x:v>
      </x:c>
      <x:c r="H1642" s="23"/>
      <x:c r="I1642" s="23"/>
      <x:c r="J1642" s="23"/>
      <x:c r="K1642" s="23"/>
      <x:c r="L1642" s="24"/>
      <x:c r="M1642" s="23"/>
      <x:c r="N1642" s="23"/>
    </x:row>
    <x:row r="1643" ht="70" customHeight="1">
      <x:c r="A1643" s="9" t="str">
        <x:v>QA-ODI-013</x:v>
      </x:c>
      <x:c r="B1643" s="9" t="str">
        <x:v>ODI</x:v>
      </x:c>
      <x:c r="C1643" s="9" t="str">
        <x:v>Edición lotes y seriales</x:v>
      </x:c>
      <x:c r="D1643" s="9" t="str">
        <x:v>P0</x:v>
      </x:c>
      <x:c r="E1643" s="9" t="str">
        <x:v>Positiva/regresión</x:v>
      </x:c>
      <x:c r="F1643" s="9" t="str">
        <x:v>Navegador + HTTP + persistencia; Real DEMO y doble identificados por separado</x:v>
      </x:c>
      <x:c r="G1643" s="23" t="str">
        <x:v>Pendiente</x:v>
      </x:c>
      <x:c r="H1643" s="23"/>
      <x:c r="I1643" s="23"/>
      <x:c r="J1643" s="23"/>
      <x:c r="K1643" s="23"/>
      <x:c r="L1643" s="24"/>
      <x:c r="M1643" s="23"/>
      <x:c r="N1643" s="23"/>
    </x:row>
    <x:row r="1644" ht="70" customHeight="1">
      <x:c r="A1644" s="9" t="str">
        <x:v>QA-ODI-014</x:v>
      </x:c>
      <x:c r="B1644" s="9" t="str">
        <x:v>ODI</x:v>
      </x:c>
      <x:c r="C1644" s="9" t="str">
        <x:v>Fallo edición revierte restauración</x:v>
      </x:c>
      <x:c r="D1644" s="9" t="str">
        <x:v>P0</x:v>
      </x:c>
      <x:c r="E1644" s="9" t="str">
        <x:v>Positiva/regresión</x:v>
      </x:c>
      <x:c r="F1644" s="9" t="str">
        <x:v>Navegador + HTTP + persistencia; Real DEMO y doble identificados por separado</x:v>
      </x:c>
      <x:c r="G1644" s="23" t="str">
        <x:v>Pendiente</x:v>
      </x:c>
      <x:c r="H1644" s="23"/>
      <x:c r="I1644" s="23"/>
      <x:c r="J1644" s="23"/>
      <x:c r="K1644" s="23"/>
      <x:c r="L1644" s="24"/>
      <x:c r="M1644" s="23"/>
      <x:c r="N1644" s="23"/>
    </x:row>
    <x:row r="1645" ht="70" customHeight="1">
      <x:c r="A1645" s="9" t="str">
        <x:v>QA-ODI-015</x:v>
      </x:c>
      <x:c r="B1645" s="9" t="str">
        <x:v>ODI</x:v>
      </x:c>
      <x:c r="C1645" s="9" t="str">
        <x:v>Reversión local movimiento único</x:v>
      </x:c>
      <x:c r="D1645" s="9" t="str">
        <x:v>P0</x:v>
      </x:c>
      <x:c r="E1645" s="9" t="str">
        <x:v>Positiva/regresión</x:v>
      </x:c>
      <x:c r="F1645" s="9" t="str">
        <x:v>Navegador + HTTP + persistencia; Real DEMO y doble identificados por separado</x:v>
      </x:c>
      <x:c r="G1645" s="23" t="str">
        <x:v>Pendiente</x:v>
      </x:c>
      <x:c r="H1645" s="23"/>
      <x:c r="I1645" s="23"/>
      <x:c r="J1645" s="23"/>
      <x:c r="K1645" s="23"/>
      <x:c r="L1645" s="24"/>
      <x:c r="M1645" s="23"/>
      <x:c r="N1645" s="23"/>
    </x:row>
    <x:row r="1646" ht="70" customHeight="1">
      <x:c r="A1646" s="9" t="str">
        <x:v>QA-ODI-016</x:v>
      </x:c>
      <x:c r="B1646" s="9" t="str">
        <x:v>ODI</x:v>
      </x:c>
      <x:c r="C1646" s="9" t="str">
        <x:v>Cotización origen sin movimiento</x:v>
      </x:c>
      <x:c r="D1646" s="9" t="str">
        <x:v>P0</x:v>
      </x:c>
      <x:c r="E1646" s="9" t="str">
        <x:v>Negativa/control</x:v>
      </x:c>
      <x:c r="F1646" s="9" t="str">
        <x:v>Navegador + HTTP + persistencia; Real DEMO y doble identificados por separado</x:v>
      </x:c>
      <x:c r="G1646" s="23" t="str">
        <x:v>Pendiente</x:v>
      </x:c>
      <x:c r="H1646" s="23"/>
      <x:c r="I1646" s="23"/>
      <x:c r="J1646" s="23"/>
      <x:c r="K1646" s="23"/>
      <x:c r="L1646" s="24"/>
      <x:c r="M1646" s="23"/>
      <x:c r="N1646" s="23"/>
    </x:row>
    <x:row r="1647" ht="70" customHeight="1">
      <x:c r="A1647" s="9" t="str">
        <x:v>QA-ODI-017</x:v>
      </x:c>
      <x:c r="B1647" s="9" t="str">
        <x:v>ODI</x:v>
      </x:c>
      <x:c r="C1647" s="9" t="str">
        <x:v>Pedido ya descontó origen</x:v>
      </x:c>
      <x:c r="D1647" s="9" t="str">
        <x:v>P0</x:v>
      </x:c>
      <x:c r="E1647" s="9" t="str">
        <x:v>Positiva/regresión</x:v>
      </x:c>
      <x:c r="F1647" s="9" t="str">
        <x:v>Navegador + HTTP + persistencia; Real DEMO y doble identificados por separado</x:v>
      </x:c>
      <x:c r="G1647" s="23" t="str">
        <x:v>Pendiente</x:v>
      </x:c>
      <x:c r="H1647" s="23"/>
      <x:c r="I1647" s="23"/>
      <x:c r="J1647" s="23"/>
      <x:c r="K1647" s="23"/>
      <x:c r="L1647" s="24"/>
      <x:c r="M1647" s="23"/>
      <x:c r="N1647" s="23"/>
    </x:row>
    <x:row r="1648" ht="70" customHeight="1">
      <x:c r="A1648" s="9" t="str">
        <x:v>QA-ODI-018</x:v>
      </x:c>
      <x:c r="B1648" s="9" t="str">
        <x:v>ODI</x:v>
      </x:c>
      <x:c r="C1648" s="9" t="str">
        <x:v>Nota de venta origen físico</x:v>
      </x:c>
      <x:c r="D1648" s="9" t="str">
        <x:v>P0</x:v>
      </x:c>
      <x:c r="E1648" s="9" t="str">
        <x:v>Positiva/regresión</x:v>
      </x:c>
      <x:c r="F1648" s="9" t="str">
        <x:v>Navegador + HTTP + persistencia; Real DEMO y doble identificados por separado</x:v>
      </x:c>
      <x:c r="G1648" s="23" t="str">
        <x:v>Pendiente</x:v>
      </x:c>
      <x:c r="H1648" s="23"/>
      <x:c r="I1648" s="23"/>
      <x:c r="J1648" s="23"/>
      <x:c r="K1648" s="23"/>
      <x:c r="L1648" s="24"/>
      <x:c r="M1648" s="23"/>
      <x:c r="N1648" s="23"/>
    </x:row>
    <x:row r="1649" ht="70" customHeight="1">
      <x:c r="A1649" s="9" t="str">
        <x:v>QA-ODI-019</x:v>
      </x:c>
      <x:c r="B1649" s="9" t="str">
        <x:v>ODI</x:v>
      </x:c>
      <x:c r="C1649" s="9" t="str">
        <x:v>Factura origen VES</x:v>
      </x:c>
      <x:c r="D1649" s="9" t="str">
        <x:v>P0</x:v>
      </x:c>
      <x:c r="E1649" s="9" t="str">
        <x:v>Positiva/regresión</x:v>
      </x:c>
      <x:c r="F1649" s="9" t="str">
        <x:v>Navegador + HTTP + persistencia; Real DEMO y doble identificados por separado</x:v>
      </x:c>
      <x:c r="G1649" s="23" t="str">
        <x:v>Pendiente</x:v>
      </x:c>
      <x:c r="H1649" s="23"/>
      <x:c r="I1649" s="23"/>
      <x:c r="J1649" s="23"/>
      <x:c r="K1649" s="23"/>
      <x:c r="L1649" s="24"/>
      <x:c r="M1649" s="23"/>
      <x:c r="N1649" s="23"/>
    </x:row>
    <x:row r="1650" ht="70" customHeight="1">
      <x:c r="A1650" s="9" t="str">
        <x:v>QA-ODI-020</x:v>
      </x:c>
      <x:c r="B1650" s="9" t="str">
        <x:v>ODI</x:v>
      </x:c>
      <x:c r="C1650" s="9" t="str">
        <x:v>Factura origen USD</x:v>
      </x:c>
      <x:c r="D1650" s="9" t="str">
        <x:v>P0</x:v>
      </x:c>
      <x:c r="E1650" s="9" t="str">
        <x:v>Positiva/regresión</x:v>
      </x:c>
      <x:c r="F1650" s="9" t="str">
        <x:v>Navegador + HTTP + persistencia; Real DEMO y doble identificados por separado</x:v>
      </x:c>
      <x:c r="G1650" s="23" t="str">
        <x:v>Pendiente</x:v>
      </x:c>
      <x:c r="H1650" s="23"/>
      <x:c r="I1650" s="23"/>
      <x:c r="J1650" s="23"/>
      <x:c r="K1650" s="23"/>
      <x:c r="L1650" s="24"/>
      <x:c r="M1650" s="23"/>
      <x:c r="N1650" s="23"/>
    </x:row>
    <x:row r="1651" ht="70" customHeight="1">
      <x:c r="A1651" s="9" t="str">
        <x:v>QA-ODI-021</x:v>
      </x:c>
      <x:c r="B1651" s="9" t="str">
        <x:v>ODI</x:v>
      </x:c>
      <x:c r="C1651" s="9" t="str">
        <x:v>Cantidad derivada superior origen</x:v>
      </x:c>
      <x:c r="D1651" s="9" t="str">
        <x:v>P0</x:v>
      </x:c>
      <x:c r="E1651" s="9" t="str">
        <x:v>Positiva/regresión</x:v>
      </x:c>
      <x:c r="F1651" s="9" t="str">
        <x:v>Navegador + HTTP + persistencia; Real DEMO y doble identificados por separado</x:v>
      </x:c>
      <x:c r="G1651" s="23" t="str">
        <x:v>Pendiente</x:v>
      </x:c>
      <x:c r="H1651" s="23"/>
      <x:c r="I1651" s="23"/>
      <x:c r="J1651" s="23"/>
      <x:c r="K1651" s="23"/>
      <x:c r="L1651" s="24"/>
      <x:c r="M1651" s="23"/>
      <x:c r="N1651" s="23"/>
    </x:row>
    <x:row r="1652" ht="70" customHeight="1">
      <x:c r="A1652" s="9" t="str">
        <x:v>QA-ODI-022</x:v>
      </x:c>
      <x:c r="B1652" s="9" t="str">
        <x:v>ODI</x:v>
      </x:c>
      <x:c r="C1652" s="9" t="str">
        <x:v>Origen cliente o sucursal ajena</x:v>
      </x:c>
      <x:c r="D1652" s="9" t="str">
        <x:v>P0</x:v>
      </x:c>
      <x:c r="E1652" s="9" t="str">
        <x:v>Positiva/regresión</x:v>
      </x:c>
      <x:c r="F1652" s="9" t="str">
        <x:v>Navegador + HTTP + persistencia; Real DEMO y doble identificados por separado</x:v>
      </x:c>
      <x:c r="G1652" s="23" t="str">
        <x:v>Pendiente</x:v>
      </x:c>
      <x:c r="H1652" s="23"/>
      <x:c r="I1652" s="23"/>
      <x:c r="J1652" s="23"/>
      <x:c r="K1652" s="23"/>
      <x:c r="L1652" s="24"/>
      <x:c r="M1652" s="23"/>
      <x:c r="N1652" s="23"/>
    </x:row>
    <x:row r="1653" ht="70" customHeight="1">
      <x:c r="A1653" s="9" t="str">
        <x:v>QA-ODI-023</x:v>
      </x:c>
      <x:c r="B1653" s="9" t="str">
        <x:v>ODI</x:v>
      </x:c>
      <x:c r="C1653" s="9" t="str">
        <x:v>Conversión individual sin doble stock</x:v>
      </x:c>
      <x:c r="D1653" s="9" t="str">
        <x:v>P0</x:v>
      </x:c>
      <x:c r="E1653" s="9" t="str">
        <x:v>Negativa/control</x:v>
      </x:c>
      <x:c r="F1653" s="9" t="str">
        <x:v>Navegador + HTTP + persistencia; Real DEMO y doble identificados por separado</x:v>
      </x:c>
      <x:c r="G1653" s="23" t="str">
        <x:v>Pendiente</x:v>
      </x:c>
      <x:c r="H1653" s="23"/>
      <x:c r="I1653" s="23"/>
      <x:c r="J1653" s="23"/>
      <x:c r="K1653" s="23"/>
      <x:c r="L1653" s="24"/>
      <x:c r="M1653" s="23"/>
      <x:c r="N1653" s="23"/>
    </x:row>
    <x:row r="1654" ht="70" customHeight="1">
      <x:c r="A1654" s="9" t="str">
        <x:v>QA-ODI-024</x:v>
      </x:c>
      <x:c r="B1654" s="9" t="str">
        <x:v>ODI</x:v>
      </x:c>
      <x:c r="C1654" s="9" t="str">
        <x:v>Conversión múltiple repetidos</x:v>
      </x:c>
      <x:c r="D1654" s="9" t="str">
        <x:v>P0</x:v>
      </x:c>
      <x:c r="E1654" s="9" t="str">
        <x:v>Positiva/regresión</x:v>
      </x:c>
      <x:c r="F1654" s="9" t="str">
        <x:v>Navegador + HTTP + persistencia; Real DEMO y doble identificados por separado</x:v>
      </x:c>
      <x:c r="G1654" s="23" t="str">
        <x:v>Pendiente</x:v>
      </x:c>
      <x:c r="H1654" s="23"/>
      <x:c r="I1654" s="23"/>
      <x:c r="J1654" s="23"/>
      <x:c r="K1654" s="23"/>
      <x:c r="L1654" s="24"/>
      <x:c r="M1654" s="23"/>
      <x:c r="N1654" s="23"/>
    </x:row>
    <x:row r="1655" ht="70" customHeight="1">
      <x:c r="A1655" s="9" t="str">
        <x:v>QA-ODI-025</x:v>
      </x:c>
      <x:c r="B1655" s="9" t="str">
        <x:v>ODI</x:v>
      </x:c>
      <x:c r="C1655" s="9" t="str">
        <x:v>Conversión mezcla cantidad nueva</x:v>
      </x:c>
      <x:c r="D1655" s="9" t="str">
        <x:v>P0</x:v>
      </x:c>
      <x:c r="E1655" s="9" t="str">
        <x:v>Positiva/regresión</x:v>
      </x:c>
      <x:c r="F1655" s="9" t="str">
        <x:v>Navegador + HTTP + persistencia; Real DEMO y doble identificados por separado</x:v>
      </x:c>
      <x:c r="G1655" s="23" t="str">
        <x:v>Pendiente</x:v>
      </x:c>
      <x:c r="H1655" s="23"/>
      <x:c r="I1655" s="23"/>
      <x:c r="J1655" s="23"/>
      <x:c r="K1655" s="23"/>
      <x:c r="L1655" s="24"/>
      <x:c r="M1655" s="23"/>
      <x:c r="N1655" s="23"/>
    </x:row>
    <x:row r="1656" ht="70" customHeight="1">
      <x:c r="A1656" s="9" t="str">
        <x:v>QA-ODI-026</x:v>
      </x:c>
      <x:c r="B1656" s="9" t="str">
        <x:v>ODI</x:v>
      </x:c>
      <x:c r="C1656" s="9" t="str">
        <x:v>Revertir factura sólo movimiento propio</x:v>
      </x:c>
      <x:c r="D1656" s="9" t="str">
        <x:v>P0</x:v>
      </x:c>
      <x:c r="E1656" s="9" t="str">
        <x:v>Positiva/regresión</x:v>
      </x:c>
      <x:c r="F1656" s="9" t="str">
        <x:v>Navegador + HTTP + persistencia; Real DEMO y doble identificados por separado</x:v>
      </x:c>
      <x:c r="G1656" s="23" t="str">
        <x:v>Pendiente</x:v>
      </x:c>
      <x:c r="H1656" s="23"/>
      <x:c r="I1656" s="23"/>
      <x:c r="J1656" s="23"/>
      <x:c r="K1656" s="23"/>
      <x:c r="L1656" s="24"/>
      <x:c r="M1656" s="23"/>
      <x:c r="N1656" s="23"/>
    </x:row>
    <x:row r="1657" ht="70" customHeight="1">
      <x:c r="A1657" s="9" t="str">
        <x:v>QA-ODI-027</x:v>
      </x:c>
      <x:c r="B1657" s="9" t="str">
        <x:v>ODI</x:v>
      </x:c>
      <x:c r="C1657" s="9" t="str">
        <x:v>Conversión unidad original trazada</x:v>
      </x:c>
      <x:c r="D1657" s="9" t="str">
        <x:v>P0</x:v>
      </x:c>
      <x:c r="E1657" s="9" t="str">
        <x:v>Positiva/regresión</x:v>
      </x:c>
      <x:c r="F1657" s="9" t="str">
        <x:v>Navegador + HTTP + persistencia; Real DEMO y doble identificados por separado</x:v>
      </x:c>
      <x:c r="G1657" s="23" t="str">
        <x:v>Pendiente</x:v>
      </x:c>
      <x:c r="H1657" s="23"/>
      <x:c r="I1657" s="23"/>
      <x:c r="J1657" s="23"/>
      <x:c r="K1657" s="23"/>
      <x:c r="L1657" s="24"/>
      <x:c r="M1657" s="23"/>
      <x:c r="N1657" s="23"/>
    </x:row>
    <x:row r="1658" ht="70" customHeight="1">
      <x:c r="A1658" s="9" t="str">
        <x:v>QA-ODI-028</x:v>
      </x:c>
      <x:c r="B1658" s="9" t="str">
        <x:v>ODI</x:v>
      </x:c>
      <x:c r="C1658" s="9" t="str">
        <x:v>Conversión lote parcial bloqueada</x:v>
      </x:c>
      <x:c r="D1658" s="9" t="str">
        <x:v>P0</x:v>
      </x:c>
      <x:c r="E1658" s="9" t="str">
        <x:v>Negativa/control</x:v>
      </x:c>
      <x:c r="F1658" s="9" t="str">
        <x:v>Navegador + HTTP + persistencia; Real DEMO y doble identificados por separado</x:v>
      </x:c>
      <x:c r="G1658" s="23" t="str">
        <x:v>Pendiente</x:v>
      </x:c>
      <x:c r="H1658" s="23"/>
      <x:c r="I1658" s="23"/>
      <x:c r="J1658" s="23"/>
      <x:c r="K1658" s="23"/>
      <x:c r="L1658" s="24"/>
      <x:c r="M1658" s="23"/>
      <x:c r="N1658" s="23"/>
    </x:row>
    <x:row r="1659" ht="70" customHeight="1">
      <x:c r="A1659" s="9" t="str">
        <x:v>QA-ODI-029</x:v>
      </x:c>
      <x:c r="B1659" s="9" t="str">
        <x:v>ODI</x:v>
      </x:c>
      <x:c r="C1659" s="9" t="str">
        <x:v>Conversión mezcla trazada y nueva bloqueada</x:v>
      </x:c>
      <x:c r="D1659" s="9" t="str">
        <x:v>P0</x:v>
      </x:c>
      <x:c r="E1659" s="9" t="str">
        <x:v>Negativa/control</x:v>
      </x:c>
      <x:c r="F1659" s="9" t="str">
        <x:v>Navegador + HTTP + persistencia; Real DEMO y doble identificados por separado</x:v>
      </x:c>
      <x:c r="G1659" s="23" t="str">
        <x:v>Pendiente</x:v>
      </x:c>
      <x:c r="H1659" s="23"/>
      <x:c r="I1659" s="23"/>
      <x:c r="J1659" s="23"/>
      <x:c r="K1659" s="23"/>
      <x:c r="L1659" s="24"/>
      <x:c r="M1659" s="23"/>
      <x:c r="N1659" s="23"/>
    </x:row>
    <x:row r="1660" ht="70" customHeight="1">
      <x:c r="A1660" s="9" t="str">
        <x:v>QA-ODI-030</x:v>
      </x:c>
      <x:c r="B1660" s="9" t="str">
        <x:v>ODI</x:v>
      </x:c>
      <x:c r="C1660" s="9" t="str">
        <x:v>Conversión packs no habilitada</x:v>
      </x:c>
      <x:c r="D1660" s="9" t="str">
        <x:v>P0</x:v>
      </x:c>
      <x:c r="E1660" s="9" t="str">
        <x:v>Positiva/regresión</x:v>
      </x:c>
      <x:c r="F1660" s="9" t="str">
        <x:v>Navegador + HTTP + persistencia; Real DEMO y doble identificados por separado</x:v>
      </x:c>
      <x:c r="G1660" s="23" t="str">
        <x:v>Pendiente</x:v>
      </x:c>
      <x:c r="H1660" s="23"/>
      <x:c r="I1660" s="23"/>
      <x:c r="J1660" s="23"/>
      <x:c r="K1660" s="23"/>
      <x:c r="L1660" s="24"/>
      <x:c r="M1660" s="23"/>
      <x:c r="N1660" s="23"/>
    </x:row>
    <x:row r="1661" ht="70" customHeight="1">
      <x:c r="A1661" s="9" t="str">
        <x:v>QA-ODI-031</x:v>
      </x:c>
      <x:c r="B1661" s="9" t="str">
        <x:v>ODI</x:v>
      </x:c>
      <x:c r="C1661" s="9" t="str">
        <x:v>Relación local no equivale HKA</x:v>
      </x:c>
      <x:c r="D1661" s="9" t="str">
        <x:v>P0</x:v>
      </x:c>
      <x:c r="E1661" s="9" t="str">
        <x:v>Positiva/regresión</x:v>
      </x:c>
      <x:c r="F1661" s="9" t="str">
        <x:v>Navegador + HTTP + persistencia; Real DEMO y doble identificados por separado</x:v>
      </x:c>
      <x:c r="G1661" s="23" t="str">
        <x:v>Pendiente</x:v>
      </x:c>
      <x:c r="H1661" s="23"/>
      <x:c r="I1661" s="23"/>
      <x:c r="J1661" s="23"/>
      <x:c r="K1661" s="23"/>
      <x:c r="L1661" s="24"/>
      <x:c r="M1661" s="23"/>
      <x:c r="N1661" s="23"/>
    </x:row>
    <x:row r="1662" ht="70" customHeight="1">
      <x:c r="A1662" s="9" t="str">
        <x:v>QA-ODI-032</x:v>
      </x:c>
      <x:c r="B1662" s="9" t="str">
        <x:v>ODI</x:v>
      </x:c>
      <x:c r="C1662" s="9" t="str">
        <x:v>Referencia sin serie ocho dígitos</x:v>
      </x:c>
      <x:c r="D1662" s="9" t="str">
        <x:v>P0</x:v>
      </x:c>
      <x:c r="E1662" s="9" t="str">
        <x:v>Negativa/control</x:v>
      </x:c>
      <x:c r="F1662" s="9" t="str">
        <x:v>Navegador + HTTP + persistencia; Real DEMO y doble identificados por separado</x:v>
      </x:c>
      <x:c r="G1662" s="23" t="str">
        <x:v>Pendiente</x:v>
      </x:c>
      <x:c r="H1662" s="23"/>
      <x:c r="I1662" s="23"/>
      <x:c r="J1662" s="23"/>
      <x:c r="K1662" s="23"/>
      <x:c r="L1662" s="24"/>
      <x:c r="M1662" s="23"/>
      <x:c r="N1662" s="23"/>
    </x:row>
    <x:row r="1663" ht="70" customHeight="1">
      <x:c r="A1663" s="9" t="str">
        <x:v>QA-ODI-033</x:v>
      </x:c>
      <x:c r="B1663" s="9" t="str">
        <x:v>ODI</x:v>
      </x:c>
      <x:c r="C1663" s="9" t="str">
        <x:v>Relación otra factura bloqueada</x:v>
      </x:c>
      <x:c r="D1663" s="9" t="str">
        <x:v>P0</x:v>
      </x:c>
      <x:c r="E1663" s="9" t="str">
        <x:v>Negativa/control</x:v>
      </x:c>
      <x:c r="F1663" s="9" t="str">
        <x:v>Navegador + HTTP + persistencia; Real DEMO y doble identificados por separado</x:v>
      </x:c>
      <x:c r="G1663" s="23" t="str">
        <x:v>Pendiente</x:v>
      </x:c>
      <x:c r="H1663" s="23"/>
      <x:c r="I1663" s="23"/>
      <x:c r="J1663" s="23"/>
      <x:c r="K1663" s="23"/>
      <x:c r="L1663" s="24"/>
      <x:c r="M1663" s="23"/>
      <x:c r="N1663" s="23"/>
    </x:row>
    <x:row r="1664" ht="70" customHeight="1">
      <x:c r="A1664" s="9" t="str">
        <x:v>QA-ODI-034</x:v>
      </x:c>
      <x:c r="B1664" s="9" t="str">
        <x:v>ODI</x:v>
      </x:c>
      <x:c r="C1664" s="9" t="str">
        <x:v>facturaGuia snapshot</x:v>
      </x:c>
      <x:c r="D1664" s="9" t="str">
        <x:v>P0</x:v>
      </x:c>
      <x:c r="E1664" s="9" t="str">
        <x:v>Positiva/regresión</x:v>
      </x:c>
      <x:c r="F1664" s="9" t="str">
        <x:v>Navegador + HTTP + persistencia; Real DEMO y doble identificados por separado</x:v>
      </x:c>
      <x:c r="G1664" s="23" t="str">
        <x:v>Pendiente</x:v>
      </x:c>
      <x:c r="H1664" s="23"/>
      <x:c r="I1664" s="23"/>
      <x:c r="J1664" s="23"/>
      <x:c r="K1664" s="23"/>
      <x:c r="L1664" s="24"/>
      <x:c r="M1664" s="23"/>
      <x:c r="N1664" s="23"/>
    </x:row>
    <x:row r="1665" ht="70" customHeight="1">
      <x:c r="A1665" s="9" t="str">
        <x:v>QA-ODI-035</x:v>
      </x:c>
      <x:c r="B1665" s="9" t="str">
        <x:v>ODI</x:v>
      </x:c>
      <x:c r="C1665" s="9" t="str">
        <x:v>Relación existente adopta sin POST</x:v>
      </x:c>
      <x:c r="D1665" s="9" t="str">
        <x:v>P0</x:v>
      </x:c>
      <x:c r="E1665" s="9" t="str">
        <x:v>Negativa/control</x:v>
      </x:c>
      <x:c r="F1665" s="9" t="str">
        <x:v>Navegador + HTTP + persistencia; Real DEMO y doble identificados por separado</x:v>
      </x:c>
      <x:c r="G1665" s="23" t="str">
        <x:v>Pendiente</x:v>
      </x:c>
      <x:c r="H1665" s="23"/>
      <x:c r="I1665" s="23"/>
      <x:c r="J1665" s="23"/>
      <x:c r="K1665" s="23"/>
      <x:c r="L1665" s="24"/>
      <x:c r="M1665" s="23"/>
      <x:c r="N1665" s="23"/>
    </x:row>
    <x:row r="1666" ht="70" customHeight="1">
      <x:c r="A1666" s="9" t="str">
        <x:v>QA-ODI-036</x:v>
      </x:c>
      <x:c r="B1666" s="9" t="str">
        <x:v>ODI</x:v>
      </x:c>
      <x:c r="C1666" s="9" t="str">
        <x:v>Ausencia 404 contractual permite POST</x:v>
      </x:c>
      <x:c r="D1666" s="9" t="str">
        <x:v>P0</x:v>
      </x:c>
      <x:c r="E1666" s="9" t="str">
        <x:v>Positiva/regresión</x:v>
      </x:c>
      <x:c r="F1666" s="9" t="str">
        <x:v>Navegador + HTTP + persistencia; Real DEMO y doble identificados por separado</x:v>
      </x:c>
      <x:c r="G1666" s="23" t="str">
        <x:v>Pendiente</x:v>
      </x:c>
      <x:c r="H1666" s="23"/>
      <x:c r="I1666" s="23"/>
      <x:c r="J1666" s="23"/>
      <x:c r="K1666" s="23"/>
      <x:c r="L1666" s="24"/>
      <x:c r="M1666" s="23"/>
      <x:c r="N1666" s="23"/>
    </x:row>
    <x:row r="1667" ht="70" customHeight="1">
      <x:c r="A1667" s="9" t="str">
        <x:v>QA-ODI-037</x:v>
      </x:c>
      <x:c r="B1667" s="9" t="str">
        <x:v>ODI</x:v>
      </x:c>
      <x:c r="C1667" s="9" t="str">
        <x:v>Lista 200 válida sin destino permite POST</x:v>
      </x:c>
      <x:c r="D1667" s="9" t="str">
        <x:v>P0</x:v>
      </x:c>
      <x:c r="E1667" s="9" t="str">
        <x:v>Negativa/control</x:v>
      </x:c>
      <x:c r="F1667" s="9" t="str">
        <x:v>Navegador + HTTP + persistencia; Real DEMO y doble identificados por separado</x:v>
      </x:c>
      <x:c r="G1667" s="23" t="str">
        <x:v>Pendiente</x:v>
      </x:c>
      <x:c r="H1667" s="23"/>
      <x:c r="I1667" s="23"/>
      <x:c r="J1667" s="23"/>
      <x:c r="K1667" s="23"/>
      <x:c r="L1667" s="24"/>
      <x:c r="M1667" s="23"/>
      <x:c r="N1667" s="23"/>
    </x:row>
    <x:row r="1668" ht="70" customHeight="1">
      <x:c r="A1668" s="9" t="str">
        <x:v>QA-ODI-038</x:v>
      </x:c>
      <x:c r="B1668" s="9" t="str">
        <x:v>ODI</x:v>
      </x:c>
      <x:c r="C1668" s="9" t="str">
        <x:v>404 no contractual no autoriza POST</x:v>
      </x:c>
      <x:c r="D1668" s="9" t="str">
        <x:v>P0</x:v>
      </x:c>
      <x:c r="E1668" s="9" t="str">
        <x:v>Positiva/regresión</x:v>
      </x:c>
      <x:c r="F1668" s="9" t="str">
        <x:v>Navegador + HTTP + persistencia; Real DEMO y doble identificados por separado</x:v>
      </x:c>
      <x:c r="G1668" s="23" t="str">
        <x:v>Pendiente</x:v>
      </x:c>
      <x:c r="H1668" s="23"/>
      <x:c r="I1668" s="23"/>
      <x:c r="J1668" s="23"/>
      <x:c r="K1668" s="23"/>
      <x:c r="L1668" s="24"/>
      <x:c r="M1668" s="23"/>
      <x:c r="N1668" s="23"/>
    </x:row>
    <x:row r="1669" ht="70" customHeight="1">
      <x:c r="A1669" s="9" t="str">
        <x:v>QA-ODI-039</x:v>
      </x:c>
      <x:c r="B1669" s="9" t="str">
        <x:v>ODI</x:v>
      </x:c>
      <x:c r="C1669" s="9" t="str">
        <x:v>Timeout consulta no muta</x:v>
      </x:c>
      <x:c r="D1669" s="9" t="str">
        <x:v>P0</x:v>
      </x:c>
      <x:c r="E1669" s="9" t="str">
        <x:v>Negativa/control</x:v>
      </x:c>
      <x:c r="F1669" s="9" t="str">
        <x:v>Navegador + HTTP + persistencia; Real DEMO y doble identificados por separado</x:v>
      </x:c>
      <x:c r="G1669" s="23" t="str">
        <x:v>Pendiente</x:v>
      </x:c>
      <x:c r="H1669" s="23"/>
      <x:c r="I1669" s="23"/>
      <x:c r="J1669" s="23"/>
      <x:c r="K1669" s="23"/>
      <x:c r="L1669" s="24"/>
      <x:c r="M1669" s="23"/>
      <x:c r="N1669" s="23"/>
    </x:row>
    <x:row r="1670" ht="70" customHeight="1">
      <x:c r="A1670" s="9" t="str">
        <x:v>QA-ODI-040</x:v>
      </x:c>
      <x:c r="B1670" s="9" t="str">
        <x:v>ODI</x:v>
      </x:c>
      <x:c r="C1670" s="9" t="str">
        <x:v>POST200 sin verificación no confirma</x:v>
      </x:c>
      <x:c r="D1670" s="9" t="str">
        <x:v>P0</x:v>
      </x:c>
      <x:c r="E1670" s="9" t="str">
        <x:v>Negativa/control</x:v>
      </x:c>
      <x:c r="F1670" s="9" t="str">
        <x:v>Navegador + HTTP + persistencia; Real DEMO y doble identificados por separado</x:v>
      </x:c>
      <x:c r="G1670" s="23" t="str">
        <x:v>Pendiente</x:v>
      </x:c>
      <x:c r="H1670" s="23"/>
      <x:c r="I1670" s="23"/>
      <x:c r="J1670" s="23"/>
      <x:c r="K1670" s="23"/>
      <x:c r="L1670" s="24"/>
      <x:c r="M1670" s="23"/>
      <x:c r="N1670" s="23"/>
    </x:row>
    <x:row r="1671" ht="70" customHeight="1">
      <x:c r="A1671" s="9" t="str">
        <x:v>QA-ODI-041</x:v>
      </x:c>
      <x:c r="B1671" s="9" t="str">
        <x:v>ODI</x:v>
      </x:c>
      <x:c r="C1671" s="9" t="str">
        <x:v>Bidireccionalidad real</x:v>
      </x:c>
      <x:c r="D1671" s="9" t="str">
        <x:v>P0</x:v>
      </x:c>
      <x:c r="E1671" s="9" t="str">
        <x:v>Positiva/regresión</x:v>
      </x:c>
      <x:c r="F1671" s="9" t="str">
        <x:v>Navegador + HTTP + persistencia; Real DEMO y doble identificados por separado</x:v>
      </x:c>
      <x:c r="G1671" s="23" t="str">
        <x:v>Pendiente</x:v>
      </x:c>
      <x:c r="H1671" s="23"/>
      <x:c r="I1671" s="23"/>
      <x:c r="J1671" s="23"/>
      <x:c r="K1671" s="23"/>
      <x:c r="L1671" s="24"/>
      <x:c r="M1671" s="23"/>
      <x:c r="N1671" s="23"/>
    </x:row>
    <x:row r="1672" ht="70" customHeight="1">
      <x:c r="A1672" s="9" t="str">
        <x:v>QA-ODI-042</x:v>
      </x:c>
      <x:c r="B1672" s="9" t="str">
        <x:v>ODI</x:v>
      </x:c>
      <x:c r="C1672" s="9" t="str">
        <x:v>Relación pending protege 40 s</x:v>
      </x:c>
      <x:c r="D1672" s="9" t="str">
        <x:v>P0</x:v>
      </x:c>
      <x:c r="E1672" s="9" t="str">
        <x:v>Positiva/regresión</x:v>
      </x:c>
      <x:c r="F1672" s="9" t="str">
        <x:v>Navegador + HTTP + persistencia; Real DEMO y doble identificados por separado</x:v>
      </x:c>
      <x:c r="G1672" s="23" t="str">
        <x:v>Pendiente</x:v>
      </x:c>
      <x:c r="H1672" s="23"/>
      <x:c r="I1672" s="23"/>
      <x:c r="J1672" s="23"/>
      <x:c r="K1672" s="23"/>
      <x:c r="L1672" s="24"/>
      <x:c r="M1672" s="23"/>
      <x:c r="N1672" s="23"/>
    </x:row>
    <x:row r="1673" ht="70" customHeight="1">
      <x:c r="A1673" s="9" t="str">
        <x:v>QA-ODI-043</x:v>
      </x:c>
      <x:c r="B1673" s="9" t="str">
        <x:v>ODI</x:v>
      </x:c>
      <x:c r="C1673" s="9" t="str">
        <x:v>Relación concurrente única</x:v>
      </x:c>
      <x:c r="D1673" s="9" t="str">
        <x:v>P0</x:v>
      </x:c>
      <x:c r="E1673" s="9" t="str">
        <x:v>Positiva/regresión</x:v>
      </x:c>
      <x:c r="F1673" s="9" t="str">
        <x:v>Navegador + HTTP + persistencia; Real DEMO y doble identificados por separado</x:v>
      </x:c>
      <x:c r="G1673" s="23" t="str">
        <x:v>Pendiente</x:v>
      </x:c>
      <x:c r="H1673" s="23"/>
      <x:c r="I1673" s="23"/>
      <x:c r="J1673" s="23"/>
      <x:c r="K1673" s="23"/>
      <x:c r="L1673" s="24"/>
      <x:c r="M1673" s="23"/>
      <x:c r="N1673" s="23"/>
    </x:row>
    <x:row r="1674" ht="70" customHeight="1">
      <x:c r="A1674" s="9" t="str">
        <x:v>QA-ODI-044</x:v>
      </x:c>
      <x:c r="B1674" s="9" t="str">
        <x:v>ODI</x:v>
      </x:c>
      <x:c r="C1674" s="9" t="str">
        <x:v>Cambio contexto bloquea relación tardía</x:v>
      </x:c>
      <x:c r="D1674" s="9" t="str">
        <x:v>P0</x:v>
      </x:c>
      <x:c r="E1674" s="9" t="str">
        <x:v>Negativa/control</x:v>
      </x:c>
      <x:c r="F1674" s="9" t="str">
        <x:v>Navegador + HTTP + persistencia; Real DEMO y doble identificados por separado</x:v>
      </x:c>
      <x:c r="G1674" s="23" t="str">
        <x:v>Pendiente</x:v>
      </x:c>
      <x:c r="H1674" s="23"/>
      <x:c r="I1674" s="23"/>
      <x:c r="J1674" s="23"/>
      <x:c r="K1674" s="23"/>
      <x:c r="L1674" s="24"/>
      <x:c r="M1674" s="23"/>
      <x:c r="N1674" s="23"/>
    </x:row>
    <x:row r="1675" ht="70" customHeight="1">
      <x:c r="A1675" s="9" t="str">
        <x:v>QA-ODI-045</x:v>
      </x:c>
      <x:c r="B1675" s="9" t="str">
        <x:v>ODI</x:v>
      </x:c>
      <x:c r="C1675" s="9" t="str">
        <x:v>HTTP relación fuera de transacción</x:v>
      </x:c>
      <x:c r="D1675" s="9" t="str">
        <x:v>P0</x:v>
      </x:c>
      <x:c r="E1675" s="9" t="str">
        <x:v>Positiva/regresión</x:v>
      </x:c>
      <x:c r="F1675" s="9" t="str">
        <x:v>Navegador + HTTP + persistencia; Real DEMO y doble identificados por separado</x:v>
      </x:c>
      <x:c r="G1675" s="23" t="str">
        <x:v>Pendiente</x:v>
      </x:c>
      <x:c r="H1675" s="23"/>
      <x:c r="I1675" s="23"/>
      <x:c r="J1675" s="23"/>
      <x:c r="K1675" s="23"/>
      <x:c r="L1675" s="24"/>
      <x:c r="M1675" s="23"/>
      <x:c r="N1675" s="23"/>
    </x:row>
    <x:row r="1676" ht="70" customHeight="1">
      <x:c r="A1676" s="9" t="str">
        <x:v>QA-NRI-001</x:v>
      </x:c>
      <x:c r="B1676" s="9" t="str">
        <x:v>NRI</x:v>
      </x:c>
      <x:c r="C1676" s="9" t="str">
        <x:v>Saldo factura modelo y SQL</x:v>
      </x:c>
      <x:c r="D1676" s="9" t="str">
        <x:v>P0</x:v>
      </x:c>
      <x:c r="E1676" s="9" t="str">
        <x:v>Positiva/regresión</x:v>
      </x:c>
      <x:c r="F1676" s="9" t="str">
        <x:v>Navegador + HTTP + persistencia; Real DEMO y doble identificados por separado</x:v>
      </x:c>
      <x:c r="G1676" s="23" t="str">
        <x:v>Pendiente</x:v>
      </x:c>
      <x:c r="H1676" s="23"/>
      <x:c r="I1676" s="23"/>
      <x:c r="J1676" s="23"/>
      <x:c r="K1676" s="23"/>
      <x:c r="L1676" s="24"/>
      <x:c r="M1676" s="23"/>
      <x:c r="N1676" s="23"/>
    </x:row>
    <x:row r="1677" ht="70" customHeight="1">
      <x:c r="A1677" s="9" t="str">
        <x:v>QA-NRI-002</x:v>
      </x:c>
      <x:c r="B1677" s="9" t="str">
        <x:v>NRI</x:v>
      </x:c>
      <x:c r="C1677" s="9" t="str">
        <x:v>ND no duplica deuda factura</x:v>
      </x:c>
      <x:c r="D1677" s="9" t="str">
        <x:v>P0</x:v>
      </x:c>
      <x:c r="E1677" s="9" t="str">
        <x:v>Positiva/regresión</x:v>
      </x:c>
      <x:c r="F1677" s="9" t="str">
        <x:v>Navegador + HTTP + persistencia; Real DEMO y doble identificados por separado</x:v>
      </x:c>
      <x:c r="G1677" s="23" t="str">
        <x:v>Pendiente</x:v>
      </x:c>
      <x:c r="H1677" s="23"/>
      <x:c r="I1677" s="23"/>
      <x:c r="J1677" s="23"/>
      <x:c r="K1677" s="23"/>
      <x:c r="L1677" s="24"/>
      <x:c r="M1677" s="23"/>
      <x:c r="N1677" s="23"/>
    </x:row>
    <x:row r="1678" ht="70" customHeight="1">
      <x:c r="A1678" s="9" t="str">
        <x:v>QA-NRI-003</x:v>
      </x:c>
      <x:c r="B1678" s="9" t="str">
        <x:v>NRI</x:v>
      </x:c>
      <x:c r="C1678" s="9" t="str">
        <x:v>NC saldo cobrable cero</x:v>
      </x:c>
      <x:c r="D1678" s="9" t="str">
        <x:v>P0</x:v>
      </x:c>
      <x:c r="E1678" s="9" t="str">
        <x:v>Positiva/regresión</x:v>
      </x:c>
      <x:c r="F1678" s="9" t="str">
        <x:v>Navegador + HTTP + persistencia; Real DEMO y doble identificados por separado</x:v>
      </x:c>
      <x:c r="G1678" s="23" t="str">
        <x:v>Pendiente</x:v>
      </x:c>
      <x:c r="H1678" s="23"/>
      <x:c r="I1678" s="23"/>
      <x:c r="J1678" s="23"/>
      <x:c r="K1678" s="23"/>
      <x:c r="L1678" s="24"/>
      <x:c r="M1678" s="23"/>
      <x:c r="N1678" s="23"/>
    </x:row>
    <x:row r="1679" ht="70" customHeight="1">
      <x:c r="A1679" s="9" t="str">
        <x:v>QA-NRI-004</x:v>
      </x:c>
      <x:c r="B1679" s="9" t="str">
        <x:v>NRI</x:v>
      </x:c>
      <x:c r="C1679" s="9" t="str">
        <x:v>Retenciones previsión no reducen deuda</x:v>
      </x:c>
      <x:c r="D1679" s="9" t="str">
        <x:v>P0</x:v>
      </x:c>
      <x:c r="E1679" s="9" t="str">
        <x:v>Positiva/regresión</x:v>
      </x:c>
      <x:c r="F1679" s="9" t="str">
        <x:v>Navegador + HTTP + persistencia; Real DEMO y doble identificados por separado</x:v>
      </x:c>
      <x:c r="G1679" s="23" t="str">
        <x:v>Pendiente</x:v>
      </x:c>
      <x:c r="H1679" s="23"/>
      <x:c r="I1679" s="23"/>
      <x:c r="J1679" s="23"/>
      <x:c r="K1679" s="23"/>
      <x:c r="L1679" s="24"/>
      <x:c r="M1679" s="23"/>
      <x:c r="N1679" s="23"/>
    </x:row>
    <x:row r="1680" ht="70" customHeight="1">
      <x:c r="A1680" s="9" t="str">
        <x:v>QA-NRI-005</x:v>
      </x:c>
      <x:c r="B1680" s="9" t="str">
        <x:v>NRI</x:v>
      </x:c>
      <x:c r="C1680" s="9" t="str">
        <x:v>IVA neto DEMO sigue bloqueado</x:v>
      </x:c>
      <x:c r="D1680" s="9" t="str">
        <x:v>P0</x:v>
      </x:c>
      <x:c r="E1680" s="9" t="str">
        <x:v>Negativa/control</x:v>
      </x:c>
      <x:c r="F1680" s="9" t="str">
        <x:v>Navegador + HTTP + persistencia; Real DEMO y doble identificados por separado</x:v>
      </x:c>
      <x:c r="G1680" s="23" t="str">
        <x:v>Pendiente</x:v>
      </x:c>
      <x:c r="H1680" s="23"/>
      <x:c r="I1680" s="23"/>
      <x:c r="J1680" s="23"/>
      <x:c r="K1680" s="23"/>
      <x:c r="L1680" s="24"/>
      <x:c r="M1680" s="23"/>
      <x:c r="N1680" s="23"/>
    </x:row>
    <x:row r="1681" ht="70" customHeight="1">
      <x:c r="A1681" s="9" t="str">
        <x:v>QA-NRI-006</x:v>
      </x:c>
      <x:c r="B1681" s="9" t="str">
        <x:v>NRI</x:v>
      </x:c>
      <x:c r="C1681" s="9" t="str">
        <x:v>ISLR neto DEMO sigue bloqueado</x:v>
      </x:c>
      <x:c r="D1681" s="9" t="str">
        <x:v>P0</x:v>
      </x:c>
      <x:c r="E1681" s="9" t="str">
        <x:v>Negativa/control</x:v>
      </x:c>
      <x:c r="F1681" s="9" t="str">
        <x:v>Navegador + HTTP + persistencia; Real DEMO y doble identificados por separado</x:v>
      </x:c>
      <x:c r="G1681" s="23" t="str">
        <x:v>Pendiente</x:v>
      </x:c>
      <x:c r="H1681" s="23"/>
      <x:c r="I1681" s="23"/>
      <x:c r="J1681" s="23"/>
      <x:c r="K1681" s="23"/>
      <x:c r="L1681" s="24"/>
      <x:c r="M1681" s="23"/>
      <x:c r="N1681" s="23"/>
    </x:row>
    <x:row r="1682" ht="70" customHeight="1">
      <x:c r="A1682" s="9" t="str">
        <x:v>QA-NRI-007</x:v>
      </x:c>
      <x:c r="B1682" s="9" t="str">
        <x:v>NRI</x:v>
      </x:c>
      <x:c r="C1682" s="9" t="str">
        <x:v>Coexistencia IVA ISLR sigue bloqueada</x:v>
      </x:c>
      <x:c r="D1682" s="9" t="str">
        <x:v>P0</x:v>
      </x:c>
      <x:c r="E1682" s="9" t="str">
        <x:v>Negativa/control</x:v>
      </x:c>
      <x:c r="F1682" s="9" t="str">
        <x:v>Navegador + HTTP + persistencia; Real DEMO y doble identificados por separado</x:v>
      </x:c>
      <x:c r="G1682" s="23" t="str">
        <x:v>Pendiente</x:v>
      </x:c>
      <x:c r="H1682" s="23"/>
      <x:c r="I1682" s="23"/>
      <x:c r="J1682" s="23"/>
      <x:c r="K1682" s="23"/>
      <x:c r="L1682" s="24"/>
      <x:c r="M1682" s="23"/>
      <x:c r="N1682" s="23"/>
    </x:row>
    <x:row r="1683" ht="70" customHeight="1">
      <x:c r="A1683" s="9" t="str">
        <x:v>QA-NRI-008</x:v>
      </x:c>
      <x:c r="B1683" s="9" t="str">
        <x:v>NRI</x:v>
      </x:c>
      <x:c r="C1683" s="9" t="str">
        <x:v>Cajas reflejan sólo devoluciones reales</x:v>
      </x:c>
      <x:c r="D1683" s="9" t="str">
        <x:v>P0</x:v>
      </x:c>
      <x:c r="E1683" s="9" t="str">
        <x:v>Positiva/regresión</x:v>
      </x:c>
      <x:c r="F1683" s="9" t="str">
        <x:v>Navegador + HTTP + persistencia; Real DEMO y doble identificados por separado</x:v>
      </x:c>
      <x:c r="G1683" s="23" t="str">
        <x:v>Pendiente</x:v>
      </x:c>
      <x:c r="H1683" s="23"/>
      <x:c r="I1683" s="23"/>
      <x:c r="J1683" s="23"/>
      <x:c r="K1683" s="23"/>
      <x:c r="L1683" s="24"/>
      <x:c r="M1683" s="23"/>
      <x:c r="N1683" s="23"/>
    </x:row>
    <x:row r="1684" ht="70" customHeight="1">
      <x:c r="A1684" s="9" t="str">
        <x:v>QA-NRI-009</x:v>
      </x:c>
      <x:c r="B1684" s="9" t="str">
        <x:v>NRI</x:v>
      </x:c>
      <x:c r="C1684" s="9" t="str">
        <x:v>Bancos por moneda</x:v>
      </x:c>
      <x:c r="D1684" s="9" t="str">
        <x:v>P0</x:v>
      </x:c>
      <x:c r="E1684" s="9" t="str">
        <x:v>Positiva/regresión</x:v>
      </x:c>
      <x:c r="F1684" s="9" t="str">
        <x:v>Navegador + HTTP + persistencia; Real DEMO y doble identificados por separado</x:v>
      </x:c>
      <x:c r="G1684" s="23" t="str">
        <x:v>Pendiente</x:v>
      </x:c>
      <x:c r="H1684" s="23"/>
      <x:c r="I1684" s="23"/>
      <x:c r="J1684" s="23"/>
      <x:c r="K1684" s="23"/>
      <x:c r="L1684" s="24"/>
      <x:c r="M1684" s="23"/>
      <x:c r="N1684" s="23"/>
    </x:row>
    <x:row r="1685" ht="70" customHeight="1">
      <x:c r="A1685" s="9" t="str">
        <x:v>QA-NRI-010</x:v>
      </x:c>
      <x:c r="B1685" s="9" t="str">
        <x:v>NRI</x:v>
      </x:c>
      <x:c r="C1685" s="9" t="str">
        <x:v>Morosidad usa deuda ND propia</x:v>
      </x:c>
      <x:c r="D1685" s="9" t="str">
        <x:v>P0</x:v>
      </x:c>
      <x:c r="E1685" s="9" t="str">
        <x:v>Positiva/regresión</x:v>
      </x:c>
      <x:c r="F1685" s="9" t="str">
        <x:v>Navegador + HTTP + persistencia; Real DEMO y doble identificados por separado</x:v>
      </x:c>
      <x:c r="G1685" s="23" t="str">
        <x:v>Pendiente</x:v>
      </x:c>
      <x:c r="H1685" s="23"/>
      <x:c r="I1685" s="23"/>
      <x:c r="J1685" s="23"/>
      <x:c r="K1685" s="23"/>
      <x:c r="L1685" s="24"/>
      <x:c r="M1685" s="23"/>
      <x:c r="N1685" s="23"/>
    </x:row>
    <x:row r="1686" ht="70" customHeight="1">
      <x:c r="A1686" s="9" t="str">
        <x:v>QA-NRI-011</x:v>
      </x:c>
      <x:c r="B1686" s="9" t="str">
        <x:v>NRI</x:v>
      </x:c>
      <x:c r="C1686" s="9" t="str">
        <x:v>Fondos no egresan por NC</x:v>
      </x:c>
      <x:c r="D1686" s="9" t="str">
        <x:v>P0</x:v>
      </x:c>
      <x:c r="E1686" s="9" t="str">
        <x:v>Positiva/regresión</x:v>
      </x:c>
      <x:c r="F1686" s="9" t="str">
        <x:v>Navegador + HTTP + persistencia; Real DEMO y doble identificados por separado</x:v>
      </x:c>
      <x:c r="G1686" s="23" t="str">
        <x:v>Pendiente</x:v>
      </x:c>
      <x:c r="H1686" s="23"/>
      <x:c r="I1686" s="23"/>
      <x:c r="J1686" s="23"/>
      <x:c r="K1686" s="23"/>
      <x:c r="L1686" s="24"/>
      <x:c r="M1686" s="23"/>
      <x:c r="N1686" s="23"/>
    </x:row>
    <x:row r="1687" ht="70" customHeight="1">
      <x:c r="A1687" s="9" t="str">
        <x:v>QA-NRI-012</x:v>
      </x:c>
      <x:c r="B1687" s="9" t="str">
        <x:v>NRI</x:v>
      </x:c>
      <x:c r="C1687" s="9" t="str">
        <x:v>IGTF abono ND recibo derivado no duplica</x:v>
      </x:c>
      <x:c r="D1687" s="9" t="str">
        <x:v>P0</x:v>
      </x:c>
      <x:c r="E1687" s="9" t="str">
        <x:v>Positiva/regresión</x:v>
      </x:c>
      <x:c r="F1687" s="9" t="str">
        <x:v>Navegador + HTTP + persistencia; Real DEMO y doble identificados por separado</x:v>
      </x:c>
      <x:c r="G1687" s="23" t="str">
        <x:v>Pendiente</x:v>
      </x:c>
      <x:c r="H1687" s="23"/>
      <x:c r="I1687" s="23"/>
      <x:c r="J1687" s="23"/>
      <x:c r="K1687" s="23"/>
      <x:c r="L1687" s="24"/>
      <x:c r="M1687" s="23"/>
      <x:c r="N1687" s="23"/>
    </x:row>
    <x:row r="1688" ht="70" customHeight="1">
      <x:c r="A1688" s="9" t="str">
        <x:v>QA-NRI-013</x:v>
      </x:c>
      <x:c r="B1688" s="9" t="str">
        <x:v>NRI</x:v>
      </x:c>
      <x:c r="C1688" s="9" t="str">
        <x:v>Factura con notas bloquea edición</x:v>
      </x:c>
      <x:c r="D1688" s="9" t="str">
        <x:v>P0</x:v>
      </x:c>
      <x:c r="E1688" s="9" t="str">
        <x:v>Negativa/control</x:v>
      </x:c>
      <x:c r="F1688" s="9" t="str">
        <x:v>Navegador + HTTP + persistencia; Real DEMO y doble identificados por separado</x:v>
      </x:c>
      <x:c r="G1688" s="23" t="str">
        <x:v>Pendiente</x:v>
      </x:c>
      <x:c r="H1688" s="23"/>
      <x:c r="I1688" s="23"/>
      <x:c r="J1688" s="23"/>
      <x:c r="K1688" s="23"/>
      <x:c r="L1688" s="24"/>
      <x:c r="M1688" s="23"/>
      <x:c r="N1688" s="23"/>
    </x:row>
    <x:row r="1689" ht="70" customHeight="1">
      <x:c r="A1689" s="9" t="str">
        <x:v>QA-NRI-014</x:v>
      </x:c>
      <x:c r="B1689" s="9" t="str">
        <x:v>NRI</x:v>
      </x:c>
      <x:c r="C1689" s="9" t="str">
        <x:v>Nota guardada no se edita directamente</x:v>
      </x:c>
      <x:c r="D1689" s="9" t="str">
        <x:v>P0</x:v>
      </x:c>
      <x:c r="E1689" s="9" t="str">
        <x:v>Positiva/regresión</x:v>
      </x:c>
      <x:c r="F1689" s="9" t="str">
        <x:v>Navegador + HTTP + persistencia; Real DEMO y doble identificados por separado</x:v>
      </x:c>
      <x:c r="G1689" s="23" t="str">
        <x:v>Pendiente</x:v>
      </x:c>
      <x:c r="H1689" s="23"/>
      <x:c r="I1689" s="23"/>
      <x:c r="J1689" s="23"/>
      <x:c r="K1689" s="23"/>
      <x:c r="L1689" s="24"/>
      <x:c r="M1689" s="23"/>
      <x:c r="N1689" s="23"/>
    </x:row>
    <x:row r="1690" ht="70" customHeight="1">
      <x:c r="A1690" s="9" t="str">
        <x:v>QA-NRI-015</x:v>
      </x:c>
      <x:c r="B1690" s="9" t="str">
        <x:v>NRI</x:v>
      </x:c>
      <x:c r="C1690" s="9" t="str">
        <x:v>Pagos conservados al reabrir ND</x:v>
      </x:c>
      <x:c r="D1690" s="9" t="str">
        <x:v>P0</x:v>
      </x:c>
      <x:c r="E1690" s="9" t="str">
        <x:v>Positiva/regresión</x:v>
      </x:c>
      <x:c r="F1690" s="9" t="str">
        <x:v>Navegador + HTTP + persistencia; Real DEMO y doble identificados por separado</x:v>
      </x:c>
      <x:c r="G1690" s="23" t="str">
        <x:v>Pendiente</x:v>
      </x:c>
      <x:c r="H1690" s="23"/>
      <x:c r="I1690" s="23"/>
      <x:c r="J1690" s="23"/>
      <x:c r="K1690" s="23"/>
      <x:c r="L1690" s="24"/>
      <x:c r="M1690" s="23"/>
      <x:c r="N1690" s="23"/>
    </x:row>
    <x:row r="1691" ht="70" customHeight="1">
      <x:c r="A1691" s="9" t="str">
        <x:v>QA-NRI-016</x:v>
      </x:c>
      <x:c r="B1691" s="9" t="str">
        <x:v>NRI</x:v>
      </x:c>
      <x:c r="C1691" s="9" t="str">
        <x:v>Borrador ND mantiene abonos</x:v>
      </x:c>
      <x:c r="D1691" s="9" t="str">
        <x:v>P0</x:v>
      </x:c>
      <x:c r="E1691" s="9" t="str">
        <x:v>Positiva/regresión</x:v>
      </x:c>
      <x:c r="F1691" s="9" t="str">
        <x:v>Navegador + HTTP + persistencia; Real DEMO y doble identificados por separado</x:v>
      </x:c>
      <x:c r="G1691" s="23" t="str">
        <x:v>Pendiente</x:v>
      </x:c>
      <x:c r="H1691" s="23"/>
      <x:c r="I1691" s="23"/>
      <x:c r="J1691" s="23"/>
      <x:c r="K1691" s="23"/>
      <x:c r="L1691" s="24"/>
      <x:c r="M1691" s="23"/>
      <x:c r="N1691" s="23"/>
    </x:row>
    <x:row r="1692" ht="70" customHeight="1">
      <x:c r="A1692" s="9" t="str">
        <x:v>QA-NRI-017</x:v>
      </x:c>
      <x:c r="B1692" s="9" t="str">
        <x:v>NRI</x:v>
      </x:c>
      <x:c r="C1692" s="9" t="str">
        <x:v>Respuesta nota obsoleta</x:v>
      </x:c>
      <x:c r="D1692" s="9" t="str">
        <x:v>P0</x:v>
      </x:c>
      <x:c r="E1692" s="9" t="str">
        <x:v>Negativa/control</x:v>
      </x:c>
      <x:c r="F1692" s="9" t="str">
        <x:v>Navegador + HTTP + persistencia; Real DEMO y doble identificados por separado</x:v>
      </x:c>
      <x:c r="G1692" s="23" t="str">
        <x:v>Pendiente</x:v>
      </x:c>
      <x:c r="H1692" s="23"/>
      <x:c r="I1692" s="23"/>
      <x:c r="J1692" s="23"/>
      <x:c r="K1692" s="23"/>
      <x:c r="L1692" s="24"/>
      <x:c r="M1692" s="23"/>
      <x:c r="N1692" s="23"/>
    </x:row>
    <x:row r="1693" ht="70" customHeight="1">
      <x:c r="A1693" s="9" t="str">
        <x:v>QA-NRI-018</x:v>
      </x:c>
      <x:c r="B1693" s="9" t="str">
        <x:v>NRI</x:v>
      </x:c>
      <x:c r="C1693" s="9" t="str">
        <x:v>Respuesta orden obsoleta</x:v>
      </x:c>
      <x:c r="D1693" s="9" t="str">
        <x:v>P0</x:v>
      </x:c>
      <x:c r="E1693" s="9" t="str">
        <x:v>Negativa/control</x:v>
      </x:c>
      <x:c r="F1693" s="9" t="str">
        <x:v>Navegador + HTTP + persistencia; Real DEMO y doble identificados por separado</x:v>
      </x:c>
      <x:c r="G1693" s="23" t="str">
        <x:v>Pendiente</x:v>
      </x:c>
      <x:c r="H1693" s="23"/>
      <x:c r="I1693" s="23"/>
      <x:c r="J1693" s="23"/>
      <x:c r="K1693" s="23"/>
      <x:c r="L1693" s="24"/>
      <x:c r="M1693" s="23"/>
      <x:c r="N1693" s="23"/>
    </x:row>
    <x:row r="1694" ht="70" customHeight="1">
      <x:c r="A1694" s="9" t="str">
        <x:v>QA-NRI-019</x:v>
      </x:c>
      <x:c r="B1694" s="9" t="str">
        <x:v>NRI</x:v>
      </x:c>
      <x:c r="C1694" s="9" t="str">
        <x:v>Cambio modal durante devolución</x:v>
      </x:c>
      <x:c r="D1694" s="9" t="str">
        <x:v>P0</x:v>
      </x:c>
      <x:c r="E1694" s="9" t="str">
        <x:v>Positiva/regresión</x:v>
      </x:c>
      <x:c r="F1694" s="9" t="str">
        <x:v>Navegador + HTTP + persistencia; Real DEMO y doble identificados por separado</x:v>
      </x:c>
      <x:c r="G1694" s="23" t="str">
        <x:v>Pendiente</x:v>
      </x:c>
      <x:c r="H1694" s="23"/>
      <x:c r="I1694" s="23"/>
      <x:c r="J1694" s="23"/>
      <x:c r="K1694" s="23"/>
      <x:c r="L1694" s="24"/>
      <x:c r="M1694" s="23"/>
      <x:c r="N1694" s="23"/>
    </x:row>
    <x:row r="1695" ht="70" customHeight="1">
      <x:c r="A1695" s="9" t="str">
        <x:v>QA-NRI-020</x:v>
      </x:c>
      <x:c r="B1695" s="9" t="str">
        <x:v>NRI</x:v>
      </x:c>
      <x:c r="C1695" s="9" t="str">
        <x:v>Tenant ajeno notas y refunds</x:v>
      </x:c>
      <x:c r="D1695" s="9" t="str">
        <x:v>P0</x:v>
      </x:c>
      <x:c r="E1695" s="9" t="str">
        <x:v>Negativa/control</x:v>
      </x:c>
      <x:c r="F1695" s="9" t="str">
        <x:v>Navegador + HTTP + persistencia; Real DEMO y doble identificados por separado</x:v>
      </x:c>
      <x:c r="G1695" s="23" t="str">
        <x:v>Pendiente</x:v>
      </x:c>
      <x:c r="H1695" s="23"/>
      <x:c r="I1695" s="23"/>
      <x:c r="J1695" s="23"/>
      <x:c r="K1695" s="23"/>
      <x:c r="L1695" s="24"/>
      <x:c r="M1695" s="23"/>
      <x:c r="N1695" s="23"/>
    </x:row>
    <x:row r="1696" ht="70" customHeight="1">
      <x:c r="A1696" s="9" t="str">
        <x:v>QA-NRI-021</x:v>
      </x:c>
      <x:c r="B1696" s="9" t="str">
        <x:v>NRI</x:v>
      </x:c>
      <x:c r="C1696" s="9" t="str">
        <x:v>Tenant ajeno órdenes PDF</x:v>
      </x:c>
      <x:c r="D1696" s="9" t="str">
        <x:v>P0</x:v>
      </x:c>
      <x:c r="E1696" s="9" t="str">
        <x:v>Negativa/control</x:v>
      </x:c>
      <x:c r="F1696" s="9" t="str">
        <x:v>Navegador + HTTP + persistencia; Real DEMO y doble identificados por separado</x:v>
      </x:c>
      <x:c r="G1696" s="23" t="str">
        <x:v>Pendiente</x:v>
      </x:c>
      <x:c r="H1696" s="23"/>
      <x:c r="I1696" s="23"/>
      <x:c r="J1696" s="23"/>
      <x:c r="K1696" s="23"/>
      <x:c r="L1696" s="24"/>
      <x:c r="M1696" s="23"/>
      <x:c r="N1696" s="23"/>
    </x:row>
    <x:row r="1697" ht="70" customHeight="1">
      <x:c r="A1697" s="9" t="str">
        <x:v>QA-NRI-022</x:v>
      </x:c>
      <x:c r="B1697" s="9" t="str">
        <x:v>NRI</x:v>
      </x:c>
      <x:c r="C1697" s="9" t="str">
        <x:v>Sucursal ajena no admin</x:v>
      </x:c>
      <x:c r="D1697" s="9" t="str">
        <x:v>P0</x:v>
      </x:c>
      <x:c r="E1697" s="9" t="str">
        <x:v>Positiva/regresión</x:v>
      </x:c>
      <x:c r="F1697" s="9" t="str">
        <x:v>Navegador + HTTP + persistencia; Real DEMO y doble identificados por separado</x:v>
      </x:c>
      <x:c r="G1697" s="23" t="str">
        <x:v>Pendiente</x:v>
      </x:c>
      <x:c r="H1697" s="23"/>
      <x:c r="I1697" s="23"/>
      <x:c r="J1697" s="23"/>
      <x:c r="K1697" s="23"/>
      <x:c r="L1697" s="24"/>
      <x:c r="M1697" s="23"/>
      <x:c r="N1697" s="23"/>
    </x:row>
    <x:row r="1698" ht="70" customHeight="1">
      <x:c r="A1698" s="9" t="str">
        <x:v>QA-NRI-023</x:v>
      </x:c>
      <x:c r="B1698" s="9" t="str">
        <x:v>NRI</x:v>
      </x:c>
      <x:c r="C1698" s="9" t="str">
        <x:v>Credenciales no se exponen</x:v>
      </x:c>
      <x:c r="D1698" s="9" t="str">
        <x:v>P0</x:v>
      </x:c>
      <x:c r="E1698" s="9" t="str">
        <x:v>Positiva/regresión</x:v>
      </x:c>
      <x:c r="F1698" s="9" t="str">
        <x:v>Navegador + HTTP + persistencia; Real DEMO y doble identificados por separado</x:v>
      </x:c>
      <x:c r="G1698" s="23" t="str">
        <x:v>Pendiente</x:v>
      </x:c>
      <x:c r="H1698" s="23"/>
      <x:c r="I1698" s="23"/>
      <x:c r="J1698" s="23"/>
      <x:c r="K1698" s="23"/>
      <x:c r="L1698" s="24"/>
      <x:c r="M1698" s="23"/>
      <x:c r="N1698" s="23"/>
    </x:row>
    <x:row r="1699" ht="70" customHeight="1">
      <x:c r="A1699" s="9" t="str">
        <x:v>QA-NRI-024</x:v>
      </x:c>
      <x:c r="B1699" s="9" t="str">
        <x:v>NRI</x:v>
      </x:c>
      <x:c r="C1699" s="9" t="str">
        <x:v>Tenants sin esquema ampliado órdenes</x:v>
      </x:c>
      <x:c r="D1699" s="9" t="str">
        <x:v>P0</x:v>
      </x:c>
      <x:c r="E1699" s="9" t="str">
        <x:v>Negativa/control</x:v>
      </x:c>
      <x:c r="F1699" s="9" t="str">
        <x:v>Navegador + HTTP + persistencia; Real DEMO y doble identificados por separado</x:v>
      </x:c>
      <x:c r="G1699" s="23" t="str">
        <x:v>Pendiente</x:v>
      </x:c>
      <x:c r="H1699" s="23"/>
      <x:c r="I1699" s="23"/>
      <x:c r="J1699" s="23"/>
      <x:c r="K1699" s="23"/>
      <x:c r="L1699" s="24"/>
      <x:c r="M1699" s="23"/>
      <x:c r="N1699" s="23"/>
    </x:row>
    <x:row r="1700" ht="70" customHeight="1">
      <x:c r="A1700" s="9" t="str">
        <x:v>QA-NRI-025</x:v>
      </x:c>
      <x:c r="B1700" s="9" t="str">
        <x:v>NRI</x:v>
      </x:c>
      <x:c r="C1700" s="9" t="str">
        <x:v>Tenants sin tablas ajustes/refunds</x:v>
      </x:c>
      <x:c r="D1700" s="9" t="str">
        <x:v>P0</x:v>
      </x:c>
      <x:c r="E1700" s="9" t="str">
        <x:v>Negativa/control</x:v>
      </x:c>
      <x:c r="F1700" s="9" t="str">
        <x:v>Navegador + HTTP + persistencia; Real DEMO y doble identificados por separado</x:v>
      </x:c>
      <x:c r="G1700" s="23" t="str">
        <x:v>Pendiente</x:v>
      </x:c>
      <x:c r="H1700" s="23"/>
      <x:c r="I1700" s="23"/>
      <x:c r="J1700" s="23"/>
      <x:c r="K1700" s="23"/>
      <x:c r="L1700" s="24"/>
      <x:c r="M1700" s="23"/>
      <x:c r="N1700" s="23"/>
    </x:row>
    <x:row r="1701" ht="70" customHeight="1">
      <x:c r="A1701" s="9" t="str">
        <x:v>QA-NRI-026</x:v>
      </x:c>
      <x:c r="B1701" s="9" t="str">
        <x:v>NRI</x:v>
      </x:c>
      <x:c r="C1701" s="9" t="str">
        <x:v>PDF falla no revierte confirmación</x:v>
      </x:c>
      <x:c r="D1701" s="9" t="str">
        <x:v>P0</x:v>
      </x:c>
      <x:c r="E1701" s="9" t="str">
        <x:v>Negativa/control</x:v>
      </x:c>
      <x:c r="F1701" s="9" t="str">
        <x:v>Navegador + HTTP + persistencia; Real DEMO y doble identificados por separado</x:v>
      </x:c>
      <x:c r="G1701" s="23" t="str">
        <x:v>Pendiente</x:v>
      </x:c>
      <x:c r="H1701" s="23"/>
      <x:c r="I1701" s="23"/>
      <x:c r="J1701" s="23"/>
      <x:c r="K1701" s="23"/>
      <x:c r="L1701" s="24"/>
      <x:c r="M1701" s="23"/>
      <x:c r="N1701" s="23"/>
    </x:row>
    <x:row r="1702" ht="70" customHeight="1">
      <x:c r="A1702" s="9" t="str">
        <x:v>QA-NRI-027</x:v>
      </x:c>
      <x:c r="B1702" s="9" t="str">
        <x:v>NRI</x:v>
      </x:c>
      <x:c r="C1702" s="9" t="str">
        <x:v>Correo de orden no HKA</x:v>
      </x:c>
      <x:c r="D1702" s="9" t="str">
        <x:v>P0</x:v>
      </x:c>
      <x:c r="E1702" s="9" t="str">
        <x:v>Positiva/regresión</x:v>
      </x:c>
      <x:c r="F1702" s="9" t="str">
        <x:v>Navegador + HTTP + persistencia; Real DEMO y doble identificados por separado</x:v>
      </x:c>
      <x:c r="G1702" s="23" t="str">
        <x:v>Pendiente</x:v>
      </x:c>
      <x:c r="H1702" s="23"/>
      <x:c r="I1702" s="23"/>
      <x:c r="J1702" s="23"/>
      <x:c r="K1702" s="23"/>
      <x:c r="L1702" s="24"/>
      <x:c r="M1702" s="23"/>
      <x:c r="N1702" s="23"/>
    </x:row>
    <x:row r="1703" ht="70" customHeight="1">
      <x:c r="A1703" s="9" t="str">
        <x:v>QA-NRI-028</x:v>
      </x:c>
      <x:c r="B1703" s="9" t="str">
        <x:v>NRI</x:v>
      </x:c>
      <x:c r="C1703" s="9" t="str">
        <x:v>Original HKA sin régimen leyenda</x:v>
      </x:c>
      <x:c r="D1703" s="9" t="str">
        <x:v>P0</x:v>
      </x:c>
      <x:c r="E1703" s="9" t="str">
        <x:v>Negativa/control</x:v>
      </x:c>
      <x:c r="F1703" s="9" t="str">
        <x:v>Navegador + HTTP + persistencia; Real DEMO y doble identificados por separado</x:v>
      </x:c>
      <x:c r="G1703" s="23" t="str">
        <x:v>Pendiente</x:v>
      </x:c>
      <x:c r="H1703" s="23"/>
      <x:c r="I1703" s="23"/>
      <x:c r="J1703" s="23"/>
      <x:c r="K1703" s="23"/>
      <x:c r="L1703" s="24"/>
      <x:c r="M1703" s="23"/>
      <x:c r="N1703" s="23"/>
    </x:row>
    <x:row r="1704" ht="70" customHeight="1">
      <x:c r="A1704" s="9" t="str">
        <x:v>QA-NRI-029</x:v>
      </x:c>
      <x:c r="B1704" s="9" t="str">
        <x:v>NRI</x:v>
      </x:c>
      <x:c r="C1704" s="9" t="str">
        <x:v>Original guía sin origen impreso</x:v>
      </x:c>
      <x:c r="D1704" s="9" t="str">
        <x:v>P0</x:v>
      </x:c>
      <x:c r="E1704" s="9" t="str">
        <x:v>Negativa/control</x:v>
      </x:c>
      <x:c r="F1704" s="9" t="str">
        <x:v>Navegador + HTTP + persistencia; Real DEMO y doble identificados por separado</x:v>
      </x:c>
      <x:c r="G1704" s="23" t="str">
        <x:v>Pendiente</x:v>
      </x:c>
      <x:c r="H1704" s="23"/>
      <x:c r="I1704" s="23"/>
      <x:c r="J1704" s="23"/>
      <x:c r="K1704" s="23"/>
      <x:c r="L1704" s="24"/>
      <x:c r="M1704" s="23"/>
      <x:c r="N1704" s="23"/>
    </x:row>
    <x:row r="1705" ht="70" customHeight="1">
      <x:c r="A1705" s="9" t="str">
        <x:v>QA-NRI-030</x:v>
      </x:c>
      <x:c r="B1705" s="9" t="str">
        <x:v>NRI</x:v>
      </x:c>
      <x:c r="C1705" s="9" t="str">
        <x:v>Producción bloqueada en flujos nuevos</x:v>
      </x:c>
      <x:c r="D1705" s="9" t="str">
        <x:v>P0</x:v>
      </x:c>
      <x:c r="E1705" s="9" t="str">
        <x:v>Negativa/control</x:v>
      </x:c>
      <x:c r="F1705" s="9" t="str">
        <x:v>Navegador + HTTP + persistencia; Real DEMO y doble identificados por separado</x:v>
      </x:c>
      <x:c r="G1705" s="23" t="str">
        <x:v>Pendiente</x:v>
      </x:c>
      <x:c r="H1705" s="23"/>
      <x:c r="I1705" s="23"/>
      <x:c r="J1705" s="23"/>
      <x:c r="K1705" s="23"/>
      <x:c r="L1705" s="24"/>
      <x:c r="M1705" s="23"/>
      <x:c r="N1705" s="23"/>
    </x:row>
    <x:row r="1706" ht="70" customHeight="1">
      <x:c r="A1706" s="9" t="str">
        <x:v>QA-NRI-031</x:v>
      </x:c>
      <x:c r="B1706" s="9" t="str">
        <x:v>NRI</x:v>
      </x:c>
      <x:c r="C1706" s="9" t="str">
        <x:v>Sin ampliación API pública</x:v>
      </x:c>
      <x:c r="D1706" s="9" t="str">
        <x:v>P0</x:v>
      </x:c>
      <x:c r="E1706" s="9" t="str">
        <x:v>Negativa/control</x:v>
      </x:c>
      <x:c r="F1706" s="9" t="str">
        <x:v>Navegador + HTTP + persistencia; Real DEMO y doble identificados por separado</x:v>
      </x:c>
      <x:c r="G1706" s="23" t="str">
        <x:v>Pendiente</x:v>
      </x:c>
      <x:c r="H1706" s="23"/>
      <x:c r="I1706" s="23"/>
      <x:c r="J1706" s="23"/>
      <x:c r="K1706" s="23"/>
      <x:c r="L1706" s="24"/>
      <x:c r="M1706" s="23"/>
      <x:c r="N1706" s="23"/>
    </x:row>
    <x:row r="1707" ht="70" customHeight="1">
      <x:c r="A1707" s="9" t="str">
        <x:v>QA-NRI-032</x:v>
      </x:c>
      <x:c r="B1707" s="9" t="str">
        <x:v>NRI</x:v>
      </x:c>
      <x:c r="C1707" s="9" t="str">
        <x:v>Cierre final con fallos esenciales</x:v>
      </x:c>
      <x:c r="D1707" s="9" t="str">
        <x:v>P0</x:v>
      </x:c>
      <x:c r="E1707" s="9" t="str">
        <x:v>Positiva/regresión</x:v>
      </x:c>
      <x:c r="F1707" s="9" t="str">
        <x:v>Navegador + HTTP + persistencia; Real DEMO y doble identificados por separado</x:v>
      </x:c>
      <x:c r="G1707" s="23" t="str">
        <x:v>Pendiente</x:v>
      </x:c>
      <x:c r="H1707" s="23"/>
      <x:c r="I1707" s="23"/>
      <x:c r="J1707" s="23"/>
      <x:c r="K1707" s="23"/>
      <x:c r="L1707" s="24"/>
      <x:c r="M1707" s="23"/>
      <x:c r="N1707" s="23"/>
    </x:row>
  </x:sheetData>
  <x:conditionalFormatting sqref="G6:G725">
    <x:cfRule type="cellIs" dxfId="0" priority="1" operator="equal">
      <x:formula>"Aprobó"</x:formula>
    </x:cfRule>
    <x:cfRule type="cellIs" dxfId="1" priority="2" operator="equal">
      <x:formula>"Reprobó"</x:formula>
    </x:cfRule>
    <x:cfRule type="cellIs" dxfId="2" priority="3" operator="equal">
      <x:formula>"Bloqueada"</x:formula>
    </x:cfRule>
    <x:cfRule type="cellIs" dxfId="3" priority="4" operator="equal">
      <x:formula>"No aplica"</x:formula>
    </x:cfRule>
  </x:conditionalFormatting>
  <x:conditionalFormatting sqref="G726:G1126">
    <x:cfRule type="cellIs" dxfId="5" priority="5" operator="equal">
      <x:formula>"Aprobó"</x:formula>
    </x:cfRule>
    <x:cfRule type="cellIs" dxfId="6" priority="6" operator="equal">
      <x:formula>"Reprobó"</x:formula>
    </x:cfRule>
    <x:cfRule type="cellIs" dxfId="7" priority="7" operator="equal">
      <x:formula>"Bloqueada"</x:formula>
    </x:cfRule>
    <x:cfRule type="cellIs" dxfId="8" priority="8" operator="equal">
      <x:formula>"No aplica"</x:formula>
    </x:cfRule>
  </x:conditionalFormatting>
  <x:conditionalFormatting sqref="G1127:G1707">
    <x:cfRule type="cellIs" dxfId="9" priority="9" operator="equal">
      <x:formula>"Pendiente"</x:formula>
    </x:cfRule>
    <x:cfRule type="cellIs" dxfId="10" priority="10" operator="equal">
      <x:formula>"Aprobó"</x:formula>
    </x:cfRule>
    <x:cfRule type="cellIs" dxfId="11" priority="11" operator="equal">
      <x:formula>"Reprobó"</x:formula>
    </x:cfRule>
    <x:cfRule type="cellIs" dxfId="12" priority="12" operator="equal">
      <x:formula>"Bloqueada"</x:formula>
    </x:cfRule>
    <x:cfRule type="cellIs" dxfId="13" priority="13" operator="equal">
      <x:formula>"No aplica"</x:formula>
    </x:cfRule>
  </x:conditionalFormatting>
  <x:dataValidations count="4">
    <x:dataValidation type="list" sqref="G6:G725">
      <x:formula1>"Pendiente,Aprobó,Reprobó,Bloqueada,No aplica"</x:formula1>
    </x:dataValidation>
    <x:dataValidation type="list" sqref="G726:G1126">
      <x:formula1>"Pendiente,Aprobó,Reprobó,Bloqueada,No aplica"</x:formula1>
    </x:dataValidation>
    <x:dataValidation type="list" sqref="G1127:G1707">
      <x:formula1>"Pendiente,Aprobó,Reprobó,Bloqueada,No aplica"</x:formula1>
    </x:dataValidation>
    <x:dataValidation type="whole" operator="greaterThanOrEqual" sqref="M1127:M1707">
      <x:formula1>1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4ddadd34684dc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9" hidden="0" customWidth="1"/>
    <x:col min="2" max="2" width="55" hidden="0" customWidth="1"/>
    <x:col min="3" max="3" width="64" hidden="0" customWidth="1"/>
    <x:col min="4" max="4" width="87" hidden="0" customWidth="1"/>
    <x:col min="5" max="5" width="92" hidden="0" customWidth="1"/>
    <x:col min="6" max="6" width="93" hidden="0" customWidth="1"/>
  </x:cols>
  <x:sheetData>
    <x:row r="1">
      <x:c r="A1" s="2"/>
      <x:c r="B1" s="2"/>
      <x:c r="C1" s="2"/>
      <x:c r="D1" s="2"/>
      <x:c r="E1" s="2"/>
      <x:c r="F1" s="2"/>
    </x:row>
    <x:row r="2" ht="27" customHeight="1">
      <x:c r="A2" s="3" t="str">
        <x:v>Especificaciones por ID de prueba</x:v>
      </x:c>
      <x:c r="B2" s="2"/>
      <x:c r="C2" s="2"/>
      <x:c r="D2" s="2"/>
      <x:c r="E2" s="2"/>
      <x:c r="F2" s="2"/>
    </x:row>
    <x:row r="3">
      <x:c r="A3" s="2" t="str">
        <x:v>Medios digitales / DEMO | Referencia 14-10-2026: 76690125 + órdenes locales | 1702 casos: 1121 anteriores + 581 nuevos</x:v>
      </x:c>
      <x:c r="B3" s="2"/>
      <x:c r="C3" s="2"/>
      <x:c r="D3" s="2"/>
      <x:c r="E3" s="2"/>
      <x:c r="F3" s="2"/>
    </x:row>
    <x:row r="4">
      <x:c r="A4" s="4"/>
      <x:c r="B4" s="4"/>
      <x:c r="C4" s="4"/>
      <x:c r="D4" s="4"/>
      <x:c r="E4" s="4"/>
      <x:c r="F4" s="4"/>
    </x:row>
    <x:row r="5" ht="36" customHeight="1">
      <x:c r="A5" s="8" t="str">
        <x:v>ID</x:v>
      </x:c>
      <x:c r="B5" s="8" t="str">
        <x:v>Caso</x:v>
      </x:c>
      <x:c r="C5" s="8" t="str">
        <x:v>Precondiciones y fixtures</x:v>
      </x:c>
      <x:c r="D5" s="8" t="str">
        <x:v>Pasos específicos</x:v>
      </x:c>
      <x:c r="E5" s="8" t="str">
        <x:v>Resultado esperado</x:v>
      </x:c>
      <x:c r="F5" s="8" t="str">
        <x:v>Fuente / entrada</x:v>
      </x:c>
    </x:row>
    <x:row r="6" ht="44" customHeight="1">
      <x:c r="A6" s="13" t="str">
        <x:v>QA-ENT-001</x:v>
      </x:c>
      <x:c r="B6" s="13" t="str">
        <x:v>Identificar la versión ejecutada</x:v>
      </x:c>
      <x:c r="C6" s="13" t="str">
        <x:v>Tenant QA-A digital DEMO, QA-B aislado, sucursales S 1/S 2, usuarios U-ADMIN/U-VENTA/U-SINPERMISO/U-INTEGRADOR.
Repositorio y despliegue accesibles</x:v>
      </x:c>
      <x:c r="D6" s="13" t="str">
        <x:v>1. Registrar commit, rama y cambios locales
2. Registrar URL, versión PHP, navegador, fecha Caracas y hash del manifest cargado
3. Comparar recursos del navegador con el despliegue</x:v>
      </x:c>
      <x:c r="E6" s="13" t="str">
        <x:v>Se conoce la versión de código y assets realmente probada; las discrepancias quedan documentadas antes de aceptar pruebas visuales.</x:v>
      </x:c>
      <x:c r="F6" s="13" t="str">
        <x:v>Fuentes: routes/web.php; routes/api.php; modules/*/Routes; resources/views/tenant/documents/form.blade.php
Entrada: Entorno QA y acceso al tenant</x:v>
      </x:c>
    </x:row>
    <x:row r="7" ht="44" customHeight="1">
      <x:c r="A7" s="13" t="str">
        <x:v>QA-ENT-002</x:v>
      </x:c>
      <x:c r="B7" s="13" t="str">
        <x:v>Confirmar modalidad digital y ambiente DEMO</x:v>
      </x:c>
      <x:c r="C7" s="13" t="str">
        <x:v>Tenant QA-A digital DEMO, QA-B aislado, sucursales S 1/S 2, usuarios U-ADMIN/U-VENTA/U-SINPERMISO/U-INTEGRADOR.
Usuario administrador de QA-A</x:v>
      </x:c>
      <x:c r="D7" s="13" t="str">
        <x:v>1. Abrir configuración fiscal
2. Leer modalidad y ambiente desde respuesta saneada y empresa en lectura
3. Comparar con los documentos de prueba</x:v>
      </x:c>
      <x:c r="E7" s="13" t="str">
        <x:v>Empresa digital/demo y cada factura nueva hereda estos valores del servidor. Ninguna prueba positiva usa Máquina fiscal, Forma libre ni producción.</x:v>
      </x:c>
      <x:c r="F7" s="13" t="str">
        <x:v>Fuentes: routes/web.php; routes/api.php; modules/*/Routes; resources/views/tenant/documents/form.blade.php
Entrada: Entorno QA y acceso al tenant</x:v>
      </x:c>
    </x:row>
    <x:row r="8" ht="44" customHeight="1">
      <x:c r="A8" s="13" t="str">
        <x:v>QA-ENT-003</x:v>
      </x:c>
      <x:c r="B8" s="13" t="str">
        <x:v>Verificar separación de datos QA</x:v>
      </x:c>
      <x:c r="C8" s="13" t="str">
        <x:v>Tenant QA-A digital DEMO, QA-B aislado, sucursales S 1/S 2, usuarios U-ADMIN/U-VENTA/U-SINPERMISO/U-INTEGRADOR.
Conexiones y almacenamiento identificados</x:v>
      </x:c>
      <x:c r="D8" s="13" t="str">
        <x:v>1. Identificar conexión central, conexión tenant, disco, caché y cola del entorno
2. Verificar QA-A y QA-B
3. Comprobar destinatarios de prueba y adaptadores de red</x:v>
      </x:c>
      <x:c r="E8" s="13" t="str">
        <x:v>Los datos y servicios de QA están identificados. Si el entorno no está aislado, las pruebas que mutan se registran Bloqueadas hasta disponer de él.</x:v>
      </x:c>
      <x:c r="F8" s="13" t="str">
        <x:v>Fuentes: routes/web.php; routes/api.php; modules/*/Routes; resources/views/tenant/documents/form.blade.php
Entrada: Entorno QA y acceso al tenant</x:v>
      </x:c>
    </x:row>
    <x:row r="9" ht="44" customHeight="1">
      <x:c r="A9" s="13" t="str">
        <x:v>QA-ENT-004</x:v>
      </x:c>
      <x:c r="B9" s="13" t="str">
        <x:v>Inventariar todas las opciones visibles</x:v>
      </x:c>
      <x:c r="C9" s="13" t="str">
        <x:v>Tenant QA-A digital DEMO, QA-B aislado, sucursales S 1/S 2, usuarios U-ADMIN/U-VENTA/U-SINPERMISO/U-INTEGRADOR.
Administrador y vendedor autenticados por separado</x:v>
      </x:c>
      <x:c r="D9" s="13" t="str">
        <x:v>1. Recorrer menú, Comprobantes, detalle, Opciones, POS, Garage y Finanzas
2. Registrar cada control, valor de selector y condición de visibilidad
3. Asignar a cada opción un caso existente o un QA-EXT</x:v>
      </x:c>
      <x:c r="E9" s="13" t="str">
        <x:v>Inventario con 100 % de opciones relacionadas con facturación mapeadas a casos; un botón sin caso impide declarar cobertura completa.</x:v>
      </x:c>
      <x:c r="F9" s="13" t="str">
        <x:v>Fuentes: routes/web.php; routes/api.php; modules/*/Routes; resources/views/tenant/documents/form.blade.php
Entrada: Entorno QA y acceso al tenant</x:v>
      </x:c>
    </x:row>
    <x:row r="10" ht="44" customHeight="1">
      <x:c r="A10" s="13" t="str">
        <x:v>QA-ENT-005</x:v>
      </x:c>
      <x:c r="B10" s="13" t="str">
        <x:v>Inventariar módulos y canales instalados</x:v>
      </x:c>
      <x:c r="C10" s="13" t="str">
        <x:v>Tenant QA-A digital DEMO, QA-B aislado, sucursales S 1/S 2, usuarios U-ADMIN/U-VENTA/U-SINPERMISO/U-INTEGRADOR.
Listado de módulos/plan disponible</x:v>
      </x:c>
      <x:c r="D10" s="13" t="str">
        <x:v>1. Registrar módulos habilitados y no habilitados
2. Identificar rutas activas que generan documentos
3. Comprobar cada canal contra la matriz de la guía</x:v>
      </x:c>
      <x:c r="E10" s="13" t="str">
        <x:v>La ausencia de un menú no borra un flujo existente. Un módulo soportado sin acceso se marca Bloqueado o se habilita en QA; No aplica requiere exclusión sustentada.</x:v>
      </x:c>
      <x:c r="F10" s="13" t="str">
        <x:v>Fuentes: routes/web.php; routes/api.php; modules/*/Routes; resources/views/tenant/documents/form.blade.php
Entrada: Entorno QA y acceso al tenant</x:v>
      </x:c>
    </x:row>
    <x:row r="11" ht="44" customHeight="1">
      <x:c r="A11" s="13" t="str">
        <x:v>QA-ENT-006</x:v>
      </x:c>
      <x:c r="B11" s="13" t="str">
        <x:v>Preparar caja, bancos y permisos</x:v>
      </x:c>
      <x:c r="C11" s="13" t="str">
        <x:v>Tenant QA-A digital DEMO, QA-B aislado, sucursales S 1/S 2, usuarios U-ADMIN/U-VENTA/U-SINPERMISO/U-INTEGRADOR.
S 1/S 2 y usuarios de QA creados</x:v>
      </x:c>
      <x:c r="D11" s="13" t="str">
        <x:v>1. Abrir caja de U-VENTA en S 1
2. Crear destino bancario QA y medios activos
3. Registrar saldo inicial por moneda</x:v>
      </x:c>
      <x:c r="E11" s="13" t="str">
        <x:v>Caja y banco tienen línea base verificable. Las pruebas posteriores pueden detectar entradas duplicadas y diferencias de recibido/aplicado.</x:v>
      </x:c>
      <x:c r="F11" s="13" t="str">
        <x:v>Fuentes: routes/web.php; routes/api.php; modules/*/Routes; resources/views/tenant/documents/form.blade.php
Entrada: Entorno QA y acceso al tenant</x:v>
      </x:c>
    </x:row>
    <x:row r="12" ht="44" customHeight="1">
      <x:c r="A12" s="13" t="str">
        <x:v>QA-ENT-007</x:v>
      </x:c>
      <x:c r="B12" s="13" t="str">
        <x:v>Preparar compradores domésticos</x:v>
      </x:c>
      <x:c r="C12" s="13" t="str">
        <x:v>Tenant QA-A digital DEMO, QA-B aislado, sucursales S 1/S 2, usuarios U-ADMIN/U-VENTA/U-SINPERMISO/U-INTEGRADOR.
Catálogo de identidad inicial</x:v>
      </x:c>
      <x:c r="D12" s="13" t="str">
        <x:v>1. Crear un cliente por cada 0/1/6/7/E/C/G/R con números de dígitos
2. Registrar sus IDs y contactos QA
3. Verificar elegibilidad de cada tipo</x:v>
      </x:c>
      <x:c r="E12" s="13" t="str">
        <x:v>Ocho clientes domésticos activos disponibles. Sus números y nombres visibles corresponden al catálogo; no se inventa una restricción identidad/tipo de venta.</x:v>
      </x:c>
      <x:c r="F12" s="13" t="str">
        <x:v>Fuentes: routes/web.php; routes/api.php; modules/*/Routes; resources/views/tenant/documents/form.blade.php
Entrada: Entorno QA y acceso al tenant</x:v>
      </x:c>
    </x:row>
    <x:row r="13" ht="44" customHeight="1">
      <x:c r="A13" s="13" t="str">
        <x:v>QA-ENT-008</x:v>
      </x:c>
      <x:c r="B13" s="13" t="str">
        <x:v>Preparar compradores ND y terceros</x:v>
      </x:c>
      <x:c r="C13" s="13" t="str">
        <x:v>Tenant QA-A digital DEMO, QA-B aislado, sucursales S 1/S 2, usuarios U-ADMIN/U-VENTA/U-SINPERMISO/U-INTEGRADOR.
Administrador con acceso a clientes</x:v>
      </x:c>
      <x:c r="D13" s="13" t="str">
        <x:v>1. Crear ND con país extranjero, tipo externo y número literal
2. Crear tercero VE con RIF fiscal válido de fixture, actividad y dirección
3. Registrar comprador distinto del titular</x:v>
      </x:c>
      <x:c r="E13" s="13" t="str">
        <x:v>Datos suficientes para probar exportación y terceros sin confundir ND, comprador, titular y emisor autenticado.</x:v>
      </x:c>
      <x:c r="F13" s="13" t="str">
        <x:v>Fuentes: routes/web.php; routes/api.php; modules/*/Routes; resources/views/tenant/documents/form.blade.php
Entrada: Entorno QA y acceso al tenant</x:v>
      </x:c>
    </x:row>
    <x:row r="14" ht="44" customHeight="1">
      <x:c r="A14" s="13" t="str">
        <x:v>QA-ENT-009</x:v>
      </x:c>
      <x:c r="B14" s="13" t="str">
        <x:v>Preparar productos y stock</x:v>
      </x:c>
      <x:c r="C14" s="13" t="str">
        <x:v>Tenant QA-A digital DEMO, QA-B aislado, sucursales S 1/S 2, usuarios U-ADMIN/U-VENTA/U-SINPERMISO/U-INTEGRADOR.
Almacenes QA-S 1/QA-S 2 disponibles</x:v>
      </x:c>
      <x:c r="D14" s="13" t="str">
        <x:v>1. Crear fixtures gravado, exento, servicio, variación, pack, presentación, lote y serial
2. Registrar costos, precios, stock y equivalencias HKA
3. Crear stock cero y restringido</x:v>
      </x:c>
      <x:c r="E14" s="13" t="str">
        <x:v>Cada fixture conserva un ID estable y saldo inicial. El producto padre variable se distingue de sus variaciones vendibles.</x:v>
      </x:c>
      <x:c r="F14" s="13" t="str">
        <x:v>Fuentes: routes/web.php; routes/api.php; modules/*/Routes; resources/views/tenant/documents/form.blade.php
Entrada: Entorno QA y acceso al tenant</x:v>
      </x:c>
    </x:row>
    <x:row r="15" ht="56" customHeight="1">
      <x:c r="A15" s="13" t="str">
        <x:v>QA-ENT-010</x:v>
      </x:c>
      <x:c r="B15" s="13" t="str">
        <x:v>Preparar estados fiscales controlados</x:v>
      </x:c>
      <x:c r="C15" s="13" t="str">
        <x:v>Tenant QA-A digital DEMO, QA-B aislado, sucursales S 1/S 2, usuarios U-ADMIN/U-VENTA/U-SINPERMISO/U-INTEGRADOR.
Proveedor simulado sin salida real</x:v>
      </x:c>
      <x:c r="D15" s="13" t="str">
        <x:v>1. Crear fixtures not_requested / prepared / pending / confirmed / rejected / uncertain / cancelled
2. Crear uncertain con y sin ausencia acreditada
3. Anotar control, UUID y antigüedad de intento</x:v>
      </x:c>
      <x:c r="E15" s="13" t="str">
        <x:v>Estados reproducibles creados sólo en QA. Ningún control simulado se usa para acreditar emisión real.</x:v>
      </x:c>
      <x:c r="F15" s="13" t="str">
        <x:v>Fuentes: routes/web.php; routes/api.php; modules/*/Routes; resources/views/tenant/documents/form.blade.php
Entrada: Entorno QA y acceso al tenant</x:v>
      </x:c>
    </x:row>
    <x:row r="16" ht="44" customHeight="1">
      <x:c r="A16" s="13" t="str">
        <x:v>QA-ENT-011</x:v>
      </x:c>
      <x:c r="B16" s="13" t="str">
        <x:v>Preparar fallos y evidencias</x:v>
      </x:c>
      <x:c r="C16" s="13" t="str">
        <x:v>Tenant QA-A digital DEMO, QA-B aislado, sucursales S 1/S 2, usuarios U-ADMIN/U-VENTA/U-SINPERMISO/U-INTEGRADOR.
Herramientas de captura disponibles</x:v>
      </x:c>
      <x:c r="D16" s="13" t="str">
        <x:v>1. Configurar respuestas HKA y reloj controlado
2. Definir carpeta por corrida y caso
3. Probar captura de HTTP saneado, PDF y lecturas antes/después</x:v>
      </x:c>
      <x:c r="E16" s="13" t="str">
        <x:v>Las evidencias son recuperables por caso y no contienen claves, JWT ni datos de terceros ajenos a QA.</x:v>
      </x:c>
      <x:c r="F16" s="13" t="str">
        <x:v>Fuentes: routes/web.php; routes/api.php; modules/*/Routes; resources/views/tenant/documents/form.blade.php
Entrada: Entorno QA y acceso al tenant</x:v>
      </x:c>
    </x:row>
    <x:row r="17" ht="44" customHeight="1">
      <x:c r="A17" s="13" t="str">
        <x:v>QA-ENT-012</x:v>
      </x:c>
      <x:c r="B17" s="13" t="str">
        <x:v>Comprobar el registro de ejecución</x:v>
      </x:c>
      <x:c r="C17" s="13" t="str">
        <x:v>Tenant QA-A digital DEMO, QA-B aislado, sucursales S 1/S 2, usuarios U-ADMIN/U-VENTA/U-SINPERMISO/U-INTEGRADOR.
Libro de resultados y casos disponibles</x:v>
      </x:c>
      <x:c r="D17" s="13" t="str">
        <x:v>1. Abrir registro y localizar un caso
2. Registrar en copia desechable resultado, evidencia y defecto
3. Reabrir y comprobar que el ID conserva la asociación</x:v>
      </x:c>
      <x:c r="E17" s="13" t="str">
        <x:v>Cada prueba tiene estado editable. Ninguna fila aparece Aprobó/Reprobó antes de ejecutar; se conserva trazabilidad tras ordenar o filtrar.</x:v>
      </x:c>
      <x:c r="F17" s="13" t="str">
        <x:v>Fuentes: routes/web.php; routes/api.php; modules/*/Routes; resources/views/tenant/documents/form.blade.php
Entrada: Entorno QA y acceso al tenant</x:v>
      </x:c>
    </x:row>
    <x:row r="18" ht="44" customHeight="1">
      <x:c r="A18" s="13" t="str">
        <x:v>QA-CFG-001</x:v>
      </x:c>
      <x:c r="B18" s="13" t="str">
        <x:v>Guardar digital sin credenciales</x:v>
      </x:c>
      <x:c r="C18" s="13" t="str">
        <x:v>QA-A digital DEMO; credenciales de doble/sandbox; empresa nueva independiente para bloqueo de ambiente.
Empresa digital DEMO sin operaciones</x:v>
      </x:c>
      <x:c r="D18" s="13" t="str">
        <x:v>1. Abrir configuración
2. Seleccionar Medios digitales/DEMO dejando credenciales vacías
3. Guardar y recargar</x:v>
      </x:c>
      <x:c r="E18" s="13" t="str">
        <x:v>Configuración digital guardada y conexión pendiente; guardar no transmite factura ni asigna control.</x:v>
      </x:c>
      <x:c r="F18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19" ht="44" customHeight="1">
      <x:c r="A19" s="13" t="str">
        <x:v>QA-CFG-002</x:v>
      </x:c>
      <x:c r="B19" s="13" t="str">
        <x:v>Autenticar con datos válidos</x:v>
      </x:c>
      <x:c r="C19" s="13" t="str">
        <x:v>QA-A digital DEMO; credenciales de doble/sandbox; empresa nueva independiente para bloqueo de ambiente.
Doble de Autenticacion con token y expiración válida</x:v>
      </x:c>
      <x:c r="D19" s="13" t="str">
        <x:v>1. Ingresar usuario/clave del fixture
2. Guardar/activar conexión
3. Leer estado y contador de llamadas</x:v>
      </x:c>
      <x:c r="E19" s="13" t="str">
        <x:v>Autenticación correcta registrada por ambiente; respuestas sólo muestran indicador y fecha, sin usuario, clave o token.</x:v>
      </x:c>
      <x:c r="F19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20" ht="44" customHeight="1">
      <x:c r="A20" s="13" t="str">
        <x:v>QA-CFG-003</x:v>
      </x:c>
      <x:c r="B20" s="13" t="str">
        <x:v>Credenciales incorrectas</x:v>
      </x:c>
      <x:c r="C20" s="13" t="str">
        <x:v>QA-A digital DEMO; credenciales de doble/sandbox; empresa nueva independiente para bloqueo de ambiente.
Configuración válida previa y respuesta de rechazo</x:v>
      </x:c>
      <x:c r="D20" s="13" t="str">
        <x:v>1. Sustituir credenciales por fixture rechazado
2. Guardar
3. Recargar y comparar configuración anterior</x:v>
      </x:c>
      <x:c r="E20" s="13" t="str">
        <x:v>Error legible y estado previo conservado; ninguna emisión ni almacenamiento de secretos en respuesta.</x:v>
      </x:c>
      <x:c r="F20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21" ht="44" customHeight="1">
      <x:c r="A21" s="13" t="str">
        <x:v>QA-CFG-004</x:v>
      </x:c>
      <x:c r="B21" s="13" t="str">
        <x:v>Autenticación incompleta</x:v>
      </x:c>
      <x:c r="C21" s="13" t="str">
        <x:v>QA-A digital DEMO; credenciales de doble/sandbox; empresa nueva independiente para bloqueo de ambiente.
Doble devuelve token ausente o expiración inválida</x:v>
      </x:c>
      <x:c r="D21" s="13" t="str">
        <x:v>1. Ejecutar por separado cada respuesta incompleta
2. Intentar guardar
3. Leer configuración y auditoría</x:v>
      </x:c>
      <x:c r="E21" s="13" t="str">
        <x:v>No se acredita conexión válida y no se reemplaza la configuración válida anterior.</x:v>
      </x:c>
      <x:c r="F21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22" ht="44" customHeight="1">
      <x:c r="A22" s="13" t="str">
        <x:v>QA-CFG-005</x:v>
      </x:c>
      <x:c r="B22" s="13" t="str">
        <x:v>Timeout de autenticación</x:v>
      </x:c>
      <x:c r="C22" s="13" t="str">
        <x:v>QA-A digital DEMO; credenciales de doble/sandbox; empresa nueva independiente para bloqueo de ambiente.
Doble provoca timeout</x:v>
      </x:c>
      <x:c r="D22" s="13" t="str">
        <x:v>1. Intentar activar conexión
2. Esperar respuesta acotada
3. Comprobar estado previo y ausencia de venta</x:v>
      </x:c>
      <x:c r="E22" s="13" t="str">
        <x:v>Error saneado; no se transmite documento ni se pierde configuración.</x:v>
      </x:c>
      <x:c r="F22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23" ht="44" customHeight="1">
      <x:c r="A23" s="13" t="str">
        <x:v>QA-CFG-006</x:v>
      </x:c>
      <x:c r="B23" s="13" t="str">
        <x:v>Campos vacíos conservan secreto</x:v>
      </x:c>
      <x:c r="C23" s="13" t="str">
        <x:v>QA-A digital DEMO; credenciales de doble/sandbox; empresa nueva independiente para bloqueo de ambiente.
Credenciales válidas almacenadas</x:v>
      </x:c>
      <x:c r="D23" s="13" t="str">
        <x:v>1. Abrir configuración sin revelar valores
2. Guardar otros ajustes con campos secretos vacíos
3. Autenticar con doble y comparar fingerprint interno</x:v>
      </x:c>
      <x:c r="E23" s="13" t="str">
        <x:v>El secreto continúa cifrado y no se borra por campos vacíos. Guardar ajustes ajenos no reautentica innecesariamente.</x:v>
      </x:c>
      <x:c r="F23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24" ht="44" customHeight="1">
      <x:c r="A24" s="13" t="str">
        <x:v>QA-CFG-007</x:v>
      </x:c>
      <x:c r="B24" s="13" t="str">
        <x:v>Borrado explícito de credenciales</x:v>
      </x:c>
      <x:c r="C24" s="13" t="str">
        <x:v>QA-A digital DEMO; credenciales de doble/sandbox; empresa nueva independiente para bloqueo de ambiente.
Credenciales y fecha de autenticación existentes</x:v>
      </x:c>
      <x:c r="D24" s="13" t="str">
        <x:v>1. Usar acción de borrado
2. Guardar y recargar
3. Comprobar intento de emisión controlado</x:v>
      </x:c>
      <x:c r="E24" s="13" t="str">
        <x:v>Se eliminan credenciales y fecha de conexión; emisión se bloquea con motivo claro y venta local se conserva si ya fue guardada.</x:v>
      </x:c>
      <x:c r="F24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25" ht="44" customHeight="1">
      <x:c r="A25" s="13" t="str">
        <x:v>QA-CFG-008</x:v>
      </x:c>
      <x:c r="B25" s="13" t="str">
        <x:v>Permisos sobre configuración fiscal</x:v>
      </x:c>
      <x:c r="C25" s="13" t="str">
        <x:v>QA-A digital DEMO; credenciales de doble/sandbox; empresa nueva independiente para bloqueo de ambiente.
U-VENTA y U-SINPERMISO</x:v>
      </x:c>
      <x:c r="D25" s="13" t="str">
        <x:v>1. Intentar consultar y guardar desde UI
2. Repetir POST directo y AJAX
3. Medir cambios y llamadas HKA</x:v>
      </x:c>
      <x:c r="E25" s="13" t="str">
        <x:v>Servidor restringe configuración al administrador; acceso denegado no guarda ni autentica.</x:v>
      </x:c>
      <x:c r="F25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26" ht="44" customHeight="1">
      <x:c r="A26" s="13" t="str">
        <x:v>QA-CFG-009</x:v>
      </x:c>
      <x:c r="B26" s="13" t="str">
        <x:v>El editor general no cambia datos fiscales</x:v>
      </x:c>
      <x:c r="C26" s="13" t="str">
        <x:v>QA-A digital DEMO; credenciales de doble/sandbox; empresa nueva independiente para bloqueo de ambiente.
Empresa digital/demo</x:v>
      </x:c>
      <x:c r="D26" s="13" t="str">
        <x:v>1. Enviar fiscal_environment y credenciales al endpoint general de empresa
2. Enviar modalidad manipulada
3. Leer empresa y auditoría</x:v>
      </x:c>
      <x:c r="E26" s="13" t="str">
        <x:v>La vía general rechaza cambios fiscales; no permite saltar la validación dedicada.</x:v>
      </x:c>
      <x:c r="F26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27" ht="44" customHeight="1">
      <x:c r="A27" s="13" t="str">
        <x:v>QA-CFG-010</x:v>
      </x:c>
      <x:c r="B27" s="13" t="str">
        <x:v>Ambiente bloqueado después de operar</x:v>
      </x:c>
      <x:c r="C27" s="13" t="str">
        <x:v>QA-A digital DEMO; credenciales de doble/sandbox; empresa nueva independiente para bloqueo de ambiente.
Empresa QA nueva; primera factura de prueba</x:v>
      </x:c>
      <x:c r="D27" s="13" t="str">
        <x:v>1. Registrar operación
2. Intentar cambiar demo a production
3. Eliminar sólo datos permitidos del fixture y volver a intentar</x:v>
      </x:c>
      <x:c r="E27" s="13" t="str">
        <x:v>Ambiente permanece bloqueado después de operar, aun si se eliminan movimientos; producción no se habilita sobre ese tenant.</x:v>
      </x:c>
      <x:c r="F27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28" ht="44" customHeight="1">
      <x:c r="A28" s="13" t="str">
        <x:v>QA-CFG-011</x:v>
      </x:c>
      <x:c r="B28" s="13" t="str">
        <x:v>Ambiente enviado por el cliente</x:v>
      </x:c>
      <x:c r="C28" s="13" t="str">
        <x:v>QA-A digital DEMO; credenciales de doble/sandbox; empresa nueva independiente para bloqueo de ambiente.
Factura ordinaria lista para guardar</x:v>
      </x:c>
      <x:c r="D28" s="13" t="str">
        <x:v>1. Manipular payload con production o free_form
2. Guardar por web y API
3. Leer modalidad/ambiente persistidos y emisión</x:v>
      </x:c>
      <x:c r="E28" s="13" t="str">
        <x:v>El servidor usa digital/demo de la empresa; los valores del cliente no sustituyen la configuración.</x:v>
      </x:c>
      <x:c r="F28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29" ht="44" customHeight="1">
      <x:c r="A29" s="13" t="str">
        <x:v>QA-CFG-012</x:v>
      </x:c>
      <x:c r="B29" s="13" t="str">
        <x:v>Auditoría fiscal sin secretos</x:v>
      </x:c>
      <x:c r="C29" s="13" t="str">
        <x:v>QA-A digital DEMO; credenciales de doble/sandbox; empresa nueva independiente para bloqueo de ambiente.
Cambio administrativo válido</x:v>
      </x:c>
      <x:c r="D29" s="13" t="str">
        <x:v>1. Modificar configuración permitida
2. Leer auditoría en QA
3. Buscar usuario/clave/token literal del fixture en respuestas y logs</x:v>
      </x:c>
      <x:c r="E29" s="13" t="str">
        <x:v>Actor y campos modificados trazables; no hay valores secretos ni JWT publicados.</x:v>
      </x:c>
      <x:c r="F29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30" ht="44" customHeight="1">
      <x:c r="A30" s="13" t="str">
        <x:v>QA-CFG-013</x:v>
      </x:c>
      <x:c r="B30" s="13" t="str">
        <x:v>IGTF deshabilitado inicialmente</x:v>
      </x:c>
      <x:c r="C30" s="13" t="str">
        <x:v>QA-A digital DEMO; credenciales de doble/sandbox; empresa nueva independiente para bloqueo de ambiente.
Tenant nuevo digital/demo</x:v>
      </x:c>
      <x:c r="D30" s="13" t="str">
        <x:v>1. Leer configuración IGTF
2. Intentar pago subject con doble
3. Comprobar catálogos y estado</x:v>
      </x:c>
      <x:c r="E30" s="13" t="str">
        <x:v>IGTF inicia deshabilitado y no toma automáticamente una tasa HKA; pago subject requiere configuración explícita.</x:v>
      </x:c>
      <x:c r="F30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31" ht="44" customHeight="1">
      <x:c r="A31" s="13" t="str">
        <x:v>QA-CFG-014</x:v>
      </x:c>
      <x:c r="B31" s="13" t="str">
        <x:v>Configurar IGTF operativo</x:v>
      </x:c>
      <x:c r="C31" s="13" t="str">
        <x:v>QA-A digital DEMO; credenciales de doble/sandbox; empresa nueva independiente para bloqueo de ambiente.
Administrador; tasa QA=3 %</x:v>
      </x:c>
      <x:c r="D31" s="13" t="str">
        <x:v>1. Habilitar con 3
2. Guardar y recargar
3. Leer auditoría</x:v>
      </x:c>
      <x:c r="E31" s="13" t="str">
        <x:v>Tasa operativa 3 % y actor conservados. Es un dato sintético de QA, no una afirmación de tasa legal.</x:v>
      </x:c>
      <x:c r="F31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32" ht="44" customHeight="1">
      <x:c r="A32" s="13" t="str">
        <x:v>QA-CFG-015</x:v>
      </x:c>
      <x:c r="B32" s="13" t="str">
        <x:v>Rechazar IGTF sin tasa o fuera de rango</x:v>
      </x:c>
      <x:c r="C32" s="13" t="str">
        <x:v>QA-A digital DEMO; credenciales de doble/sandbox; empresa nueva independiente para bloqueo de ambiente.
Administrador y estado previo guardado</x:v>
      </x:c>
      <x:c r="D32" s="13" t="str">
        <x:v>1. Enviar habilitado sin tasa, cero, negativo y &gt;100 por separado
2. Repetir con vendedor
3. Comparar empresa antes/después</x:v>
      </x:c>
      <x:c r="E32" s="13" t="str">
        <x:v>Validación/permiso impide todos los cambios inválidos sin alterar el valor válido.</x:v>
      </x:c>
      <x:c r="F32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33" ht="44" customHeight="1">
      <x:c r="A33" s="13" t="str">
        <x:v>QA-CFG-016</x:v>
      </x:c>
      <x:c r="B33" s="13" t="str">
        <x:v>Catálogos efectivos de facturación</x:v>
      </x:c>
      <x:c r="C33" s="13" t="str">
        <x:v>QA-A digital DEMO; credenciales de doble/sandbox; empresa nueva independiente para bloqueo de ambiente.
Tenant nuevo y copia QA de catálogo</x:v>
      </x:c>
      <x:c r="D33" s="13" t="str">
        <x:v>1. Leer tipos, monedas, afectaciones, unidades, pagos y motivos
2. Comparar con seed actual
3. Desactivar temporalmente una opción y recargar</x:v>
      </x:c>
      <x:c r="E33" s="13" t="str">
        <x:v>Valores iniciales y banderas documentados; una opción inactiva no puede utilizarse manipulando el backend. Restaurar sólo el fixture QA.</x:v>
      </x:c>
      <x:c r="F33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34" ht="44" customHeight="1">
      <x:c r="A34" s="13" t="str">
        <x:v>QA-CFG-017</x:v>
      </x:c>
      <x:c r="B34" s="13" t="str">
        <x:v>Bloqueo de producción digital</x:v>
      </x:c>
      <x:c r="C34" s="13" t="str">
        <x:v>QA-A digital DEMO; credenciales de doble/sandbox; empresa nueva independiente para bloqueo de ambiente.
Tenant QA limpio separado en production; red simulada</x:v>
      </x:c>
      <x:c r="D34" s="13" t="str">
        <x:v>1. Intentar envío, correo y PDF HKA con fixtures
2. Contar llamadas al proveedor
3. Comprobar mensajes</x:v>
      </x:c>
      <x:c r="E34" s="13" t="str">
        <x:v>Producción permanece fuera del transporte implementado; bloqueo explícito y cero emisión/correo/descarga real. Este caso no autoriza ensayos en producción.</x:v>
      </x:c>
      <x:c r="F34" s="13" t="str">
        <x:v>Fuentes: app/Services/FiscalEmissionSettings.php; app/Services/Fiscal/HkaAuthentication.php; .codex/skills/configurar-conexion-hka-pro9/SKILL.md
Entrada: GET/POST /companies/fiscal-emission; formulario fiscal del tenant</x:v>
      </x:c>
    </x:row>
    <x:row r="35" ht="56" customHeight="1">
      <x:c r="A35" s="13" t="str">
        <x:v>QA-NUM-001</x:v>
      </x:c>
      <x:c r="B35" s="13" t="str">
        <x:v>Series iniciales del tenant digital</x:v>
      </x:c>
      <x:c r="C35" s="13" t="str">
        <x:v>S 1/S 2; series vacías y QA-FF-01; inicio 100; grupo G 1/G 2 y dos sesiones.
Tenant nuevo</x:v>
      </x:c>
      <x:c r="D35" s="13" t="str">
        <x:v>1. Leer series y configuraciones
2. Abrir selector de comprobantes
3. Comparar tipos básicos y series internas</x:v>
      </x:c>
      <x:c r="E35" s="13" t="str">
        <x:v>01/FE/07/08 tienen serie vacía inicial e inicio 1; NV 01/AI 01/AS 01/AT 01 conservan su contrato. La fila FE no habilita emisión con document_type_id=FE.</x:v>
      </x:c>
      <x:c r="F35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36" ht="56" customHeight="1">
      <x:c r="A36" s="13" t="str">
        <x:v>QA-NUM-002</x:v>
      </x:c>
      <x:c r="B36" s="13" t="str">
        <x:v>Crear serie vacía</x:v>
      </x:c>
      <x:c r="C36" s="13" t="str">
        <x:v>S 1/S 2; series vacías y QA-FF-01; inicio 100; grupo G 1/G 2 y dos sesiones.
Sin configuración vacía para tipo/sucursal del fixture</x:v>
      </x:c>
      <x:c r="D36" s="13" t="str">
        <x:v>1. Guardar omitiendo serie y repetir con null, vacío y espacios en fixtures independientes
2. Leer valor persistido
3. Abrir selector</x:v>
      </x:c>
      <x:c r="E36" s="13" t="str">
        <x:v>Se normaliza a cadena vacía; etiqueta visual vacía seleccionable sin mostrar ID, Sin serie ni marcador técnico.</x:v>
      </x:c>
      <x:c r="F36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37" ht="56" customHeight="1">
      <x:c r="A37" s="13" t="str">
        <x:v>QA-NUM-003</x:v>
      </x:c>
      <x:c r="B37" s="13" t="str">
        <x:v>Normalizar serie con guiones</x:v>
      </x:c>
      <x:c r="C37" s="13" t="str">
        <x:v>S 1/S 2; series vacías y QA-FF-01; inicio 100; grupo G 1/G 2 y dos sesiones.
Serie nueva sin usar</x:v>
      </x:c>
      <x:c r="D37" s="13" t="str">
        <x:v>1. Ingresar qa-ff-01 con espacios externos
2. Guardar
3. Crear factura y buscar referencia</x:v>
      </x:c>
      <x:c r="E37" s="13" t="str">
        <x:v>Serie persistida QA-FF-01, referencia con último guion como separador del número; guiones internos conservados.</x:v>
      </x:c>
      <x:c r="F37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38" ht="56" customHeight="1">
      <x:c r="A38" s="13" t="str">
        <x:v>QA-NUM-004</x:v>
      </x:c>
      <x:c r="B38" s="13" t="str">
        <x:v>Longitud y caracteres de serie</x:v>
      </x:c>
      <x:c r="C38" s="13" t="str">
        <x:v>S 1/S 2; series vacías y QA-FF-01; inicio 100; grupo G 1/G 2 y dos sesiones.
Configuración nueva</x:v>
      </x:c>
      <x:c r="D38" s="13" t="str">
        <x:v>1. Guardar código de 20 caracteres
2. Probar 21, espacio interno, acento, barra y símbolo por separado
3. Leer errores y filas</x:v>
      </x:c>
      <x:c r="E38" s="13" t="str">
        <x:v>20 caracteres ASCII letras/números/guiones admitidos; entradas inválidas rechazadas sin crear configuración.</x:v>
      </x:c>
      <x:c r="F38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39" ht="56" customHeight="1">
      <x:c r="A39" s="13" t="str">
        <x:v>QA-NUM-005</x:v>
      </x:c>
      <x:c r="B39" s="13" t="str">
        <x:v>Prefijo libre en tipo vigente</x:v>
      </x:c>
      <x:c r="C39" s="13" t="str">
        <x:v>S 1/S 2; series vacías y QA-FF-01; inicio 100; grupo G 1/G 2 y dos sesiones.
Tipo Factura 01</x:v>
      </x:c>
      <x:c r="D39" s="13" t="str">
        <x:v>1. Crear series BB-QA, BC-QA, BD-QA en fixtures distintos
2. Guardar factura 01 con cada una
3. Leer documento</x:v>
      </x:c>
      <x:c r="E39" s="13" t="str">
        <x:v>No se infiere Boleta del prefijo. La restricción de Boleta corresponde al tipo 03.</x:v>
      </x:c>
      <x:c r="F39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40" ht="56" customHeight="1">
      <x:c r="A40" s="13" t="str">
        <x:v>QA-NUM-006</x:v>
      </x:c>
      <x:c r="B40" s="13" t="str">
        <x:v>Inicio configurado 100</x:v>
      </x:c>
      <x:c r="C40" s="13" t="str">
        <x:v>S 1/S 2; series vacías y QA-FF-01; inicio 100; grupo G 1/G 2 y dos sesiones.
Serie nueva con inicio 100</x:v>
      </x:c>
      <x:c r="D40" s="13" t="str">
        <x:v>1. Abrir formulario y cancelar
2. Guardar primera factura
3. Guardar segunda</x:v>
      </x:c>
      <x:c r="E40" s="13" t="str">
        <x:v>Abrir no consume números; primero 100 y después 101, presentados 00000100 y 00000101.</x:v>
      </x:c>
      <x:c r="F40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41" ht="56" customHeight="1">
      <x:c r="A41" s="13" t="str">
        <x:v>QA-NUM-007</x:v>
      </x:c>
      <x:c r="B41" s="13" t="str">
        <x:v>Rollback no consume uso ni factura</x:v>
      </x:c>
      <x:c r="C41" s="13" t="str">
        <x:v>S 1/S 2; series vacías y QA-FF-01; inicio 100; grupo G 1/G 2 y dos sesiones.
Serie nueva sin usar; fallo local inyectado</x:v>
      </x:c>
      <x:c r="D41" s="13" t="str">
        <x:v>1. Guardar forzando error antes de commit
2. Leer documentos y in_use
3. Quitar fallo y guardar</x:v>
      </x:c>
      <x:c r="E41" s="13" t="str">
        <x:v>No queda factura parcial ni serie marcada en uso; siguiente guardado usa el primer número configurado.</x:v>
      </x:c>
      <x:c r="F41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42" ht="56" customHeight="1">
      <x:c r="A42" s="13" t="str">
        <x:v>QA-NUM-008</x:v>
      </x:c>
      <x:c r="B42" s="13" t="str">
        <x:v>Serie utilizada no se modifica ni elimina</x:v>
      </x:c>
      <x:c r="C42" s="13" t="str">
        <x:v>S 1/S 2; series vacías y QA-FF-01; inicio 100; grupo G 1/G 2 y dos sesiones.
Serie con documentos e in_use</x:v>
      </x:c>
      <x:c r="D42" s="13" t="str">
        <x:v>1. Intentar cambiar inicio/código/tipo y eliminar
2. Repetir por petición directa
3. Comparar configuración</x:v>
      </x:c>
      <x:c r="E42" s="13" t="str">
        <x:v>Operaciones bloqueadas aun si el fixture no tiene el flag in_use; registros existentes mantienen numeración.</x:v>
      </x:c>
      <x:c r="F42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43" ht="56" customHeight="1">
      <x:c r="A43" s="13" t="str">
        <x:v>QA-NUM-009</x:v>
      </x:c>
      <x:c r="B43" s="13" t="str">
        <x:v>Unicidad de serie vacía por sucursal y tipo</x:v>
      </x:c>
      <x:c r="C43" s="13" t="str">
        <x:v>S 1/S 2; series vacías y QA-FF-01; inicio 100; grupo G 1/G 2 y dos sesiones.
Serie vacía normal existente en S 1</x:v>
      </x:c>
      <x:c r="D43" s="13" t="str">
        <x:v>1. Crear vacía dedicada o contingencia para mismo tipo/S 1
2. Crear vacía mismo tipo en S 2
3. Crear vacía tipo distinto en S 1</x:v>
      </x:c>
      <x:c r="E43" s="13" t="str">
        <x:v>Duplicado del mismo tipo/S 1 se rechaza entre categorías; combinaciones distintas admitidas según contrato de sucursal.</x:v>
      </x:c>
      <x:c r="F43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44" ht="56" customHeight="1">
      <x:c r="A44" s="13" t="str">
        <x:v>QA-NUM-010</x:v>
      </x:c>
      <x:c r="B44" s="13" t="str">
        <x:v>Código con contenido duplicado entre sucursales</x:v>
      </x:c>
      <x:c r="C44" s="13" t="str">
        <x:v>S 1/S 2; series vacías y QA-FF-01; inicio 100; grupo G 1/G 2 y dos sesiones.
Código no vacío del tipo 01 usado en S 1</x:v>
      </x:c>
      <x:c r="D44" s="13" t="str">
        <x:v>1. Intentar el mismo código/tipo en S 2
2. Repetir concurrentemente
3. Leer filas</x:v>
      </x:c>
      <x:c r="E44" s="13" t="str">
        <x:v>Validación empresarial bajo bloqueo impide duplicidad del código con contenido por tipo. No confundir con unicidad de serie vacía.</x:v>
      </x:c>
      <x:c r="F44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45" ht="56" customHeight="1">
      <x:c r="A45" s="13" t="str">
        <x:v>QA-NUM-011</x:v>
      </x:c>
      <x:c r="B45" s="13" t="str">
        <x:v>Concurrencia del correlativo</x:v>
      </x:c>
      <x:c r="C45" s="13" t="str">
        <x:v>S 1/S 2; series vacías y QA-FF-01; inicio 100; grupo G 1/G 2 y dos sesiones.
Dos sesiones autorizadas, misma serie</x:v>
      </x:c>
      <x:c r="D45" s="13" t="str">
        <x:v>1. Enviar dos ventas distintas simultáneamente
2. Esperar ambas respuestas
3. Leer números y filas</x:v>
      </x:c>
      <x:c r="E45" s="13" t="str">
        <x:v>Dos documentos distintos con correlativos únicos y consecutivos; pagos y movimientos corresponden a cada documento.</x:v>
      </x:c>
      <x:c r="F45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46" ht="56" customHeight="1">
      <x:c r="A46" s="13" t="str">
        <x:v>QA-NUM-012</x:v>
      </x:c>
      <x:c r="B46" s="13" t="str">
        <x:v>Número explícito duplicado</x:v>
      </x:c>
      <x:c r="C46" s="13" t="str">
        <x:v>S 1/S 2; series vacías y QA-FF-01; inicio 100; grupo G 1/G 2 y dos sesiones.
Factura existente</x:v>
      </x:c>
      <x:c r="D46" s="13" t="str">
        <x:v>1. Repetir identidad sucursal/ambiente/tipo/serie/número en petición manipulada
2. Registrar respuesta
3. Comparar conteos</x:v>
      </x:c>
      <x:c r="E46" s="13" t="str">
        <x:v>Duplicado rechazado sin otra venta, pago, stock o emisión.</x:v>
      </x:c>
      <x:c r="F46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47" ht="56" customHeight="1">
      <x:c r="A47" s="13" t="str">
        <x:v>QA-NUM-013</x:v>
      </x:c>
      <x:c r="B47" s="13" t="str">
        <x:v>Grupo dedicado del dispositivo</x:v>
      </x:c>
      <x:c r="C47" s="13" t="str">
        <x:v>S 1/S 2; series vacías y QA-FF-01; inicio 100; grupo G 1/G 2 y dos sesiones.
G 1 con serie D 1 y equipo vinculado</x:v>
      </x:c>
      <x:c r="D47" s="13" t="str">
        <x:v>1. Abrir formulario con equipo G 1
2. Cambiar cliente y recargar
3. Intentar series G 2/no autorizadas por POST</x:v>
      </x:c>
      <x:c r="E47" s="13" t="str">
        <x:v>Sólo series autorizadas para G 1. ID/cookie manipulados no autorizan otra sucursal o grupo.</x:v>
      </x:c>
      <x:c r="F47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48" ht="56" customHeight="1">
      <x:c r="A48" s="13" t="str">
        <x:v>QA-NUM-014</x:v>
      </x:c>
      <x:c r="B48" s="13" t="str">
        <x:v>Equipo sin grupo</x:v>
      </x:c>
      <x:c r="C48" s="13" t="str">
        <x:v>S 1/S 2; series vacías y QA-FF-01; inicio 100; grupo G 1/G 2 y dos sesiones.
Series normales y dedicadas</x:v>
      </x:c>
      <x:c r="D48" s="13" t="str">
        <x:v>1. Abrir desde sesión sin vínculo
2. Listar series
3. Intentar dedicada por petición directa</x:v>
      </x:c>
      <x:c r="E48" s="13" t="str">
        <x:v>Resolver permite sólo series no dedicadas al equipo sin grupo; selección no autorizada se rechaza.</x:v>
      </x:c>
      <x:c r="F48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49" ht="56" customHeight="1">
      <x:c r="A49" s="13" t="str">
        <x:v>QA-NUM-015</x:v>
      </x:c>
      <x:c r="B49" s="13" t="str">
        <x:v>Desvincular y recuperar equipo</x:v>
      </x:c>
      <x:c r="C49" s="13" t="str">
        <x:v>S 1/S 2; series vacías y QA-FF-01; inicio 100; grupo G 1/G 2 y dos sesiones.
Equipo QA vinculado</x:v>
      </x:c>
      <x:c r="D49" s="13" t="str">
        <x:v>1. Usar perfil y administración para desvincular
2. Recuperar vínculo autorizado
3. Reabrir ventas y reportes</x:v>
      </x:c>
      <x:c r="E49" s="13" t="str">
        <x:v>Vínculo actualizado sin apropiarse de otro grupo; reportes no quedan filtrados por grupo de dispositivo.</x:v>
      </x:c>
      <x:c r="F49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50" ht="56" customHeight="1">
      <x:c r="A50" s="13" t="str">
        <x:v>QA-NUM-016</x:v>
      </x:c>
      <x:c r="B50" s="13" t="str">
        <x:v>Todas las pestañas de numeración</x:v>
      </x:c>
      <x:c r="C50" s="13" t="str">
        <x:v>S 1/S 2; series vacías y QA-FF-01; inicio 100; grupo G 1/G 2 y dos sesiones.
Administrador digital</x:v>
      </x:c>
      <x:c r="D50" s="13" t="str">
        <x:v>1. Recorrer Todos/Básico/Avanzado/Interno/Dedicado/Contingencia
2. Abrir Nuevo, Cancelar, Guardar y popup Número con foco/clic/hover
3. Comprobar red</x:v>
      </x:c>
      <x:c r="E50" s="13" t="str">
        <x:v>Opciones y filtros coherentes; Número representa inicio; guardar series no llama a HKA ni ofrece perfiles/reservas fiscales.</x:v>
      </x:c>
      <x:c r="F50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51" ht="56" customHeight="1">
      <x:c r="A51" s="13" t="str">
        <x:v>QA-NUM-017</x:v>
      </x:c>
      <x:c r="B51" s="13" t="str">
        <x:v>Permiso de administrar series</x:v>
      </x:c>
      <x:c r="C51" s="13" t="str">
        <x:v>S 1/S 2; series vacías y QA-FF-01; inicio 100; grupo G 1/G 2 y dos sesiones.
Vendedor sin administración</x:v>
      </x:c>
      <x:c r="D51" s="13" t="str">
        <x:v>1. Intentar crear serie, grupo, vínculo y cambiar correlativo por UI/HTTP
2. Leer base
3. Contar efectos</x:v>
      </x:c>
      <x:c r="E51" s="13" t="str">
        <x:v>Administración restringida en servidor; ningún cambio por acceso directo.</x:v>
      </x:c>
      <x:c r="F51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52" ht="56" customHeight="1">
      <x:c r="A52" s="13" t="str">
        <x:v>QA-NUM-018</x:v>
      </x:c>
      <x:c r="B52" s="13" t="str">
        <x:v>Ocho dígitos y números largos</x:v>
      </x:c>
      <x:c r="C52" s="13" t="str">
        <x:v>S 1/S 2; series vacías y QA-FF-01; inicio 100; grupo G 1/G 2 y dos sesiones.
Fixtures número 25 y &gt;8 dígitos</x:v>
      </x:c>
      <x:c r="D52" s="13" t="str">
        <x:v>1. Consultar listado, detalle, nota, reporte y nombres
2. Comparar número persistido y payload
3. Leer con y sin serie</x:v>
      </x:c>
      <x:c r="E52" s="13" t="str">
        <x:v>Mínimo ocho dígitos sin truncar largos; número fiscal persistido y HKA conservan original 25, sin relleno usado como nueva identidad.</x:v>
      </x:c>
      <x:c r="F52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53" ht="56" customHeight="1">
      <x:c r="A53" s="13" t="str">
        <x:v>QA-NUM-019</x:v>
      </x:c>
      <x:c r="B53" s="13" t="str">
        <x:v>Dos sucursales sin serie y mismo número</x:v>
      </x:c>
      <x:c r="C53" s="13" t="str">
        <x:v>S 1/S 2; series vacías y QA-FF-01; inicio 100; grupo G 1/G 2 y dos sesiones.
Fixtures locales S 1/S 2 con número 25</x:v>
      </x:c>
      <x:c r="D53" s="13" t="str">
        <x:v>1. Buscar sin indicar sucursal
2. Consultar con sucursal autorizada
3. Intentar enviar HKA en simulación</x:v>
      </x:c>
      <x:c r="E53" s="13" t="str">
        <x:v>Consultas ambiguas exigen alcance; identidad remota serie/número duplicada se bloquea explícitamente. No se cambia la serie ni se inventa control.</x:v>
      </x:c>
      <x:c r="F53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54" ht="56" customHeight="1">
      <x:c r="A54" s="13" t="str">
        <x:v>QA-NUM-020</x:v>
      </x:c>
      <x:c r="B54" s="13" t="str">
        <x:v>Filtro de serie vacía</x:v>
      </x:c>
      <x:c r="C54" s="13" t="str">
        <x:v>S 1/S 2; series vacías y QA-FF-01; inicio 100; grupo G 1/G 2 y dos sesiones.
Listado con series vacías y con contenido</x:v>
      </x:c>
      <x:c r="D54" s="13" t="str">
        <x:v>1. Filtrar exclusivamente vacía
2. Limpiar filtro
3. Inspeccionar request</x:v>
      </x:c>
      <x:c r="E54" s="13" t="str">
        <x:v>Marcador __without_series__ sólo filtra; vacío/null limpia; marcador no se persiste ni aparece en nombre/payload.</x:v>
      </x:c>
      <x:c r="F54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55" ht="56" customHeight="1">
      <x:c r="A55" s="13" t="str">
        <x:v>QA-NUM-021</x:v>
      </x:c>
      <x:c r="B55" s="13" t="str">
        <x:v>Número de control independiente</x:v>
      </x:c>
      <x:c r="C55" s="13" t="str">
        <x:v>S 1/S 2; series vacías y QA-FF-01; inicio 100; grupo G 1/G 2 y dos sesiones.
Factura confirmada con control de prefijo/ceros</x:v>
      </x:c>
      <x:c r="D55" s="13" t="str">
        <x:v>1. Leer control y número en todas las vistas
2. Enviar control_number /issuer por endpoint comercial
3. Comprobar documento</x:v>
      </x:c>
      <x:c r="E55" s="13" t="str">
        <x:v>Control íntegro e independiente; request comercial no lo asigna. Número, serie y control no se sustituyen entre sí.</x:v>
      </x:c>
      <x:c r="F55" s="13" t="str">
        <x:v>Fuentes: app/Services/SeriesNumbering.php; app/Services/SeriesAdministration.php; app/Services/SeriesResolver.php; app/Services/Fiscal/FiscalIdentity.php; .codex/skills/mantener-numeracion-fiscal-venezuela-pro9/SKILL.md
Entrada: Sucursales → Numeración y emisión; creación de documentos</x:v>
      </x:c>
    </x:row>
    <x:row r="56" ht="56" customHeight="1">
      <x:c r="A56" s="13" t="str">
        <x:v>QA-CLI-001</x:v>
      </x:c>
      <x:c r="B56" s="13" t="str">
        <x:v>Buscar por nombre y número</x:v>
      </x:c>
      <x:c r="C56" s="13" t="str">
        <x:v>Ocho clientes domésticos, ND, inactivo, contactos largos, dos direcciones y tercero.
Compradores con prefijos visibles</x:v>
      </x:c>
      <x:c r="D56" s="13" t="str">
        <x:v>1. Buscar nombre parcial
2. Buscar número crudo y presentación prefijada
3. Seleccionar y guardar factura</x:v>
      </x:c>
      <x:c r="E56" s="13" t="str">
        <x:v>Se selecciona el ID correcto, sin mezclar tipo/número con otro cliente; snapshot coincide con la selección.</x:v>
      </x:c>
      <x:c r="F56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57" ht="56" customHeight="1">
      <x:c r="A57" s="13" t="str">
        <x:v>QA-CLI-002</x:v>
      </x:c>
      <x:c r="B57" s="13" t="str">
        <x:v>Crear comprador desde formulario</x:v>
      </x:c>
      <x:c r="C57" s="13" t="str">
        <x:v>Ocho clientes domésticos, ND, inactivo, contactos largos, dos direcciones y tercero.
Factura en borrador</x:v>
      </x:c>
      <x:c r="D57" s="13" t="str">
        <x:v>1. Abrir Nuevo cliente
2. Guardar datos válidos domésticos
3. Volver al borrador y seleccionar</x:v>
      </x:c>
      <x:c r="E57" s="13" t="str">
        <x:v>Cliente nuevo aparece seleccionado una vez y conserva borrador, serie, artículos y pagos.</x:v>
      </x:c>
      <x:c r="F57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58" ht="56" customHeight="1">
      <x:c r="A58" s="13" t="str">
        <x:v>QA-CLI-003</x:v>
      </x:c>
      <x:c r="B58" s="13" t="str">
        <x:v>Editar comprador y cancelar</x:v>
      </x:c>
      <x:c r="C58" s="13" t="str">
        <x:v>Ocho clientes domésticos, ND, inactivo, contactos largos, dos direcciones y tercero.
Cliente seleccionado y factura borrador</x:v>
      </x:c>
      <x:c r="D58" s="13" t="str">
        <x:v>1. Abrir editar
2. Modificar contacto y cancelar
3. Reabrir y guardar cambio válido</x:v>
      </x:c>
      <x:c r="E58" s="13" t="str">
        <x:v>Cancelar no modifica datos; guardar actualiza selección y snapshot al registrar la factura.</x:v>
      </x:c>
      <x:c r="F58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59" ht="56" customHeight="1">
      <x:c r="A59" s="13" t="str">
        <x:v>QA-CLI-004</x:v>
      </x:c>
      <x:c r="B59" s="13" t="str">
        <x:v>Cambiar comprador con varias direcciones</x:v>
      </x:c>
      <x:c r="C59" s="13" t="str">
        <x:v>Ocho clientes domésticos, ND, inactivo, contactos largos, dos direcciones y tercero.
Dos clientes y direcciones A 1/B 1</x:v>
      </x:c>
      <x:c r="D59" s="13" t="str">
        <x:v>1. Seleccionar A y dirección A 1
2. Cambiar a B
3. Intentar enviar A 1 como dirección de B</x:v>
      </x:c>
      <x:c r="E59" s="13" t="str">
        <x:v>Dirección corresponde al comprador actual; no queda una dirección del cliente previo ni se acepta ID ajeno.</x:v>
      </x:c>
      <x:c r="F59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60" ht="56" customHeight="1">
      <x:c r="A60" s="13" t="str">
        <x:v>QA-CLI-005</x:v>
      </x:c>
      <x:c r="B60" s="13" t="str">
        <x:v>Clientes de identidad desactivada</x:v>
      </x:c>
      <x:c r="C60" s="13" t="str">
        <x:v>Ocho clientes domésticos, ND, inactivo, contactos largos, dos direcciones y tercero.
Tipo doméstico del fixture marcado inactivo</x:v>
      </x:c>
      <x:c r="D60" s="13" t="str">
        <x:v>1. Recargar buscadores
2. Intentar ID precargado desde conversión
3. Enviar ID directamente por web/API</x:v>
      </x:c>
      <x:c r="E60" s="13" t="str">
        <x:v>Excluido y rechazado antes de venta, pagos, inventario o HKA. Restaurar catálogo QA al terminar.</x:v>
      </x:c>
      <x:c r="F60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61" ht="56" customHeight="1">
      <x:c r="A61" s="13" t="str">
        <x:v>QA-CLI-006</x:v>
      </x:c>
      <x:c r="B61" s="13" t="str">
        <x:v>ND excluido de venta interna</x:v>
      </x:c>
      <x:c r="C61" s="13" t="str">
        <x:v>Ocho clientes domésticos, ND, inactivo, contactos largos, dos direcciones y tercero.
ND activo y comprador doméstico</x:v>
      </x:c>
      <x:c r="D61" s="13" t="str">
        <x:v>1. Elegir operación 0101
2. Buscar ND
3. Enviar su ID por petición manipulada</x:v>
      </x:c>
      <x:c r="E61" s="13" t="str">
        <x:v>ND no es comprador de venta interna; servidor rechaza sin efectos. Sigue disponible exclusivamente en exportación soportada.</x:v>
      </x:c>
      <x:c r="F61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62" ht="56" customHeight="1">
      <x:c r="A62" s="13" t="str">
        <x:v>QA-CLI-007</x:v>
      </x:c>
      <x:c r="B62" s="13" t="str">
        <x:v>Identidad sin letras en número doméstico</x:v>
      </x:c>
      <x:c r="C62" s="13" t="str">
        <x:v>Ocho clientes domésticos, ND, inactivo, contactos largos, dos direcciones y tercero.
Formulario de cliente</x:v>
      </x:c>
      <x:c r="D62" s="13" t="str">
        <x:v>1. Probar número de dígitos
2. Probar J-123456789, puntos, espacios y letras
3. Leer persistencia y presentación</x:v>
      </x:c>
      <x:c r="E62" s="13" t="str">
        <x:v>Número doméstico conserva dígitos; entradas de formato inválido rechazadas; presentación añade sólo el prefijo del tipo.</x:v>
      </x:c>
      <x:c r="F62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63" ht="56" customHeight="1">
      <x:c r="A63" s="13" t="str">
        <x:v>QA-CLI-008</x:v>
      </x:c>
      <x:c r="B63" s="13" t="str">
        <x:v>Extranjero y pasaporte sin territorio VE</x:v>
      </x:c>
      <x:c r="C63" s="13" t="str">
        <x:v>Ocho clientes domésticos, ND, inactivo, contactos largos, dos direcciones y tercero.
Cliente E y 7</x:v>
      </x:c>
      <x:c r="D63" s="13" t="str">
        <x:v>1. Crear ambos sin Estado/Municipio/Parroquia
2. Enviar territorio manipulado en persona y direcciones
3. Editar y leer datos</x:v>
      </x:c>
      <x:c r="E63" s="13" t="str">
        <x:v>Controles ocultos y campos territoriales limpiados en servidor; nacionalidad extranjera sólo requerida en E.</x:v>
      </x:c>
      <x:c r="F63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64" ht="56" customHeight="1">
      <x:c r="A64" s="13" t="str">
        <x:v>QA-CLI-009</x:v>
      </x:c>
      <x:c r="B64" s="13" t="str">
        <x:v>Formato de identidad en documentos</x:v>
      </x:c>
      <x:c r="C64" s="13" t="str">
        <x:v>Ocho clientes domésticos, ND, inactivo, contactos largos, dos direcciones y tercero.
Clientes 0/1/6/7/E/C/G/R</x:v>
      </x:c>
      <x:c r="D64" s="13" t="str">
        <x:v>1. Registrar y consultar factura de cada uno mediante matriz
2. Revisar listado, detalle, PDF local/ticket y reporte
3. Comparar campo crudo</x:v>
      </x:c>
      <x:c r="E64" s="13" t="str">
        <x:v>Etiquetas sin letra redundante; números V/J/P/E/C/G/R según tipo y Doc.sin.rif sin prefijo. ND conserva número literal.</x:v>
      </x:c>
      <x:c r="F64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65" ht="56" customHeight="1">
      <x:c r="A65" s="13" t="str">
        <x:v>QA-CLI-010</x:v>
      </x:c>
      <x:c r="B65" s="13" t="str">
        <x:v>Cliente sin contacto</x:v>
      </x:c>
      <x:c r="C65" s="13" t="str">
        <x:v>Ocho clientes domésticos, ND, inactivo, contactos largos, dos direcciones y tercero.
Comprador sin email/teléfono</x:v>
      </x:c>
      <x:c r="D65" s="13" t="str">
        <x:v>1. Crear factura con envío automático configurado
2. Preparar por doble
3. Leer intención de correo y payload</x:v>
      </x:c>
      <x:c r="E65" s="13" t="str">
        <x:v>No se inventan contactos; payload omite campos vacíos y correo automático skipped si no hay correo válido. Registro comercial no depende de inventar contacto.</x:v>
      </x:c>
      <x:c r="F65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66" ht="56" customHeight="1">
      <x:c r="A66" s="13" t="str">
        <x:v>QA-CLI-011</x:v>
      </x:c>
      <x:c r="B66" s="13" t="str">
        <x:v>Snapshot del comprador</x:v>
      </x:c>
      <x:c r="C66" s="13" t="str">
        <x:v>Ocho clientes domésticos, ND, inactivo, contactos largos, dos direcciones y tercero.
Factura guardada/preparada</x:v>
      </x:c>
      <x:c r="D66" s="13" t="str">
        <x:v>1. Cambiar ficha del cliente en QA
2. Reimprimir/leer payload congelado
3. Guardar edición autorizada explícita de la factura</x:v>
      </x:c>
      <x:c r="E66" s="13" t="str">
        <x:v>Ficha no cambia el histórico; edición autorizada renueva snapshot y sigue las reglas de invalidación; factura confirmada no se edita.</x:v>
      </x:c>
      <x:c r="F66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67" ht="56" customHeight="1">
      <x:c r="A67" s="13" t="str">
        <x:v>QA-CLI-012</x:v>
      </x:c>
      <x:c r="B67" s="13" t="str">
        <x:v>Vendedor y asignación de clientes</x:v>
      </x:c>
      <x:c r="C67" s="13" t="str">
        <x:v>Ocho clientes domésticos, ND, inactivo, contactos largos, dos direcciones y tercero.
Usuario con filtro de clientes por vendedor</x:v>
      </x:c>
      <x:c r="D67" s="13" t="str">
        <x:v>1. Buscar comprador propio y ajeno
2. Intentar comprador/tercero ajeno por request
3. Leer asociación vendedor de venta</x:v>
      </x:c>
      <x:c r="E67" s="13" t="str">
        <x:v>Se aplica el alcance real de usuario; un selector filtrado no es la única barrera. Toda diferencia con el permiso configurado queda como defecto.</x:v>
      </x:c>
      <x:c r="F67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68" ht="56" customHeight="1">
      <x:c r="A68" s="13" t="str">
        <x:v>QA-CLI-013</x:v>
      </x:c>
      <x:c r="B68" s="13" t="str">
        <x:v>Fecha de emisión y vencimiento</x:v>
      </x:c>
      <x:c r="C68" s="13" t="str">
        <x:v>Ocho clientes domésticos, ND, inactivo, contactos largos, dos direcciones y tercero.
Factura ordinaria</x:v>
      </x:c>
      <x:c r="D68" s="13" t="str">
        <x:v>1. Guardar fecha actual y vencimiento válido
2. Probar vacío, texto inválido y vencimiento anterior por separado
3. Consultar reporte por fecha Caracas</x:v>
      </x:c>
      <x:c r="E68" s="13" t="str">
        <x:v>Fechas válidas persistidas y presentadas coherentes; inválidas no producen documentos parciales. Registrar como defecto si un valor inválido atraviesa el backend.</x:v>
      </x:c>
      <x:c r="F68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69" ht="56" customHeight="1">
      <x:c r="A69" s="13" t="str">
        <x:v>QA-CLI-014</x:v>
      </x:c>
      <x:c r="B69" s="13" t="str">
        <x:v>Orden de compra y observaciones</x:v>
      </x:c>
      <x:c r="C69" s="13" t="str">
        <x:v>Ocho clientes domésticos, ND, inactivo, contactos largos, dos direcciones y tercero.
Texto con tildes, salto de línea y caracteres HTML</x:v>
      </x:c>
      <x:c r="D69" s="13" t="str">
        <x:v>1. Completar ambos
2. Guardar/consultar/PDF
3. Repetir con texto de límite y exceso según request real</x:v>
      </x:c>
      <x:c r="E69" s="13" t="str">
        <x:v>Contenido se conserva sin ejecutar HTML y sin cortar importes o pie. Límites efectivos quedan inventariados y validados.</x:v>
      </x:c>
      <x:c r="F69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70" ht="56" customHeight="1">
      <x:c r="A70" s="13" t="str">
        <x:v>QA-CLI-015</x:v>
      </x:c>
      <x:c r="B70" s="13" t="str">
        <x:v>Consignado, vendedor y placa</x:v>
      </x:c>
      <x:c r="C70" s="13" t="str">
        <x:v>Ocho clientes domésticos, ND, inactivo, contactos largos, dos direcciones y tercero.
Flags y giro TAP disponibles en QA</x:v>
      </x:c>
      <x:c r="D70" s="13" t="str">
        <x:v>1. Habilitar consignado y seleccionar dirección propia
2. Seleccionar vendedor y placa
3. Guardar, deshabilitar flag y reabrir</x:v>
      </x:c>
      <x:c r="E70" s="13" t="str">
        <x:v>Opciones condicionadas por configuración conservan datos correctos; campos ocultos no introducen datos de otra persona o giro.</x:v>
      </x:c>
      <x:c r="F70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71" ht="56" customHeight="1">
      <x:c r="A71" s="13" t="str">
        <x:v>QA-CLI-016</x:v>
      </x:c>
      <x:c r="B71" s="13" t="str">
        <x:v>Venta itinerante</x:v>
      </x:c>
      <x:c r="C71" s="13" t="str">
        <x:v>Ocho clientes domésticos, ND, inactivo, contactos largos, dos direcciones y tercero.
Venta 0101 y fixture de punto itinerante</x:v>
      </x:c>
      <x:c r="D71" s="13" t="str">
        <x:v>1. Activar opción
2. Completar RIF/dirección requeridos
3. Guardar y revisar leyenda/sucursal/payload</x:v>
      </x:c>
      <x:c r="E71" s="13" t="str">
        <x:v>Datos condicionales coherentes y numeración autorizada; no se afirma soporte de regímenes HKA especiales sólo por ver un campo. Si HKA no admite la combinación, registrar su límite por separado.</x:v>
      </x:c>
      <x:c r="F71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72" ht="56" customHeight="1">
      <x:c r="A72" s="13" t="str">
        <x:v>QA-CLI-017</x:v>
      </x:c>
      <x:c r="B72" s="13" t="str">
        <x:v>Personalizar formulario</x:v>
      </x:c>
      <x:c r="C72" s="13" t="str">
        <x:v>Ocho clientes domésticos, ND, inactivo, contactos largos, dos direcciones y tercero.
Administrador y layout inicial</x:v>
      </x:c>
      <x:c r="D72" s="13" t="str">
        <x:v>1. Mover/fijar campos, cambiar ancho y guardar
2. Recargar y abrir otra sesión
3. Cancelar edición y restablecer layout</x:v>
      </x:c>
      <x:c r="E72" s="13" t="str">
        <x:v>Campos obligatorios siguen accesibles; persistencia, cancelación/restablecimiento no alteran borrador ni datos fiscales.</x:v>
      </x:c>
      <x:c r="F72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73" ht="56" customHeight="1">
      <x:c r="A73" s="13" t="str">
        <x:v>QA-CLI-018</x:v>
      </x:c>
      <x:c r="B73" s="13" t="str">
        <x:v>Información adicional y barra fijada</x:v>
      </x:c>
      <x:c r="C73" s="13" t="str">
        <x:v>Ocho clientes domésticos, ND, inactivo, contactos largos, dos direcciones y tercero.
Layout y datos generales preparados</x:v>
      </x:c>
      <x:c r="D73" s="13" t="str">
        <x:v>1. Abrir/cerrar Información adicional
2. Fijar observaciones/vendedor y usar atajos reales
3. Guardar y abrir nueva factura</x:v>
      </x:c>
      <x:c r="E73" s="13" t="str">
        <x:v>Los valores no se duplican ni desaparecen; formulario nuevo limpia datos de factura anterior.</x:v>
      </x:c>
      <x:c r="F73" s="13" t="str">
        <x:v>Fuentes: app/Services/SalesCustomerIdentityPolicy.php; resources/js/views/tenant/persons/form.vue; resources/js/views/tenant/documents/_document_form_fields_catalog.js; .codex/skills/gestionar-clientes-venezuela/SKILL.md
Entrada: Cliente y Dirección del formulario /documents/create</x:v>
      </x:c>
    </x:row>
    <x:row r="74" ht="56" customHeight="1">
      <x:c r="A74" s="13" t="str">
        <x:v>QA-ITM-001</x:v>
      </x:c>
      <x:c r="B74" s="13" t="str">
        <x:v>Agregar producto gravado</x:v>
      </x:c>
      <x:c r="C74" s="13" t="str">
        <x:v>P-G: UND gravado 116; P-E: exento 50; P-S: SERV 116; P-V, P-PACK, P-PRES, P-LOTE, P-SERIAL y almacenes QA.
P-G stock 100 y precio final 116</x:v>
      </x:c>
      <x:c r="D74" s="13" t="str">
        <x:v>1. Buscar P-G
2. Agregar cantidad 1
3. Guardar factura y leer stock/Kardex</x:v>
      </x:c>
      <x:c r="E74" s="13" t="str">
        <x:v>Una línea base 100, IVA 16, total 116; una salida de una unidad del almacén autorizado.</x:v>
      </x:c>
      <x:c r="F74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75" ht="56" customHeight="1">
      <x:c r="A75" s="13" t="str">
        <x:v>QA-ITM-002</x:v>
      </x:c>
      <x:c r="B75" s="13" t="str">
        <x:v>Agregar exento</x:v>
      </x:c>
      <x:c r="C75" s="13" t="str">
        <x:v>P-G: UND gravado 116; P-E: exento 50; P-S: SERV 116; P-V, P-PACK, P-PRES, P-LOTE, P-SERIAL y almacenes QA.
P-E precio 50</x:v>
      </x:c>
      <x:c r="D75" s="13" t="str">
        <x:v>1. Elegir afectación 20
2. Agregar cantidad 2
3. Guardar y consultar</x:v>
      </x:c>
      <x:c r="E75" s="13" t="str">
        <x:v>Base exenta 100, IVA 0 y total 100; no aparece como exportación.</x:v>
      </x:c>
      <x:c r="F75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76" ht="56" customHeight="1">
      <x:c r="A76" s="13" t="str">
        <x:v>QA-ITM-003</x:v>
      </x:c>
      <x:c r="B76" s="13" t="str">
        <x:v>Agregar servicio</x:v>
      </x:c>
      <x:c r="C76" s="13" t="str">
        <x:v>P-G: UND gravado 116; P-E: exento 50; P-S: SERV 116; P-V, P-PACK, P-PRES, P-LOTE, P-SERIAL y almacenes QA.
P-S unidad SERV</x:v>
      </x:c>
      <x:c r="D76" s="13" t="str">
        <x:v>1. Agregar servicio cantidad 1
2. Guardar factura
3. Comparar inventario antes/después</x:v>
      </x:c>
      <x:c r="E76" s="13" t="str">
        <x:v>Servicio conserva unidad/snapshot y IVA aplicable; no genera salida física de stock de un producto.</x:v>
      </x:c>
      <x:c r="F76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77" ht="56" customHeight="1">
      <x:c r="A77" s="13" t="str">
        <x:v>QA-ITM-004</x:v>
      </x:c>
      <x:c r="B77" s="13" t="str">
        <x:v>Factura mixta de producto y servicio</x:v>
      </x:c>
      <x:c r="C77" s="13" t="str">
        <x:v>P-G: UND gravado 116; P-E: exento 50; P-S: SERV 116; P-V, P-PACK, P-PRES, P-LOTE, P-SERIAL y almacenes QA.
P-G/P-E/P-S</x:v>
      </x:c>
      <x:c r="D77" s="13" t="str">
        <x:v>1. Agregar los tres
2. Modificar cantidades
3. Guardar y revisar cada línea, impuestos y stock</x:v>
      </x:c>
      <x:c r="E77" s="13" t="str">
        <x:v>Bases y alícuotas correctas por línea; sólo bienes mueven stock; total coincide con el cálculo independiente.</x:v>
      </x:c>
      <x:c r="F77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78" ht="56" customHeight="1">
      <x:c r="A78" s="13" t="str">
        <x:v>QA-ITM-005</x:v>
      </x:c>
      <x:c r="B78" s="13" t="str">
        <x:v>Buscar por código y código de barras</x:v>
      </x:c>
      <x:c r="C78" s="13" t="str">
        <x:v>P-G: UND gravado 116; P-E: exento 50; P-S: SERV 116; P-V, P-PACK, P-PRES, P-LOTE, P-SERIAL y almacenes QA.
Producto con código único y barcode</x:v>
      </x:c>
      <x:c r="D78" s="13" t="str">
        <x:v>1. Buscar por descripción/código/barcode en modos habilitados
2. Seleccionar mismo producto
3. Agregar y revisar</x:v>
      </x:c>
      <x:c r="E78" s="13" t="str">
        <x:v>Cada buscador devuelve artículo correcto sin duplicar ni vender una coincidencia parcial errónea.</x:v>
      </x:c>
      <x:c r="F78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79" ht="56" customHeight="1">
      <x:c r="A79" s="13" t="str">
        <x:v>QA-ITM-006</x:v>
      </x:c>
      <x:c r="B79" s="13" t="str">
        <x:v>Producto variable</x:v>
      </x:c>
      <x:c r="C79" s="13" t="str">
        <x:v>P-G: UND gravado 116; P-E: exento 50; P-S: SERV 116; P-V, P-PACK, P-PRES, P-LOTE, P-SERIAL y almacenes QA.
Padre P-V con dos variaciones</x:v>
      </x:c>
      <x:c r="D79" s="13" t="str">
        <x:v>1. Buscar padre y expandir
2. Seleccionar color/talla de una variación
3. Guardar y leer ID/stock</x:v>
      </x:c>
      <x:c r="E79" s="13" t="str">
        <x:v>Padre sólo agrupa; venta utiliza hijo y atributos elegidos; inventario descuenta variación, no otra ni el padre.</x:v>
      </x:c>
      <x:c r="F79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80" ht="56" customHeight="1">
      <x:c r="A80" s="13" t="str">
        <x:v>QA-ITM-007</x:v>
      </x:c>
      <x:c r="B80" s="13" t="str">
        <x:v>Variación sin stock</x:v>
      </x:c>
      <x:c r="C80" s="13" t="str">
        <x:v>P-G: UND gravado 116; P-E: exento 50; P-S: SERV 116; P-V, P-PACK, P-PRES, P-LOTE, P-SERIAL y almacenes QA.
Hijo stock cero y regla de stock activa</x:v>
      </x:c>
      <x:c r="D80" s="13" t="str">
        <x:v>1. Seleccionar hijo
2. Intentar cantidad 1 por UI y POST
3. Comparar ventas e inventario</x:v>
      </x:c>
      <x:c r="E80" s="13" t="str">
        <x:v>Se cumple la política configurada de stock; no se elude enviando el padre o un hijo no disponible.</x:v>
      </x:c>
      <x:c r="F80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81" ht="56" customHeight="1">
      <x:c r="A81" s="13" t="str">
        <x:v>QA-ITM-008</x:v>
      </x:c>
      <x:c r="B81" s="13" t="str">
        <x:v>Presentación y unidad alternativa</x:v>
      </x:c>
      <x:c r="C81" s="13" t="str">
        <x:v>P-G: UND gravado 116; P-E: exento 50; P-S: SERV 116; P-V, P-PACK, P-PRES, P-LOTE, P-SERIAL y almacenes QA.
P-PRES equivalencia 6 UND por caja</x:v>
      </x:c>
      <x:c r="D81" s="13" t="str">
        <x:v>1. Elegir caja y precio autorizado
2. Vender 2 cajas
3. Leer cantidades/stock y payload HKA</x:v>
      </x:c>
      <x:c r="E81" s="13" t="str">
        <x:v>Presentación conserva equivalencia: 12 unidades físicas descontadas cuando esa es la regla del fixture; precios y unidad HKA concilian.</x:v>
      </x:c>
      <x:c r="F81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82" ht="56" customHeight="1">
      <x:c r="A82" s="13" t="str">
        <x:v>QA-ITM-009</x:v>
      </x:c>
      <x:c r="B82" s="13" t="str">
        <x:v>Precios múltiples y último precio</x:v>
      </x:c>
      <x:c r="C82" s="13" t="str">
        <x:v>P-G: UND gravado 116; P-E: exento 50; P-S: SERV 116; P-V, P-PACK, P-PRES, P-LOTE, P-SERIAL y almacenes QA.
Producto con niveles y venta anterior</x:v>
      </x:c>
      <x:c r="D82" s="13" t="str">
        <x:v>1. Alternar precios disponibles
2. Leer último precio y selector autorizado
3. Guardar y consultar snapshot</x:v>
      </x:c>
      <x:c r="E82" s="13" t="str">
        <x:v>Precio elegido aplicado una vez; último precio es informativo y no sustituye silenciosamente la selección.</x:v>
      </x:c>
      <x:c r="F82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83" ht="56" customHeight="1">
      <x:c r="A83" s="13" t="str">
        <x:v>QA-ITM-010</x:v>
      </x:c>
      <x:c r="B83" s="13" t="str">
        <x:v>Conversión de moneda del artículo</x:v>
      </x:c>
      <x:c r="C83" s="13" t="str">
        <x:v>P-G: UND gravado 116; P-E: exento 50; P-S: SERV 116; P-V, P-PACK, P-PRES, P-LOTE, P-SERIAL y almacenes QA.
Artículo USD y factura VES con tasa R 1</x:v>
      </x:c>
      <x:c r="D83" s="13" t="str">
        <x:v>1. Seleccionar conversión habilitada
2. Agregar y cambiar moneda documental antes de guardar
3. Comparar cálculo independiente</x:v>
      </x:c>
      <x:c r="E83" s="13" t="str">
        <x:v>Se convierte en dirección correcta con tasa congelada; no se duplica conversión al alternar o reabrir.</x:v>
      </x:c>
      <x:c r="F83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84" ht="56" customHeight="1">
      <x:c r="A84" s="13" t="str">
        <x:v>QA-ITM-011</x:v>
      </x:c>
      <x:c r="B84" s="13" t="str">
        <x:v>Pack o conjunto</x:v>
      </x:c>
      <x:c r="C84" s="13" t="str">
        <x:v>P-G: UND gravado 116; P-E: exento 50; P-S: SERV 116; P-V, P-PACK, P-PRES, P-LOTE, P-SERIAL y almacenes QA.
Pack con componentes y stock conocido</x:v>
      </x:c>
      <x:c r="D84" s="13" t="str">
        <x:v>1. Agregar un pack
2. Guardar
3. Leer snapshot y Kardex del pack/componentes</x:v>
      </x:c>
      <x:c r="E84" s="13" t="str">
        <x:v>Componentes y descripción concuerdan con la regla del pack registrada antes; no hay doble descuento de stock. Si la regla no está definida, bloquear sólo la comprobación dependiente hasta fijar el oráculo.</x:v>
      </x:c>
      <x:c r="F84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85" ht="56" customHeight="1">
      <x:c r="A85" s="13" t="str">
        <x:v>QA-ITM-012</x:v>
      </x:c>
      <x:c r="B85" s="13" t="str">
        <x:v>Selección de lotes obligatoria</x:v>
      </x:c>
      <x:c r="C85" s="13" t="str">
        <x:v>P-G: UND gravado 116; P-E: exento 50; P-S: SERV 116; P-V, P-PACK, P-PRES, P-LOTE, P-SERIAL y almacenes QA.
P-LOTE cantidad 3</x:v>
      </x:c>
      <x:c r="D85" s="13" t="str">
        <x:v>1. Agregar sin lotes
2. Enviar selección vacía por POST
3. Leer validación y stock</x:v>
      </x:c>
      <x:c r="E85" s="13" t="str">
        <x:v>Rechazo explícito con artículo identificado; no queda factura ni reserva/movimiento parcial.</x:v>
      </x:c>
      <x:c r="F85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86" ht="56" customHeight="1">
      <x:c r="A86" s="13" t="str">
        <x:v>QA-ITM-013</x:v>
      </x:c>
      <x:c r="B86" s="13" t="str">
        <x:v>Distribuir cantidad en lotes</x:v>
      </x:c>
      <x:c r="C86" s="13" t="str">
        <x:v>P-G: UND gravado 116; P-E: exento 50; P-S: SERV 116; P-V, P-PACK, P-PRES, P-LOTE, P-SERIAL y almacenes QA.
Lotes L 1=2 y L 2=5 disponibles</x:v>
      </x:c>
      <x:c r="D86" s="13" t="str">
        <x:v>1. Seleccionar venta 3 como L 1=2/L 2=1
2. Guardar
3. Consultar compromisos y Kardex</x:v>
      </x:c>
      <x:c r="E86" s="13" t="str">
        <x:v>Suma de lotes exactamente 3; cada lote del artículo y almacén correcto se afecta una vez.</x:v>
      </x:c>
      <x:c r="F86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87" ht="56" customHeight="1">
      <x:c r="A87" s="13" t="str">
        <x:v>QA-ITM-014</x:v>
      </x:c>
      <x:c r="B87" s="13" t="str">
        <x:v>Lotes inválidos o suma distinta</x:v>
      </x:c>
      <x:c r="C87" s="13" t="str">
        <x:v>P-G: UND gravado 116; P-E: exento 50; P-S: SERV 116; P-V, P-PACK, P-PRES, P-LOTE, P-SERIAL y almacenes QA.
P-LOTE venta 3</x:v>
      </x:c>
      <x:c r="D87" s="13" t="str">
        <x:v>1. Enviar suma 2 o 4, cantidad cero, lote sin ID y lote ajeno en variantes independientes
2. Guardar
3. Leer rechazo</x:v>
      </x:c>
      <x:c r="E87" s="13" t="str">
        <x:v>No se admite asignación incoherente o ajena. Caso que se acepte sin autorización o stock adecuado se registra Reprobó.</x:v>
      </x:c>
      <x:c r="F87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88" ht="56" customHeight="1">
      <x:c r="A88" s="13" t="str">
        <x:v>QA-ITM-015</x:v>
      </x:c>
      <x:c r="B88" s="13" t="str">
        <x:v>Seriales únicos</x:v>
      </x:c>
      <x:c r="C88" s="13" t="str">
        <x:v>P-G: UND gravado 116; P-E: exento 50; P-S: SERV 116; P-V, P-PACK, P-PRES, P-LOTE, P-SERIAL y almacenes QA.
P-SERIAL con S-A/S-B</x:v>
      </x:c>
      <x:c r="D88" s="13" t="str">
        <x:v>1. Seleccionar serial y guardar
2. Intentar venderlo de nuevo
3. Probar serial de otro artículo</x:v>
      </x:c>
      <x:c r="E88" s="13" t="str">
        <x:v>Cada serial pertenece al artículo y no se vende dos veces; errores no afectan seriales válidos restantes.</x:v>
      </x:c>
      <x:c r="F88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89" ht="56" customHeight="1">
      <x:c r="A89" s="13" t="str">
        <x:v>QA-ITM-016</x:v>
      </x:c>
      <x:c r="B89" s="13" t="str">
        <x:v>Elegir almacén</x:v>
      </x:c>
      <x:c r="C89" s="13" t="str">
        <x:v>P-G: UND gravado 116; P-E: exento 50; P-S: SERV 116; P-V, P-PACK, P-PRES, P-LOTE, P-SERIAL y almacenes QA.
Dos almacenes y existencias distintas</x:v>
      </x:c>
      <x:c r="D89" s="13" t="str">
        <x:v>1. Seleccionar almacén autorizado
2. Guardar
3. Intentar almacén de otra sucursal por POST</x:v>
      </x:c>
      <x:c r="E89" s="13" t="str">
        <x:v>Movimiento coincide con almacén autorizado y sucursal de venta; no se confunde ID de sucursal con ID de almacén.</x:v>
      </x:c>
      <x:c r="F89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90" ht="56" customHeight="1">
      <x:c r="A90" s="13" t="str">
        <x:v>QA-ITM-017</x:v>
      </x:c>
      <x:c r="B90" s="13" t="str">
        <x:v>Cantidad decimal y precisión</x:v>
      </x:c>
      <x:c r="C90" s="13" t="str">
        <x:v>P-G: UND gravado 116; P-E: exento 50; P-S: SERV 116; P-V, P-PACK, P-PRES, P-LOTE, P-SERIAL y almacenes QA.
Artículo fraccionable</x:v>
      </x:c>
      <x:c r="D90" s="13" t="str">
        <x:v>1. Vender 0.1250 y 1.2345 en variantes
2. Probar más precisión y límites observados
3. Comparar cantidad persistida, stock y total</x:v>
      </x:c>
      <x:c r="E90" s="13" t="str">
        <x:v>Precisión contractual identificada y coherente; ningún redondeo silencioso produce saldo de lote/stock distinto del vendido.</x:v>
      </x:c>
      <x:c r="F90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91" ht="56" customHeight="1">
      <x:c r="A91" s="13" t="str">
        <x:v>QA-ITM-018</x:v>
      </x:c>
      <x:c r="B91" s="13" t="str">
        <x:v>Cantidad inválida</x:v>
      </x:c>
      <x:c r="C91" s="13" t="str">
        <x:v>P-G: UND gravado 116; P-E: exento 50; P-S: SERV 116; P-V, P-PACK, P-PRES, P-LOTE, P-SERIAL y almacenes QA.
Borrador P-G</x:v>
      </x:c>
      <x:c r="D91" s="13" t="str">
        <x:v>1. Enviar cero, negativo, vacío y texto por separado
2. Intentar generar
3. Leer conteos y errores</x:v>
      </x:c>
      <x:c r="E91" s="13" t="str">
        <x:v>Cantidad inválida rechazada antes de efectos comerciales o HTTP fiscal.</x:v>
      </x:c>
      <x:c r="F91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92" ht="56" customHeight="1">
      <x:c r="A92" s="13" t="str">
        <x:v>QA-ITM-019</x:v>
      </x:c>
      <x:c r="B92" s="13" t="str">
        <x:v>Precio cero y precio negativo</x:v>
      </x:c>
      <x:c r="C92" s="13" t="str">
        <x:v>P-G: UND gravado 116; P-E: exento 50; P-S: SERV 116; P-V, P-PACK, P-PRES, P-LOTE, P-SERIAL y almacenes QA.
Fixture gratuito y P-G normal</x:v>
      </x:c>
      <x:c r="D92" s="13" t="str">
        <x:v>1. Probar unit_price cero por contrato vigente
2. Probar negativo y texto
3. Comprobar totals y restricciones de UI</x:v>
      </x:c>
      <x:c r="E92" s="13" t="str">
        <x:v>Backend permite precio no negativo según cálculo de línea; total cero se evalúa según flujo disponible. Negativos/texto rechazados. No forzar emisión real de un borrador cero.</x:v>
      </x:c>
      <x:c r="F92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93" ht="56" customHeight="1">
      <x:c r="A93" s="13" t="str">
        <x:v>QA-ITM-020</x:v>
      </x:c>
      <x:c r="B93" s="13" t="str">
        <x:v>Editar y eliminar línea</x:v>
      </x:c>
      <x:c r="C93" s="13" t="str">
        <x:v>P-G: UND gravado 116; P-E: exento 50; P-S: SERV 116; P-V, P-PACK, P-PRES, P-LOTE, P-SERIAL y almacenes QA.
Borrador con dos artículos</x:v>
      </x:c>
      <x:c r="D93" s="13" t="str">
        <x:v>1. Editar cantidad/precio/IVA de uno
2. Eliminar otro
3. Cancelar cambio y volver a abrir</x:v>
      </x:c>
      <x:c r="E93" s="13" t="str">
        <x:v>Recalculo exacto sin líneas fantasma; no se mueve stock antes del guardado definitivo.</x:v>
      </x:c>
      <x:c r="F93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94" ht="56" customHeight="1">
      <x:c r="A94" s="13" t="str">
        <x:v>QA-ITM-021</x:v>
      </x:c>
      <x:c r="B94" s="13" t="str">
        <x:v>Descripción comercial para PDF</x:v>
      </x:c>
      <x:c r="C94" s="13" t="str">
        <x:v>P-G: UND gravado 116; P-E: exento 50; P-S: SERV 116; P-V, P-PACK, P-PRES, P-LOTE, P-SERIAL y almacenes QA.
Flag de edición de nombre activo</x:v>
      </x:c>
      <x:c r="D94" s="13" t="str">
        <x:v>1. Cambiar name_product_pdf y añadir descripción larga
2. Guardar y reimprimir
3. Leer snapshot del catálogo</x:v>
      </x:c>
      <x:c r="E94" s="13" t="str">
        <x:v>Nombre comercial se conserva sin modificar el catálogo ni crear name_product_xml; impresión legible y texto escapado.</x:v>
      </x:c>
      <x:c r="F94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95" ht="56" customHeight="1">
      <x:c r="A95" s="13" t="str">
        <x:v>QA-ITM-022</x:v>
      </x:c>
      <x:c r="B95" s="13" t="str">
        <x:v>Atributos especiales de línea</x:v>
      </x:c>
      <x:c r="C95" s="13" t="str">
        <x:v>P-G: UND gravado 116; P-E: exento 50; P-S: SERV 116; P-V, P-PACK, P-PRES, P-LOTE, P-SERIAL y almacenes QA.
Catálogo activo de atributos inventariado</x:v>
      </x:c>
      <x:c r="D95" s="13" t="str">
        <x:v>1. Agregar cada atributo disponible en subcaso separado
2. Modificar/quitar y guardar
3. Comparar línea, PDF y payload</x:v>
      </x:c>
      <x:c r="E95" s="13" t="str">
        <x:v>Cada atributo tiene su prueba individual y efecto declarado; valores no admitidos por HKA producen diagnóstico explícito, sin fingir soporte por catálogo.</x:v>
      </x:c>
      <x:c r="F95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96" ht="56" customHeight="1">
      <x:c r="A96" s="13" t="str">
        <x:v>QA-ITM-023</x:v>
      </x:c>
      <x:c r="B96" s="13" t="str">
        <x:v>Producto restringido por comprobante</x:v>
      </x:c>
      <x:c r="C96" s="13" t="str">
        <x:v>P-G: UND gravado 116; P-E: exento 50; P-S: SERV 116; P-V, P-PACK, P-PRES, P-LOTE, P-SERIAL y almacenes QA.
Regla restrict_sale activa</x:v>
      </x:c>
      <x:c r="D96" s="13" t="str">
        <x:v>1. Intentar Factura/Nota de venta permitida y prohibida
2. Repetir desde conversión precargada y POST
3. Leer efectos</x:v>
      </x:c>
      <x:c r="E96" s="13" t="str">
        <x:v>Restricción vigente aplicada también a artículos heredados de otros documentos; no basta ocultar selector.</x:v>
      </x:c>
      <x:c r="F96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97" ht="56" customHeight="1">
      <x:c r="A97" s="13" t="str">
        <x:v>QA-ITM-024</x:v>
      </x:c>
      <x:c r="B97" s="13" t="str">
        <x:v>Unidad inactiva o sin equivalencia HKA</x:v>
      </x:c>
      <x:c r="C97" s="13" t="str">
        <x:v>P-G: UND gravado 116; P-E: exento 50; P-S: SERV 116; P-V, P-PACK, P-PRES, P-LOTE, P-SERIAL y almacenes QA.
Unidad de fixture desactivada o sin hka_code</x:v>
      </x:c>
      <x:c r="D97" s="13" t="str">
        <x:v>1. Intentar agregar/guardar/preparar
2. Leer validación
3. Comparar stock y emisión</x:v>
      </x:c>
      <x:c r="E97" s="13" t="str">
        <x:v>Error explícito de unidad; no se inventa equivalencia. El caso separa persistencia de preparación según el punto real de rechazo.</x:v>
      </x:c>
      <x:c r="F97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98" ht="56" customHeight="1">
      <x:c r="A98" s="13" t="str">
        <x:v>QA-ITM-025</x:v>
      </x:c>
      <x:c r="B98" s="13" t="str">
        <x:v>Producto inexistente o deshabilitado</x:v>
      </x:c>
      <x:c r="C98" s="13" t="str">
        <x:v>P-G: UND gravado 116; P-E: exento 50; P-S: SERV 116; P-V, P-PACK, P-PRES, P-LOTE, P-SERIAL y almacenes QA.
Borrador válido y ID ajeno</x:v>
      </x:c>
      <x:c r="D98" s="13" t="str">
        <x:v>1. Manipular item_id
2. Enviar artículo eliminado/deshabilitado
3. Comparar efectos</x:v>
      </x:c>
      <x:c r="E98" s="13" t="str">
        <x:v>No se guarda ni cobra un artículo no autorizado/inexistente; la integridad referencial y validación se comprueban en servidor.</x:v>
      </x:c>
      <x:c r="F98" s="13" t="str">
        <x:v>Fuentes: resources/js/views/tenant/documents/partials/item.vue; app/Services/Fiscal/FiscalDocumentPersistence.php; .codex/skills/mantener-flujo-productos-pro9/SKILL.md
Entrada: Agregar producto/servicio y tabla de artículos</x:v>
      </x:c>
    </x:row>
    <x:row r="99" ht="44" customHeight="1">
      <x:c r="A99" s="13" t="str">
        <x:v>QA-CAL-001</x:v>
      </x:c>
      <x:c r="B99" s="13" t="str">
        <x:v>IVA incluido y no incluido en alta de producto</x:v>
      </x:c>
      <x:c r="C99" s="13" t="str">
        <x:v>P-G=116 IVA incluido; P-E=50; R 1=40.12345678; dinero final a dos decimales.
Dos productos equivalentes base 100</x:v>
      </x:c>
      <x:c r="D99" s="13" t="str">
        <x:v>1. Configurar uno final 116 con IVA incluido y otro base 100 según UI
2. Agregar ambos
3. Comparar líneas guardadas</x:v>
      </x:c>
      <x:c r="E99" s="13" t="str">
        <x:v>Ambos resultan base 100/IVA 16/total 116 por unidad; no se agrega IVA dos veces ni se resta dos veces.</x:v>
      </x:c>
      <x:c r="F99" s="13" t="str">
        <x:v>Fuentes: app/Services/Fiscal/FiscalDocumentPersistence.php; config/venezuela.php; tests/Unit/FiscalLineCalculationTest.php
Entrada: Líneas, descuentos globales y resumen de factura</x:v>
      </x:c>
    </x:row>
    <x:row r="100" ht="44" customHeight="1">
      <x:c r="A100" s="13" t="str">
        <x:v>QA-CAL-002</x:v>
      </x:c>
      <x:c r="B100" s="13" t="str">
        <x:v>Recalcular totales manipulados</x:v>
      </x:c>
      <x:c r="C100" s="13" t="str">
        <x:v>P-G=116 IVA incluido; P-E=50; R 1=40.12345678; dinero final a dos decimales.
Factura P-G válida</x:v>
      </x:c>
      <x:c r="D100" s="13" t="str">
        <x:v>1. Enviar base 1/IVA 0/total 1 en payload con precio 116
2. Guardar
3. Leer valores del servidor</x:v>
      </x:c>
      <x:c r="E100" s="13" t="str">
        <x:v>Servidor recalcula base 100/IVA 16/total 116; valores del navegador no autorizan un menor total.</x:v>
      </x:c>
      <x:c r="F100" s="13" t="str">
        <x:v>Fuentes: app/Services/Fiscal/FiscalDocumentPersistence.php; config/venezuela.php; tests/Unit/FiscalLineCalculationTest.php
Entrada: Líneas, descuentos globales y resumen de factura</x:v>
      </x:c>
    </x:row>
    <x:row r="101" ht="44" customHeight="1">
      <x:c r="A101" s="13" t="str">
        <x:v>QA-CAL-003</x:v>
      </x:c>
      <x:c r="B101" s="13" t="str">
        <x:v>IVA configurado distinto al defecto</x:v>
      </x:c>
      <x:c r="C101" s="13" t="str">
        <x:v>P-G=116 IVA incluido; P-E=50; R 1=40.12345678; dinero final a dos decimales.
Entorno QA independiente con tasa 8 %</x:v>
      </x:c>
      <x:c r="D101" s="13" t="str">
        <x:v>1. Registrar precio 108 base 100
2. Guardar y preparar con doble
3. Restaurar fixture</x:v>
      </x:c>
      <x:c r="E101" s="13" t="str">
        <x:v>IVA 8 y equivalencia R coherentes con configuración. Es una variación técnica; no modifica el tenant principal ni afirma tasa legal.</x:v>
      </x:c>
      <x:c r="F101" s="13" t="str">
        <x:v>Fuentes: app/Services/Fiscal/FiscalDocumentPersistence.php; config/venezuela.php; tests/Unit/FiscalLineCalculationTest.php
Entrada: Líneas, descuentos globales y resumen de factura</x:v>
      </x:c>
    </x:row>
    <x:row r="102" ht="44" customHeight="1">
      <x:c r="A102" s="13" t="str">
        <x:v>QA-CAL-004</x:v>
      </x:c>
      <x:c r="B102" s="13" t="str">
        <x:v>Exento permanece a cero</x:v>
      </x:c>
      <x:c r="C102" s="13" t="str">
        <x:v>P-G=116 IVA incluido; P-E=50; R 1=40.12345678; dinero final a dos decimales.
P-E y configuración 16 %</x:v>
      </x:c>
      <x:c r="D102" s="13" t="str">
        <x:v>1. Cambiar cantidades/precio
2. Aplicar descuento admitido
3. Leer IVA y resumen</x:v>
      </x:c>
      <x:c r="E102" s="13" t="str">
        <x:v>20 siempre IVA 0; base exenta no migra a gravada ni exportación.</x:v>
      </x:c>
      <x:c r="F102" s="13" t="str">
        <x:v>Fuentes: app/Services/Fiscal/FiscalDocumentPersistence.php; config/venezuela.php; tests/Unit/FiscalLineCalculationTest.php
Entrada: Líneas, descuentos globales y resumen de factura</x:v>
      </x:c>
    </x:row>
    <x:row r="103" ht="44" customHeight="1">
      <x:c r="A103" s="13" t="str">
        <x:v>QA-CAL-005</x:v>
      </x:c>
      <x:c r="B103" s="13" t="str">
        <x:v>Afectaciones retiradas</x:v>
      </x:c>
      <x:c r="C103" s="13" t="str">
        <x:v>P-G=116 IVA incluido; P-E=50; R 1=40.12345678; dinero final a dos decimales.
Venta interna y IDs antiguos</x:v>
      </x:c>
      <x:c r="D103" s="13" t="str">
        <x:v>1. Enviar afectación desconocida, 40, inafecta/gratuita retirada
2. Enviar EXP en 0101
3. Leer errores</x:v>
      </x:c>
      <x:c r="E103" s="13" t="str">
        <x:v>Sólo 10/20 en venta interna; EXP sólo exportación. Rechazo sin remapeo silencioso.</x:v>
      </x:c>
      <x:c r="F103" s="13" t="str">
        <x:v>Fuentes: app/Services/Fiscal/FiscalDocumentPersistence.php; config/venezuela.php; tests/Unit/FiscalLineCalculationTest.php
Entrada: Líneas, descuentos globales y resumen de factura</x:v>
      </x:c>
    </x:row>
    <x:row r="104" ht="44" customHeight="1">
      <x:c r="A104" s="13" t="str">
        <x:v>QA-CAL-006</x:v>
      </x:c>
      <x:c r="B104" s="13" t="str">
        <x:v>Descuento de línea sobre base</x:v>
      </x:c>
      <x:c r="C104" s="13" t="str">
        <x:v>P-G=116 IVA incluido; P-E=50; R 1=40.12345678; dinero final a dos decimales.
P-G cantidad 1, descuento 00 al 10 %</x:v>
      </x:c>
      <x:c r="D104" s="13" t="str">
        <x:v>1. Aplicar descuento porcentual
2. Guardar
3. Comparar base/IVA/total</x:v>
      </x:c>
      <x:c r="E104" s="13" t="str">
        <x:v>Base 90, IVA 14.40 y total 104.40; descuento 10 sobre base, no sobre 116.</x:v>
      </x:c>
      <x:c r="F104" s="13" t="str">
        <x:v>Fuentes: app/Services/Fiscal/FiscalDocumentPersistence.php; config/venezuela.php; tests/Unit/FiscalLineCalculationTest.php
Entrada: Líneas, descuentos globales y resumen de factura</x:v>
      </x:c>
    </x:row>
    <x:row r="105" ht="44" customHeight="1">
      <x:c r="A105" s="13" t="str">
        <x:v>QA-CAL-007</x:v>
      </x:c>
      <x:c r="B105" s="13" t="str">
        <x:v>Descuento de línea por importe</x:v>
      </x:c>
      <x:c r="C105" s="13" t="str">
        <x:v>P-G=116 IVA incluido; P-E=50; R 1=40.12345678; dinero final a dos decimales.
P-G y descuento 00 importe 10</x:v>
      </x:c>
      <x:c r="D105" s="13" t="str">
        <x:v>1. Aplicar monto 10
2. Alternar porcentaje y volver al monto
3. Guardar y leer</x:v>
      </x:c>
      <x:c r="E105" s="13" t="str">
        <x:v>Mismo resultado base 90/IVA 14.40/104.40 sin aplicar el descuento dos veces.</x:v>
      </x:c>
      <x:c r="F105" s="13" t="str">
        <x:v>Fuentes: app/Services/Fiscal/FiscalDocumentPersistence.php; config/venezuela.php; tests/Unit/FiscalLineCalculationTest.php
Entrada: Líneas, descuentos globales y resumen de factura</x:v>
      </x:c>
    </x:row>
    <x:row r="106" ht="44" customHeight="1">
      <x:c r="A106" s="13" t="str">
        <x:v>QA-CAL-008</x:v>
      </x:c>
      <x:c r="B106" s="13" t="str">
        <x:v>Descuento sin afectar base</x:v>
      </x:c>
      <x:c r="C106" s="13" t="str">
        <x:v>P-G=116 IVA incluido; P-E=50; R 1=40.12345678; dinero final a dos decimales.
P-G con tipo distinto 00 del catálogo autorizado</x:v>
      </x:c>
      <x:c r="D106" s="13" t="str">
        <x:v>1. Aplicar importe 10
2. Guardar
3. Leer base/impuesto/total</x:v>
      </x:c>
      <x:c r="E106" s="13" t="str">
        <x:v>Según cálculo actual: base 100, IVA 16, total 106. Tipo/equivalencia deben quedar mapeados, sin asumir todos los descuentos afectan IVA.</x:v>
      </x:c>
      <x:c r="F106" s="13" t="str">
        <x:v>Fuentes: app/Services/Fiscal/FiscalDocumentPersistence.php; config/venezuela.php; tests/Unit/FiscalLineCalculationTest.php
Entrada: Líneas, descuentos globales y resumen de factura</x:v>
      </x:c>
    </x:row>
    <x:row r="107" ht="44" customHeight="1">
      <x:c r="A107" s="13" t="str">
        <x:v>QA-CAL-009</x:v>
      </x:c>
      <x:c r="B107" s="13" t="str">
        <x:v>Descuento global gravado</x:v>
      </x:c>
      <x:c r="C107" s="13" t="str">
        <x:v>P-G=116 IVA incluido; P-E=50; R 1=40.12345678; dinero final a dos decimales.
P-G con descuento global sobre base 10</x:v>
      </x:c>
      <x:c r="D107" s="13" t="str">
        <x:v>1. Activar global monto
2. Guardar
3. Comparar descuento distribuido y resumen</x:v>
      </x:c>
      <x:c r="E107" s="13" t="str">
        <x:v>Base 90/IVA 14.40/total 104.40 si el tipo ajusta base; global no se repite cuando ya se distribuyó en líneas.</x:v>
      </x:c>
      <x:c r="F107" s="13" t="str">
        <x:v>Fuentes: app/Services/Fiscal/FiscalDocumentPersistence.php; config/venezuela.php; tests/Unit/FiscalLineCalculationTest.php
Entrada: Líneas, descuentos globales y resumen de factura</x:v>
      </x:c>
    </x:row>
    <x:row r="108" ht="44" customHeight="1">
      <x:c r="A108" s="13" t="str">
        <x:v>QA-CAL-010</x:v>
      </x:c>
      <x:c r="B108" s="13" t="str">
        <x:v>Descuento global exento</x:v>
      </x:c>
      <x:c r="C108" s="13" t="str">
        <x:v>P-G=116 IVA incluido; P-E=50; R 1=40.12345678; dinero final a dos decimales.
P-E cantidad 2 base 100</x:v>
      </x:c>
      <x:c r="D108" s="13" t="str">
        <x:v>1. Aplicar descuento global exento 10
2. Guardar
3. Comparar impuestos</x:v>
      </x:c>
      <x:c r="E108" s="13" t="str">
        <x:v>Exento 90/IVA 0/total 90; no se toma descuento de una base gravada ajena.</x:v>
      </x:c>
      <x:c r="F108" s="13" t="str">
        <x:v>Fuentes: app/Services/Fiscal/FiscalDocumentPersistence.php; config/venezuela.php; tests/Unit/FiscalLineCalculationTest.php
Entrada: Líneas, descuentos globales y resumen de factura</x:v>
      </x:c>
    </x:row>
    <x:row r="109" ht="44" customHeight="1">
      <x:c r="A109" s="13" t="str">
        <x:v>QA-CAL-011</x:v>
      </x:c>
      <x:c r="B109" s="13" t="str">
        <x:v>Factura mixta con global</x:v>
      </x:c>
      <x:c r="C109" s="13" t="str">
        <x:v>P-G=116 IVA incluido; P-E=50; R 1=40.12345678; dinero final a dos decimales.
Gravado 116 y exento 50</x:v>
      </x:c>
      <x:c r="D109" s="13" t="str">
        <x:v>1. Aplicar descuento global según tipo activo
2. Calcular distribución por regla observada documentada
3. Guardar y conciliar líneas/resumen</x:v>
      </x:c>
      <x:c r="E109" s="13" t="str">
        <x:v>Bases de cada afectación y suma concilian; se identifica regla de distribución y no se deduce desde el total final únicamente.</x:v>
      </x:c>
      <x:c r="F109" s="13" t="str">
        <x:v>Fuentes: app/Services/Fiscal/FiscalDocumentPersistence.php; config/venezuela.php; tests/Unit/FiscalLineCalculationTest.php
Entrada: Líneas, descuentos globales y resumen de factura</x:v>
      </x:c>
    </x:row>
    <x:row r="110" ht="44" customHeight="1">
      <x:c r="A110" s="13" t="str">
        <x:v>QA-CAL-012</x:v>
      </x:c>
      <x:c r="B110" s="13" t="str">
        <x:v>Descuentos inválidos</x:v>
      </x:c>
      <x:c r="C110" s="13" t="str">
        <x:v>P-G=116 IVA incluido; P-E=50; R 1=40.12345678; dinero final a dos decimales.
Base 100 del fixture</x:v>
      </x:c>
      <x:c r="D110" s="13" t="str">
        <x:v>1. Probar negativo, &gt;base y porcentaje fuera del contrato
2. Enviar por POST aunque UI bloquee
3. Leer efectos</x:v>
      </x:c>
      <x:c r="E110" s="13" t="str">
        <x:v>No se genera base/total negativos ni se persiste descuento inválido. Diferencias UI/backend se reportan.</x:v>
      </x:c>
      <x:c r="F110" s="13" t="str">
        <x:v>Fuentes: app/Services/Fiscal/FiscalDocumentPersistence.php; config/venezuela.php; tests/Unit/FiscalLineCalculationTest.php
Entrada: Líneas, descuentos globales y resumen de factura</x:v>
      </x:c>
    </x:row>
    <x:row r="111" ht="44" customHeight="1">
      <x:c r="A111" s="13" t="str">
        <x:v>QA-CAL-013</x:v>
      </x:c>
      <x:c r="B111" s="13" t="str">
        <x:v>Cargos de línea</x:v>
      </x:c>
      <x:c r="C111" s="13" t="str">
        <x:v>P-G=116 IVA incluido; P-E=50; R 1=40.12345678; dinero final a dos decimales.
P-G con cargo de 10 % sobre bruto base</x:v>
      </x:c>
      <x:c r="D111" s="13" t="str">
        <x:v>1. Aplicar cargo disponible
2. Guardar
3. Leer base/IVA/total</x:v>
      </x:c>
      <x:c r="E111" s="13" t="str">
        <x:v>En cálculo actual: cargo 10, base IVA 100, IVA 16, total 126. Verificar tipo real; no atribuir IVA adicional sin contrato.</x:v>
      </x:c>
      <x:c r="F111" s="13" t="str">
        <x:v>Fuentes: app/Services/Fiscal/FiscalDocumentPersistence.php; config/venezuela.php; tests/Unit/FiscalLineCalculationTest.php
Entrada: Líneas, descuentos globales y resumen de factura</x:v>
      </x:c>
    </x:row>
    <x:row r="112" ht="44" customHeight="1">
      <x:c r="A112" s="13" t="str">
        <x:v>QA-CAL-014</x:v>
      </x:c>
      <x:c r="B112" s="13" t="str">
        <x:v>Cargos globales</x:v>
      </x:c>
      <x:c r="C112" s="13" t="str">
        <x:v>P-G=116 IVA incluido; P-E=50; R 1=40.12345678; dinero final a dos decimales.
Documento sin cargo previo</x:v>
      </x:c>
      <x:c r="D112" s="13" t="str">
        <x:v>1. Agregar cargo global positivo y quitarlo
2. Guardar variantes con/sin cargo
3. Comparar línea, resumen y HKA</x:v>
      </x:c>
      <x:c r="E112" s="13" t="str">
        <x:v>Cargo aplicado una vez conforme a tipo; total y payload adaptado concilian sin doble IVA ni doble recargo.</x:v>
      </x:c>
      <x:c r="F112" s="13" t="str">
        <x:v>Fuentes: app/Services/Fiscal/FiscalDocumentPersistence.php; config/venezuela.php; tests/Unit/FiscalLineCalculationTest.php
Entrada: Líneas, descuentos globales y resumen de factura</x:v>
      </x:c>
    </x:row>
    <x:row r="113" ht="44" customHeight="1">
      <x:c r="A113" s="13" t="str">
        <x:v>QA-CAL-015</x:v>
      </x:c>
      <x:c r="B113" s="13" t="str">
        <x:v>Todos los tipos de descuentos y cargos</x:v>
      </x:c>
      <x:c r="C113" s="13" t="str">
        <x:v>P-G=116 IVA incluido; P-E=50; R 1=40.12345678; dinero final a dos decimales.
Inventario activo y permitido del tenant</x:v>
      </x:c>
      <x:c r="D113" s="13" t="str">
        <x:v>1. Crear QA-EXT para cada tipo por línea/global disponible
2. Ejecutar porcentaje/monto cuando se ofrezcan
3. Registrar base, IVA, total y payload</x:v>
      </x:c>
      <x:c r="E113" s="13" t="str">
        <x:v>Cada opción real tiene resultado individual. Ninguna opción se considera cubierta sólo por probar otra del mismo catálogo.</x:v>
      </x:c>
      <x:c r="F113" s="13" t="str">
        <x:v>Fuentes: app/Services/Fiscal/FiscalDocumentPersistence.php; config/venezuela.php; tests/Unit/FiscalLineCalculationTest.php
Entrada: Líneas, descuentos globales y resumen de factura</x:v>
      </x:c>
    </x:row>
    <x:row r="114" ht="44" customHeight="1">
      <x:c r="A114" s="13" t="str">
        <x:v>QA-CAL-016</x:v>
      </x:c>
      <x:c r="B114" s="13" t="str">
        <x:v>Otros impuestos identificados</x:v>
      </x:c>
      <x:c r="C114" s="13" t="str">
        <x:v>P-G=116 IVA incluido; P-E=50; R 1=40.12345678; dinero final a dos decimales.
Creación por API/local soportada con taxes</x:v>
      </x:c>
      <x:c r="D114" s="13" t="str">
        <x:v>1. Enviar OTI código QA, base 100 y 2 %
2. Guardar y leer impuesto/equivalente VES
3. Enviar total_other_taxes sin detalle</x:v>
      </x:c>
      <x:c r="E114" s="13" t="str">
        <x:v>OTI 2 se conserva separado e identificado; total genérico sin detalle se rechaza. Aceptación HKA se mide aparte.</x:v>
      </x:c>
      <x:c r="F114" s="13" t="str">
        <x:v>Fuentes: app/Services/Fiscal/FiscalDocumentPersistence.php; config/venezuela.php; tests/Unit/FiscalLineCalculationTest.php
Entrada: Líneas, descuentos globales y resumen de factura</x:v>
      </x:c>
    </x:row>
    <x:row r="115" ht="44" customHeight="1">
      <x:c r="A115" s="13" t="str">
        <x:v>QA-CAL-017</x:v>
      </x:c>
      <x:c r="B115" s="13" t="str">
        <x:v>Redondeo de líneas</x:v>
      </x:c>
      <x:c r="C115" s="13" t="str">
        <x:v>P-G=116 IVA incluido; P-E=50; R 1=40.12345678; dinero final a dos decimales.
Valores 0.01,0.03 y 3 líneas repetidas gravadas</x:v>
      </x:c>
      <x:c r="D115" s="13" t="str">
        <x:v>1. Calcular con Decimal cada línea
2. Guardar
3. Comparar suma IVA y total documento</x:v>
      </x:c>
      <x:c r="E115" s="13" t="str">
        <x:v>Redondeo monetario por línea vigente y resumen concilian; no sustituir tasa precisa por un valor redondeado.</x:v>
      </x:c>
      <x:c r="F115" s="13" t="str">
        <x:v>Fuentes: app/Services/Fiscal/FiscalDocumentPersistence.php; config/venezuela.php; tests/Unit/FiscalLineCalculationTest.php
Entrada: Líneas, descuentos globales y resumen de factura</x:v>
      </x:c>
    </x:row>
    <x:row r="116" ht="44" customHeight="1">
      <x:c r="A116" s="13" t="str">
        <x:v>QA-CAL-018</x:v>
      </x:c>
      <x:c r="B116" s="13" t="str">
        <x:v>Descuento con redondeo distribuido</x:v>
      </x:c>
      <x:c r="C116" s="13" t="str">
        <x:v>P-G=116 IVA incluido; P-E=50; R 1=40.12345678; dinero final a dos decimales.
3 líneas de importes distintos</x:v>
      </x:c>
      <x:c r="D116" s="13" t="str">
        <x:v>1. Aplicar global 0.01 y 1.00 en variantes
2. Guardar y preparar HKA con doble
3. Conciliar centavos local/VES</x:v>
      </x:c>
      <x:c r="E116" s="13" t="str">
        <x:v>El centavo residual se resuelve según algoritmo documentado; descuento no desaparece ni se repite.</x:v>
      </x:c>
      <x:c r="F116" s="13" t="str">
        <x:v>Fuentes: app/Services/Fiscal/FiscalDocumentPersistence.php; config/venezuela.php; tests/Unit/FiscalLineCalculationTest.php
Entrada: Líneas, descuentos globales y resumen de factura</x:v>
      </x:c>
    </x:row>
    <x:row r="117" ht="44" customHeight="1">
      <x:c r="A117" s="13" t="str">
        <x:v>QA-CAL-019</x:v>
      </x:c>
      <x:c r="B117" s="13" t="str">
        <x:v>Total en letras y equivalentes</x:v>
      </x:c>
      <x:c r="C117" s="13" t="str">
        <x:v>P-G=116 IVA incluido; P-E=50; R 1=40.12345678; dinero final a dos decimales.
Factura VES y USD</x:v>
      </x:c>
      <x:c r="D117" s="13" t="str">
        <x:v>1. Guardar ambas
2. Revisar ticket y datos conservados
3. Comparar importe en letras y VES</x:v>
      </x:c>
      <x:c r="E117" s="13" t="str">
        <x:v>Texto y símbolos corresponden a moneda/total y no incorporan efectivo recibido o vuelto como venta.</x:v>
      </x:c>
      <x:c r="F117" s="13" t="str">
        <x:v>Fuentes: app/Services/Fiscal/FiscalDocumentPersistence.php; config/venezuela.php; tests/Unit/FiscalLineCalculationTest.php
Entrada: Líneas, descuentos globales y resumen de factura</x:v>
      </x:c>
    </x:row>
    <x:row r="118" ht="44" customHeight="1">
      <x:c r="A118" s="13" t="str">
        <x:v>QA-FAC-001</x:v>
      </x:c>
      <x:c r="B118" s="13" t="str">
        <x:v>Venta de contado pagada completamente</x:v>
      </x:c>
      <x:c r="C118" s="13" t="str">
        <x:v>Caja abierta; factura 01/0101, serie QA-FF-01 o vacía, fixtures monetarios.
P-G total 116 y caja abierta</x:v>
      </x:c>
      <x:c r="D118" s="13" t="str">
        <x:v>1. Seleccionar Contado
2. Registrar pago 116 con medio/destino activo
3. Generar y recargar</x:v>
      </x:c>
      <x:c r="E118" s="13" t="str">
        <x:v>Factura única con cobro 116 y saldo 0; resultado local y estado HKA separados; una salida de stock y una recepción real.</x:v>
      </x:c>
      <x:c r="F118" s="13" t="str">
        <x:v>Fuentes: resources/js/views/tenant/documents/invoice_generate.vue; app/CoreFacturalo/Facturalo.php; app/Http/Controllers/Tenant/DocumentController.php
Entrada: /documents/create; POST /documents</x:v>
      </x:c>
    </x:row>
    <x:row r="119" ht="44" customHeight="1">
      <x:c r="A119" s="13" t="str">
        <x:v>QA-FAC-002</x:v>
      </x:c>
      <x:c r="B119" s="13" t="str">
        <x:v>Contado con varios medios</x:v>
      </x:c>
      <x:c r="C119" s="13" t="str">
        <x:v>Caja abierta; factura 01/0101, serie QA-FF-01 o vacía, fixtures monetarios.
Total 116</x:v>
      </x:c>
      <x:c r="D119" s="13" t="str">
        <x:v>1. Agregar efectivo 60 y banco 56
2. Generar
3. Leer pagos y caja/banco</x:v>
      </x:c>
      <x:c r="E119" s="13" t="str">
        <x:v>Dos pagos reales total 116, saldo 0; cada destino recibe su importe; no se duplica recepción por mostrar total de factura.</x:v>
      </x:c>
      <x:c r="F119" s="13" t="str">
        <x:v>Fuentes: resources/js/views/tenant/documents/invoice_generate.vue; app/CoreFacturalo/Facturalo.php; app/Http/Controllers/Tenant/DocumentController.php
Entrada: /documents/create; POST /documents</x:v>
      </x:c>
    </x:row>
    <x:row r="120" ht="44" customHeight="1">
      <x:c r="A120" s="13" t="str">
        <x:v>QA-FAC-003</x:v>
      </x:c>
      <x:c r="B120" s="13" t="str">
        <x:v>Contado parcial o sin cobro</x:v>
      </x:c>
      <x:c r="C120" s="13" t="str">
        <x:v>Caja abierta; factura 01/0101, serie QA-FF-01 o vacía, fixtures monetarios.
Factura ordinaria en QA</x:v>
      </x:c>
      <x:c r="D120" s="13" t="str">
        <x:v>1. Crear variante pago 50 y variante sin pago si UI lo permite
2. Generar
3. Leer saldo y resultado HKA</x:v>
      </x:c>
      <x:c r="E120" s="13" t="str">
        <x:v>Se identifica comportamiento permitido del contado ordinario; saldo y condición no se falsean. Si hay restricción configurada, debe bloquear de modo coherente. No inventar cobros para lograr aceptación HKA.</x:v>
      </x:c>
      <x:c r="F120" s="13" t="str">
        <x:v>Fuentes: resources/js/views/tenant/documents/invoice_generate.vue; app/CoreFacturalo/Facturalo.php; app/Http/Controllers/Tenant/DocumentController.php
Entrada: /documents/create; POST /documents</x:v>
      </x:c>
    </x:row>
    <x:row r="121" ht="44" customHeight="1">
      <x:c r="A121" s="13" t="str">
        <x:v>QA-FAC-004</x:v>
      </x:c>
      <x:c r="B121" s="13" t="str">
        <x:v>Crédito sin pagos</x:v>
      </x:c>
      <x:c r="C121" s="13" t="str">
        <x:v>Caja abierta; factura 01/0101, serie QA-FF-01 o vacía, fixtures monetarios.
P-G total 116 y cliente elegible</x:v>
      </x:c>
      <x:c r="D121" s="13" t="str">
        <x:v>1. Seleccionar Crédito
2. Completar vencimiento/cuota requerida por la pantalla
3. Generar y revisar Finanzas</x:v>
      </x:c>
      <x:c r="E121" s="13" t="str">
        <x:v>Factura local con saldo 116 y sin entrada de caja; aceptación HKA se registra de manera independiente y no se presupone por el guardado.</x:v>
      </x:c>
      <x:c r="F121" s="13" t="str">
        <x:v>Fuentes: resources/js/views/tenant/documents/invoice_generate.vue; app/CoreFacturalo/Facturalo.php; app/Http/Controllers/Tenant/DocumentController.php
Entrada: /documents/create; POST /documents</x:v>
      </x:c>
    </x:row>
    <x:row r="122" ht="44" customHeight="1">
      <x:c r="A122" s="13" t="str">
        <x:v>QA-FAC-005</x:v>
      </x:c>
      <x:c r="B122" s="13" t="str">
        <x:v>Crédito con inicial</x:v>
      </x:c>
      <x:c r="C122" s="13" t="str">
        <x:v>Caja abierta; factura 01/0101, serie QA-FF-01 o vacía, fixtures monetarios.
Total 116</x:v>
      </x:c>
      <x:c r="D122" s="13" t="str">
        <x:v>1. Elegir crédito y cobrar 20 por flujo que lo soporte
2. Guardar
3. Leer vencimientos, principal y saldo</x:v>
      </x:c>
      <x:c r="E122" s="13" t="str">
        <x:v>Inicial 20 real y saldo 96; vencimientos/condición coherentes sin duplicar inicial en cuotas.</x:v>
      </x:c>
      <x:c r="F122" s="13" t="str">
        <x:v>Fuentes: resources/js/views/tenant/documents/invoice_generate.vue; app/CoreFacturalo/Facturalo.php; app/Http/Controllers/Tenant/DocumentController.php
Entrada: /documents/create; POST /documents</x:v>
      </x:c>
    </x:row>
    <x:row r="123" ht="44" customHeight="1">
      <x:c r="A123" s="13" t="str">
        <x:v>QA-FAC-006</x:v>
      </x:c>
      <x:c r="B123" s="13" t="str">
        <x:v>Crédito con cuotas</x:v>
      </x:c>
      <x:c r="C123" s="13" t="str">
        <x:v>Caja abierta; factura 01/0101, serie QA-FF-01 o vacía, fixtures monetarios.
Total 116 y opción 03 visible</x:v>
      </x:c>
      <x:c r="D123" s="13" t="str">
        <x:v>1. Crear cuotas 58+58 con fechas válidas
2. Guardar
3. Reabrir detalle y cuentas por cobrar</x:v>
      </x:c>
      <x:c r="E123" s="13" t="str">
        <x:v>Calendario persistido y suma 116; si la preparación HKA no admite condición 03, hay error explícito y factura local íntegra. No se equipara automáticamente 03 a 02.</x:v>
      </x:c>
      <x:c r="F123" s="13" t="str">
        <x:v>Fuentes: resources/js/views/tenant/documents/invoice_generate.vue; app/CoreFacturalo/Facturalo.php; app/Http/Controllers/Tenant/DocumentController.php
Entrada: /documents/create; POST /documents</x:v>
      </x:c>
    </x:row>
    <x:row r="124" ht="44" customHeight="1">
      <x:c r="A124" s="13" t="str">
        <x:v>QA-FAC-007</x:v>
      </x:c>
      <x:c r="B124" s="13" t="str">
        <x:v>Cuotas inválidas</x:v>
      </x:c>
      <x:c r="C124" s="13" t="str">
        <x:v>Caja abierta; factura 01/0101, serie QA-FF-01 o vacía, fixtures monetarios.
Crédito con cuotas</x:v>
      </x:c>
      <x:c r="D124" s="13" t="str">
        <x:v>1. Probar suma 115/117, negativo, fecha inválida y cuota vacía
2. Repetir POST
3. Leer persistencia</x:v>
      </x:c>
      <x:c r="E124" s="13" t="str">
        <x:v>Se rechazan datos que incumplen contrato de cuotas; ninguna factura parcial. Si backend acepta incoherencia, registrar defecto.</x:v>
      </x:c>
      <x:c r="F124" s="13" t="str">
        <x:v>Fuentes: resources/js/views/tenant/documents/invoice_generate.vue; app/CoreFacturalo/Facturalo.php; app/Http/Controllers/Tenant/DocumentController.php
Entrada: /documents/create; POST /documents</x:v>
      </x:c>
    </x:row>
    <x:row r="125" ht="44" customHeight="1">
      <x:c r="A125" s="13" t="str">
        <x:v>QA-FAC-008</x:v>
      </x:c>
      <x:c r="B125" s="13" t="str">
        <x:v>Cliente con crédito vencido</x:v>
      </x:c>
      <x:c r="C125" s="13" t="str">
        <x:v>Caja abierta; factura 01/0101, serie QA-FF-01 o vacía, fixtures monetarios.
Política de vencidos habilitada</x:v>
      </x:c>
      <x:c r="D125" s="13" t="str">
        <x:v>1. Seleccionar cliente vencido
2. Intentar contado/crédito según regla configurada
3. Repetir vía HTTP</x:v>
      </x:c>
      <x:c r="E125" s="13" t="str">
        <x:v>La regla efectiva de autorización se aplica con mensaje identificable y sin crear ventas prohibidas; el caso registra la configuración exacta.</x:v>
      </x:c>
      <x:c r="F125" s="13" t="str">
        <x:v>Fuentes: resources/js/views/tenant/documents/invoice_generate.vue; app/CoreFacturalo/Facturalo.php; app/Http/Controllers/Tenant/DocumentController.php
Entrada: /documents/create; POST /documents</x:v>
      </x:c>
    </x:row>
    <x:row r="126" ht="44" customHeight="1">
      <x:c r="A126" s="13" t="str">
        <x:v>QA-FAC-009</x:v>
      </x:c>
      <x:c r="B126" s="13" t="str">
        <x:v>Caja cerrada al entrar</x:v>
      </x:c>
      <x:c r="C126" s="13" t="str">
        <x:v>Caja abierta; factura 01/0101, serie QA-FF-01 o vacía, fixtures monetarios.
Usuario sin caja abierta</x:v>
      </x:c>
      <x:c r="D126" s="13" t="str">
        <x:v>1. Abrir /documents/create
2. Intentar acceso sin permiso para caja
3. Intentar POST efectivo directo</x:v>
      </x:c>
      <x:c r="E126" s="13" t="str">
        <x:v>Interfaz deriva a caja o avisa falta de permiso; cobro cash sin caja no se registra. No se crea venta huérfana de cobro.</x:v>
      </x:c>
      <x:c r="F126" s="13" t="str">
        <x:v>Fuentes: resources/js/views/tenant/documents/invoice_generate.vue; app/CoreFacturalo/Facturalo.php; app/Http/Controllers/Tenant/DocumentController.php
Entrada: /documents/create; POST /documents</x:v>
      </x:c>
    </x:row>
    <x:row r="127" ht="44" customHeight="1">
      <x:c r="A127" s="13" t="str">
        <x:v>QA-FAC-010</x:v>
      </x:c>
      <x:c r="B127" s="13" t="str">
        <x:v>Caja cerrada durante el borrador</x:v>
      </x:c>
      <x:c r="C127" s="13" t="str">
        <x:v>Caja abierta; factura 01/0101, serie QA-FF-01 o vacía, fixtures monetarios.
Caja abierta al comenzar</x:v>
      </x:c>
      <x:c r="D127" s="13" t="str">
        <x:v>1. Preparar factura
2. Cerrar caja en otra sesión
3. Guardar con destino cash</x:v>
      </x:c>
      <x:c r="E127" s="13" t="str">
        <x:v>Validación del estado actual evita recepción en caja cerrada; error conserva o recupera borrador sin factura parcial.</x:v>
      </x:c>
      <x:c r="F127" s="13" t="str">
        <x:v>Fuentes: resources/js/views/tenant/documents/invoice_generate.vue; app/CoreFacturalo/Facturalo.php; app/Http/Controllers/Tenant/DocumentController.php
Entrada: /documents/create; POST /documents</x:v>
      </x:c>
    </x:row>
    <x:row r="128" ht="44" customHeight="1">
      <x:c r="A128" s="13" t="str">
        <x:v>QA-FAC-011</x:v>
      </x:c>
      <x:c r="B128" s="13" t="str">
        <x:v>Cancelar borrador</x:v>
      </x:c>
      <x:c r="C128" s="13" t="str">
        <x:v>Caja abierta; factura 01/0101, serie QA-FF-01 o vacía, fixtures monetarios.
Borrador con líneas/pagos</x:v>
      </x:c>
      <x:c r="D128" s="13" t="str">
        <x:v>1. Cancelar/cerrar antes de Generar
2. Abrir listado
3. Leer conteos y stock</x:v>
      </x:c>
      <x:c r="E128" s="13" t="str">
        <x:v>No hay documento, pago, stock ni emisión; no se consume numeración.</x:v>
      </x:c>
      <x:c r="F128" s="13" t="str">
        <x:v>Fuentes: resources/js/views/tenant/documents/invoice_generate.vue; app/CoreFacturalo/Facturalo.php; app/Http/Controllers/Tenant/DocumentController.php
Entrada: /documents/create; POST /documents</x:v>
      </x:c>
    </x:row>
    <x:row r="129" ht="44" customHeight="1">
      <x:c r="A129" s="13" t="str">
        <x:v>QA-FAC-012</x:v>
      </x:c>
      <x:c r="B129" s="13" t="str">
        <x:v>Nueva factura después de generar</x:v>
      </x:c>
      <x:c r="C129" s="13" t="str">
        <x:v>Caja abierta; factura 01/0101, serie QA-FF-01 o vacía, fixtures monetarios.
Factura previa con cliente y observaciones</x:v>
      </x:c>
      <x:c r="D129" s="13" t="str">
        <x:v>1. Usar Nuevo comprobante
2. Inspeccionar formulario
3. Crear segunda factura distinta</x:v>
      </x:c>
      <x:c r="E129" s="13" t="str">
        <x:v>No se heredan indebidamente pagos, resultado fiscal, tercero, INCOTERM u observaciones; la serie válida se conserva según preferencias.</x:v>
      </x:c>
      <x:c r="F129" s="13" t="str">
        <x:v>Fuentes: resources/js/views/tenant/documents/invoice_generate.vue; app/CoreFacturalo/Facturalo.php; app/Http/Controllers/Tenant/DocumentController.php
Entrada: /documents/create; POST /documents</x:v>
      </x:c>
    </x:row>
    <x:row r="130" ht="44" customHeight="1">
      <x:c r="A130" s="13" t="str">
        <x:v>QA-FAC-013</x:v>
      </x:c>
      <x:c r="B130" s="13" t="str">
        <x:v>Doble clic Generar</x:v>
      </x:c>
      <x:c r="C130" s="13" t="str">
        <x:v>Caja abierta; factura 01/0101, serie QA-FF-01 o vacía, fixtures monetarios.
Dos clics rápidos o respuesta retrasada</x:v>
      </x:c>
      <x:c r="D130" s="13" t="str">
        <x:v>1. Generar dos veces desde UI
2. Contar requests
3. Leer facturas y stock</x:v>
      </x:c>
      <x:c r="E130" s="13" t="str">
        <x:v>UI impide doble envío mientras ocupado. Probar replay HTTP aparte, sin asumir idempotencia de creación general.</x:v>
      </x:c>
      <x:c r="F130" s="13" t="str">
        <x:v>Fuentes: resources/js/views/tenant/documents/invoice_generate.vue; app/CoreFacturalo/Facturalo.php; app/Http/Controllers/Tenant/DocumentController.php
Entrada: /documents/create; POST /documents</x:v>
      </x:c>
    </x:row>
    <x:row r="131" ht="44" customHeight="1">
      <x:c r="A131" s="13" t="str">
        <x:v>QA-FAC-014</x:v>
      </x:c>
      <x:c r="B131" s="13" t="str">
        <x:v>Pérdida de respuesta de creación</x:v>
      </x:c>
      <x:c r="C131" s="13" t="str">
        <x:v>Caja abierta; factura 01/0101, serie QA-FF-01 o vacía, fixtures monetarios.
Servidor guarda pero cliente pierde respuesta en doble</x:v>
      </x:c>
      <x:c r="D131" s="13" t="str">
        <x:v>1. Cortar sólo la respuesta
2. Recargar/listar por identidad de prueba
3. Repetir manualmente sólo tras conocer resultado</x:v>
      </x:c>
      <x:c r="E131" s="13" t="str">
        <x:v>Agente recupera venta existente; UI comunica situación sin inducir duplicado. Si replay de creación duplica, registrar defecto y no declarar UUID de pagos como idempotencia de ventas.</x:v>
      </x:c>
      <x:c r="F131" s="13" t="str">
        <x:v>Fuentes: resources/js/views/tenant/documents/invoice_generate.vue; app/CoreFacturalo/Facturalo.php; app/Http/Controllers/Tenant/DocumentController.php
Entrada: /documents/create; POST /documents</x:v>
      </x:c>
    </x:row>
    <x:row r="132" ht="44" customHeight="1">
      <x:c r="A132" s="13" t="str">
        <x:v>QA-FAC-015</x:v>
      </x:c>
      <x:c r="B132" s="13" t="str">
        <x:v>Límites del plan y tenant bloqueado</x:v>
      </x:c>
      <x:c r="C132" s="13" t="str">
        <x:v>Caja abierta; factura 01/0101, serie QA-FF-01 o vacía, fixtures monetarios.
Plan QA con umbral pequeño y otro tenant bloqueado</x:v>
      </x:c>
      <x:c r="D132" s="13" t="str">
        <x:v>1. Alcanzar límite controlado
2. Intentar nueva factura por web/API
3. Revisar conteos</x:v>
      </x:c>
      <x:c r="E132" s="13" t="str">
        <x:v>Restricciones de plan y bloqueo se cumplen antes de efectos prohibidos; mensajes permiten distinguir del rechazo HKA.</x:v>
      </x:c>
      <x:c r="F132" s="13" t="str">
        <x:v>Fuentes: resources/js/views/tenant/documents/invoice_generate.vue; app/CoreFacturalo/Facturalo.php; app/Http/Controllers/Tenant/DocumentController.php
Entrada: /documents/create; POST /documents</x:v>
      </x:c>
    </x:row>
    <x:row r="133" ht="44" customHeight="1">
      <x:c r="A133" s="13" t="str">
        <x:v>QA-FAC-016</x:v>
      </x:c>
      <x:c r="B133" s="13" t="str">
        <x:v>Emisor conservado</x:v>
      </x:c>
      <x:c r="C133" s="13" t="str">
        <x:v>Caja abierta; factura 01/0101, serie QA-FF-01 o vacía, fixtures monetarios.
Factura guardada antes de cambiar empresa</x:v>
      </x:c>
      <x:c r="D133" s="13" t="str">
        <x:v>1. Modificar nombre/dirección/logo en QA
2. Consultar documento y reimprimir local/ticket
3. Leer payload congelado</x:v>
      </x:c>
      <x:c r="E133" s="13" t="str">
        <x:v>Emisor del documento/snapshot no cambia por ficha actual. Cambio de RIF/configuración impide envío incompatible.</x:v>
      </x:c>
      <x:c r="F133" s="13" t="str">
        <x:v>Fuentes: resources/js/views/tenant/documents/invoice_generate.vue; app/CoreFacturalo/Facturalo.php; app/Http/Controllers/Tenant/DocumentController.php
Entrada: /documents/create; POST /documents</x:v>
      </x:c>
    </x:row>
    <x:row r="134" ht="44" customHeight="1">
      <x:c r="A134" s="13" t="str">
        <x:v>QA-EXP-001</x:v>
      </x:c>
      <x:c r="B134" s="13" t="str">
        <x:v>Exportación FOB en VES</x:v>
      </x:c>
      <x:c r="C134" s="13" t="str">
        <x:v>ND extranjero con tipo externo real de fixture; bienes UND; digital/demo; contado pagado; tasa R 1.
Cliente ND y bien 100 VES; contado; operación 0201; tasa R 1.</x:v>
      </x:c>
      <x:c r="D134" s="13" t="str">
        <x:v>1. Seleccionar 0201 FOB y comprador ND
2. Agregar bien con EXP y precio 100 VES
3. Pagar 100, guardar y capturar documento/payload/resultado fiscal</x:v>
      </x:c>
      <x:c r="E134" s="13" t="str">
        <x:v>Factura interna 01; operación 0201, INCOTERMFOB, EXP IVA 0, total exportado 100 VES separado de exento. Snapshot/totales VES conservados. En USD HKA usa copia VES y totalesOtraMoneda USD sin cambiar dinero local. Aceptación real se exige sólo en la ejecución DEMO real designada.</x:v>
      </x:c>
      <x:c r="F134" s="13" t="str">
        <x:v>Fuentes: app/Services/ExportInvoicePolicy.php; informes/facturas_exportacion_hka.md; tests/Unit/ExportInvoiceTest.php
Entrada: Comprobantes web /documents/create, operación 0201/0202/0203</x:v>
      </x:c>
    </x:row>
    <x:row r="135" ht="44" customHeight="1">
      <x:c r="A135" s="13" t="str">
        <x:v>QA-EXP-002</x:v>
      </x:c>
      <x:c r="B135" s="13" t="str">
        <x:v>Exportación FOB en USD</x:v>
      </x:c>
      <x:c r="C135" s="13" t="str">
        <x:v>ND extranjero con tipo externo real de fixture; bienes UND; digital/demo; contado pagado; tasa R 1.
Cliente ND y bien 100 USD; contado; operación 0201; tasa R 1.</x:v>
      </x:c>
      <x:c r="D135" s="13" t="str">
        <x:v>1. Seleccionar 0201 FOB y comprador ND
2. Agregar bien con EXP y precio 100 USD
3. Pagar 100, guardar y capturar documento/payload/resultado fiscal</x:v>
      </x:c>
      <x:c r="E135" s="13" t="str">
        <x:v>Factura interna 01; operación 0201, INCOTERMFOB, EXP IVA 0, total exportado 100 USD separado de exento. Snapshot/totales VES conservados. En USD HKA usa copia VES y totalesOtraMoneda USD sin cambiar dinero local. Aceptación real se exige sólo en la ejecución DEMO real designada.</x:v>
      </x:c>
      <x:c r="F135" s="13" t="str">
        <x:v>Fuentes: app/Services/ExportInvoicePolicy.php; informes/facturas_exportacion_hka.md; tests/Unit/ExportInvoiceTest.php
Entrada: Comprobantes web /documents/create, operación 0201/0202/0203</x:v>
      </x:c>
    </x:row>
    <x:row r="136" ht="44" customHeight="1">
      <x:c r="A136" s="13" t="str">
        <x:v>QA-EXP-003</x:v>
      </x:c>
      <x:c r="B136" s="13" t="str">
        <x:v>Exportación CIF en VES</x:v>
      </x:c>
      <x:c r="C136" s="13" t="str">
        <x:v>ND extranjero con tipo externo real de fixture; bienes UND; digital/demo; contado pagado; tasa R 1.
Cliente ND y bien 100 VES; contado; operación 0202; tasa R 1.</x:v>
      </x:c>
      <x:c r="D136" s="13" t="str">
        <x:v>1. Seleccionar 0202 CIF y comprador ND
2. Agregar bien con EXP y precio 100 VES
3. Pagar 100, guardar y capturar documento/payload/resultado fiscal</x:v>
      </x:c>
      <x:c r="E136" s="13" t="str">
        <x:v>Factura interna 01; operación 0202, INCOTERMCIF, EXP IVA 0, total exportado 100 VES separado de exento. Snapshot/totales VES conservados. En USD HKA usa copia VES y totalesOtraMoneda USD sin cambiar dinero local. Aceptación real se exige sólo en la ejecución DEMO real designada.</x:v>
      </x:c>
      <x:c r="F136" s="13" t="str">
        <x:v>Fuentes: app/Services/ExportInvoicePolicy.php; informes/facturas_exportacion_hka.md; tests/Unit/ExportInvoiceTest.php
Entrada: Comprobantes web /documents/create, operación 0201/0202/0203</x:v>
      </x:c>
    </x:row>
    <x:row r="137" ht="44" customHeight="1">
      <x:c r="A137" s="13" t="str">
        <x:v>QA-EXP-004</x:v>
      </x:c>
      <x:c r="B137" s="13" t="str">
        <x:v>Exportación CIF en USD</x:v>
      </x:c>
      <x:c r="C137" s="13" t="str">
        <x:v>ND extranjero con tipo externo real de fixture; bienes UND; digital/demo; contado pagado; tasa R 1.
Cliente ND y bien 100 USD; contado; operación 0202; tasa R 1.</x:v>
      </x:c>
      <x:c r="D137" s="13" t="str">
        <x:v>1. Seleccionar 0202 CIF y comprador ND
2. Agregar bien con EXP y precio 100 USD
3. Pagar 100, guardar y capturar documento/payload/resultado fiscal</x:v>
      </x:c>
      <x:c r="E137" s="13" t="str">
        <x:v>Factura interna 01; operación 0202, INCOTERMCIF, EXP IVA 0, total exportado 100 USD separado de exento. Snapshot/totales VES conservados. En USD HKA usa copia VES y totalesOtraMoneda USD sin cambiar dinero local. Aceptación real se exige sólo en la ejecución DEMO real designada.</x:v>
      </x:c>
      <x:c r="F137" s="13" t="str">
        <x:v>Fuentes: app/Services/ExportInvoicePolicy.php; informes/facturas_exportacion_hka.md; tests/Unit/ExportInvoiceTest.php
Entrada: Comprobantes web /documents/create, operación 0201/0202/0203</x:v>
      </x:c>
    </x:row>
    <x:row r="138" ht="44" customHeight="1">
      <x:c r="A138" s="13" t="str">
        <x:v>QA-EXP-005</x:v>
      </x:c>
      <x:c r="B138" s="13" t="str">
        <x:v>Exportación EXW en VES</x:v>
      </x:c>
      <x:c r="C138" s="13" t="str">
        <x:v>ND extranjero con tipo externo real de fixture; bienes UND; digital/demo; contado pagado; tasa R 1.
Cliente ND y bien 100 VES; contado; operación 0203; tasa R 1.</x:v>
      </x:c>
      <x:c r="D138" s="13" t="str">
        <x:v>1. Seleccionar 0203 EXW y comprador ND
2. Agregar bien con EXP y precio 100 VES
3. Pagar 100, guardar y capturar documento/payload/resultado fiscal</x:v>
      </x:c>
      <x:c r="E138" s="13" t="str">
        <x:v>Factura interna 01; operación 0203, INCOTERMEXW, EXP IVA 0, total exportado 100 VES separado de exento. Snapshot/totales VES conservados. En USD HKA usa copia VES y totalesOtraMoneda USD sin cambiar dinero local. Aceptación real se exige sólo en la ejecución DEMO real designada.</x:v>
      </x:c>
      <x:c r="F138" s="13" t="str">
        <x:v>Fuentes: app/Services/ExportInvoicePolicy.php; informes/facturas_exportacion_hka.md; tests/Unit/ExportInvoiceTest.php
Entrada: Comprobantes web /documents/create, operación 0201/0202/0203</x:v>
      </x:c>
    </x:row>
    <x:row r="139" ht="44" customHeight="1">
      <x:c r="A139" s="13" t="str">
        <x:v>QA-EXP-006</x:v>
      </x:c>
      <x:c r="B139" s="13" t="str">
        <x:v>Exportación EXW en USD</x:v>
      </x:c>
      <x:c r="C139" s="13" t="str">
        <x:v>ND extranjero con tipo externo real de fixture; bienes UND; digital/demo; contado pagado; tasa R 1.
Cliente ND y bien 100 USD; contado; operación 0203; tasa R 1.</x:v>
      </x:c>
      <x:c r="D139" s="13" t="str">
        <x:v>1. Seleccionar 0203 EXW y comprador ND
2. Agregar bien con EXP y precio 100 USD
3. Pagar 100, guardar y capturar documento/payload/resultado fiscal</x:v>
      </x:c>
      <x:c r="E139" s="13" t="str">
        <x:v>Factura interna 01; operación 0203, INCOTERMEXW, EXP IVA 0, total exportado 100 USD separado de exento. Snapshot/totales VES conservados. En USD HKA usa copia VES y totalesOtraMoneda USD sin cambiar dinero local. Aceptación real se exige sólo en la ejecución DEMO real designada.</x:v>
      </x:c>
      <x:c r="F139" s="13" t="str">
        <x:v>Fuentes: app/Services/ExportInvoicePolicy.php; informes/facturas_exportacion_hka.md; tests/Unit/ExportInvoiceTest.php
Entrada: Comprobantes web /documents/create, operación 0201/0202/0203</x:v>
      </x:c>
    </x:row>
    <x:row r="140" ht="44" customHeight="1">
      <x:c r="A140" s="13" t="str">
        <x:v>QA-EXP-007</x:v>
      </x:c>
      <x:c r="B140" s="13" t="str">
        <x:v>Comprador extranjero literal</x:v>
      </x:c>
      <x:c r="C140" s="13" t="str">
        <x:v>ND extranjero con tipo externo real de fixture; bienes UND; digital/demo; contado pagado; tasa R 1.
ND país distinto VE, tipo externo válido</x:v>
      </x:c>
      <x:c r="D140" s="13" t="str">
        <x:v>1. Guardar número con formato extranjero
2. Seleccionar en exportación
3. Preparar y revisar comprador</x:v>
      </x:c>
      <x:c r="E140" s="13" t="str">
        <x:v>ND no se envía como código HKA; tipo externo y número literal conservados sin prefijo ni territorio venezolano inventado.</x:v>
      </x:c>
      <x:c r="F140" s="13" t="str">
        <x:v>Fuentes: app/Services/ExportInvoicePolicy.php; informes/facturas_exportacion_hka.md; tests/Unit/ExportInvoiceTest.php
Entrada: Comprobantes web /documents/create, operación 0201/0202/0203</x:v>
      </x:c>
    </x:row>
    <x:row r="141" ht="44" customHeight="1">
      <x:c r="A141" s="13" t="str">
        <x:v>QA-EXP-008</x:v>
      </x:c>
      <x:c r="B141" s="13" t="str">
        <x:v>Limpiar comprador al cambiar operación</x:v>
      </x:c>
      <x:c r="C141" s="13" t="str">
        <x:v>ND extranjero con tipo externo real de fixture; bienes UND; digital/demo; contado pagado; tasa R 1.
Borrador venta interna con doméstico</x:v>
      </x:c>
      <x:c r="D141" s="13" t="str">
        <x:v>1. Cambiar a FOB
2. Seleccionar ND y volver a 0101
3. Intentar generar con cliente incompatible</x:v>
      </x:c>
      <x:c r="E141" s="13" t="str">
        <x:v>Selectores y servidor cambian elegibilidad; cliente incompatible no permanece seleccionado para emitir.</x:v>
      </x:c>
      <x:c r="F141" s="13" t="str">
        <x:v>Fuentes: app/Services/ExportInvoicePolicy.php; informes/facturas_exportacion_hka.md; tests/Unit/ExportInvoiceTest.php
Entrada: Comprobantes web /documents/create, operación 0201/0202/0203</x:v>
      </x:c>
    </x:row>
    <x:row r="142" ht="44" customHeight="1">
      <x:c r="A142" s="13" t="str">
        <x:v>QA-EXP-009</x:v>
      </x:c>
      <x:c r="B142" s="13" t="str">
        <x:v>Todas las líneas deben ser EXP</x:v>
      </x:c>
      <x:c r="C142" s="13" t="str">
        <x:v>ND extranjero con tipo externo real de fixture; bienes UND; digital/demo; contado pagado; tasa R 1.
Exportación con dos bienes</x:v>
      </x:c>
      <x:c r="D142" s="13" t="str">
        <x:v>1. Agregar una gravada 10 o exenta 20 por payload
2. Intentar guardar
3. Comparar venta/stock</x:v>
      </x:c>
      <x:c r="E142" s="13" t="str">
        <x:v>Mezcla rechazada sin factura parcial ni transmisión.</x:v>
      </x:c>
      <x:c r="F142" s="13" t="str">
        <x:v>Fuentes: app/Services/ExportInvoicePolicy.php; informes/facturas_exportacion_hka.md; tests/Unit/ExportInvoiceTest.php
Entrada: Comprobantes web /documents/create, operación 0201/0202/0203</x:v>
      </x:c>
    </x:row>
    <x:row r="143" ht="44" customHeight="1">
      <x:c r="A143" s="13" t="str">
        <x:v>QA-EXP-010</x:v>
      </x:c>
      <x:c r="B143" s="13" t="str">
        <x:v>Servicios exportados bloqueados</x:v>
      </x:c>
      <x:c r="C143" s="13" t="str">
        <x:v>ND extranjero con tipo externo real de fixture; bienes UND; digital/demo; contado pagado; tasa R 1.
Producto SERV</x:v>
      </x:c>
      <x:c r="D143" s="13" t="str">
        <x:v>1. Elegir FOB y enviar servicio como EXP
2. Intentar guardar
3. Leer diagnóstico</x:v>
      </x:c>
      <x:c r="E143" s="13" t="str">
        <x:v>Exportación de servicios no habilitada; se rechaza sin remapear SERV a UND.</x:v>
      </x:c>
      <x:c r="F143" s="13" t="str">
        <x:v>Fuentes: app/Services/ExportInvoicePolicy.php; informes/facturas_exportacion_hka.md; tests/Unit/ExportInvoiceTest.php
Entrada: Comprobantes web /documents/create, operación 0201/0202/0203</x:v>
      </x:c>
    </x:row>
    <x:row r="144" ht="44" customHeight="1">
      <x:c r="A144" s="13" t="str">
        <x:v>QA-EXP-011</x:v>
      </x:c>
      <x:c r="B144" s="13" t="str">
        <x:v>Exportación genérica 0200 y código FE</x:v>
      </x:c>
      <x:c r="C144" s="13" t="str">
        <x:v>ND extranjero con tipo externo real de fixture; bienes UND; digital/demo; contado pagado; tasa R 1.
Venta web digital DEMO</x:v>
      </x:c>
      <x:c r="D144" s="13" t="str">
        <x:v>1. Enviar operation_type_id 0200
2. Enviar document_type_id FE
3. Comparar con factura 01/0201 válida</x:v>
      </x:c>
      <x:c r="E144" s="13" t="str">
        <x:v>0200 exige escoger INCOTERM; FE de catálogo no habilita flujo. Exportación soportada usa 01.</x:v>
      </x:c>
      <x:c r="F144" s="13" t="str">
        <x:v>Fuentes: app/Services/ExportInvoicePolicy.php; informes/facturas_exportacion_hka.md; tests/Unit/ExportInvoiceTest.php
Entrada: Comprobantes web /documents/create, operación 0201/0202/0203</x:v>
      </x:c>
    </x:row>
    <x:row r="145" ht="44" customHeight="1">
      <x:c r="A145" s="13" t="str">
        <x:v>QA-EXP-012</x:v>
      </x:c>
      <x:c r="B145" s="13" t="str">
        <x:v>Exportación por otros canales bloqueada</x:v>
      </x:c>
      <x:c r="C145" s="13" t="str">
        <x:v>ND extranjero con tipo externo real de fixture; bienes UND; digital/demo; contado pagado; tasa R 1.
API/POS/Garage/Hotel/tienda y fixtures</x:v>
      </x:c>
      <x:c r="D145" s="13" t="str">
        <x:v>1. Intentar 0201 desde cada origen mediante caso individual
2. Manipular source_module WEB
3. Medir efectos</x:v>
      </x:c>
      <x:c r="E145" s="13" t="str">
        <x:v>Capacidad web proviene del servidor; bandera del cliente no habilita exportación en otro canal.</x:v>
      </x:c>
      <x:c r="F145" s="13" t="str">
        <x:v>Fuentes: app/Services/ExportInvoicePolicy.php; informes/facturas_exportacion_hka.md; tests/Unit/ExportInvoiceTest.php
Entrada: Comprobantes web /documents/create, operación 0201/0202/0203</x:v>
      </x:c>
    </x:row>
    <x:row r="146" ht="44" customHeight="1">
      <x:c r="A146" s="13" t="str">
        <x:v>QA-EXP-013</x:v>
      </x:c>
      <x:c r="B146" s="13" t="str">
        <x:v>Exportación con terceros o regímenes</x:v>
      </x:c>
      <x:c r="C146" s="13" t="str">
        <x:v>ND extranjero con tipo externo real de fixture; bienes UND; digital/demo; contado pagado; tasa R 1.
Borrador FOB</x:v>
      </x:c>
      <x:c r="D146" s="13" t="str">
        <x:v>1. Enviar tercero, special_tax_regime, conditional_data e itinerante por separado
2. Guardar
3. Leer efectos</x:v>
      </x:c>
      <x:c r="E146" s="13" t="str">
        <x:v>Combinaciones fuera de etapa se rechazan explícitamente; catálogo no autoriza su emisión.</x:v>
      </x:c>
      <x:c r="F146" s="13" t="str">
        <x:v>Fuentes: app/Services/ExportInvoicePolicy.php; informes/facturas_exportacion_hka.md; tests/Unit/ExportInvoiceTest.php
Entrada: Comprobantes web /documents/create, operación 0201/0202/0203</x:v>
      </x:c>
    </x:row>
    <x:row r="147" ht="44" customHeight="1">
      <x:c r="A147" s="13" t="str">
        <x:v>QA-EXP-014</x:v>
      </x:c>
      <x:c r="B147" s="13" t="str">
        <x:v>Descuentos y cargos en exportación USD</x:v>
      </x:c>
      <x:c r="C147" s="13" t="str">
        <x:v>ND extranjero con tipo externo real de fixture; bienes UND; digital/demo; contado pagado; tasa R 1.
Bienes 100+50 USD, descuento 15 y cargo 5 de fixture</x:v>
      </x:c>
      <x:c r="D147" s="13" t="str">
        <x:v>1. Aplicar global
2. Guardar
3. Conciliar copia VES y totalesOtraMoneda contra total USD 140</x:v>
      </x:c>
      <x:c r="E147" s="13" t="str">
        <x:v>Total local 140 USD/IVA 0; HKA no duplica descuento distribuido ni recargo; preciosAntesDescuento y centavos VES concilian.</x:v>
      </x:c>
      <x:c r="F147" s="13" t="str">
        <x:v>Fuentes: app/Services/ExportInvoicePolicy.php; informes/facturas_exportacion_hka.md; tests/Unit/ExportInvoiceTest.php
Entrada: Comprobantes web /documents/create, operación 0201/0202/0203</x:v>
      </x:c>
    </x:row>
    <x:row r="148" ht="44" customHeight="1">
      <x:c r="A148" s="13" t="str">
        <x:v>QA-EXP-015</x:v>
      </x:c>
      <x:c r="B148" s="13" t="str">
        <x:v>Crédito de exportación sin cobros</x:v>
      </x:c>
      <x:c r="C148" s="13" t="str">
        <x:v>ND extranjero con tipo externo real de fixture; bienes UND; digital/demo; contado pagado; tasa R 1.
Exportación válida a crédito sin pagos</x:v>
      </x:c>
      <x:c r="D148" s="13" t="str">
        <x:v>1. Guardar en QA con doble y ejecución real designada si está habilitada
2. Leer saldo y rechazo 203/1015 si proveedor lo devuelve
3. Consultar registros</x:v>
      </x:c>
      <x:c r="E148" s="13" t="str">
        <x:v>No se inventan formas Pago. Documentar como límite conocido de aceptación DEMO a crédito, conservando la venta. Un rechazo previsto puede aprobar la prueba de manejo del límite, sin acreditar soporte de crédito exportador.</x:v>
      </x:c>
      <x:c r="F148" s="13" t="str">
        <x:v>Fuentes: app/Services/ExportInvoicePolicy.php; informes/facturas_exportacion_hka.md; tests/Unit/ExportInvoiceTest.php
Entrada: Comprobantes web /documents/create, operación 0201/0202/0203</x:v>
      </x:c>
    </x:row>
    <x:row r="149" ht="44" customHeight="1">
      <x:c r="A149" s="13" t="str">
        <x:v>QA-EXP-016</x:v>
      </x:c>
      <x:c r="B149" s="13" t="str">
        <x:v>Editar INCOTERM antes de HKA</x:v>
      </x:c>
      <x:c r="C149" s="13" t="str">
        <x:v>ND extranjero con tipo externo real de fixture; bienes UND; digital/demo; contado pagado; tasa R 1.
Factura FOB preparada sin control y pagos íntegros</x:v>
      </x:c>
      <x:c r="D149" s="13" t="str">
        <x:v>1. Editar a CIF
2. Guardar
3. Preparar/enviar explícitamente con doble</x:v>
      </x:c>
      <x:c r="E149" s="13" t="str">
        <x:v>Misma identidad/moneda/cobros/stock; nuevo snapshot CIF y UUID al invalidar preparación; no envío automático por editar.</x:v>
      </x:c>
      <x:c r="F149" s="13" t="str">
        <x:v>Fuentes: app/Services/ExportInvoicePolicy.php; informes/facturas_exportacion_hka.md; tests/Unit/ExportInvoiceTest.php
Entrada: Comprobantes web /documents/create, operación 0201/0202/0203</x:v>
      </x:c>
    </x:row>
    <x:row r="150" ht="44" customHeight="1">
      <x:c r="A150" s="13" t="str">
        <x:v>QA-EXP-017</x:v>
      </x:c>
      <x:c r="B150" s="13" t="str">
        <x:v>Prohibir conversión interna a exportación</x:v>
      </x:c>
      <x:c r="C150" s="13" t="str">
        <x:v>ND extranjero con tipo externo real de fixture; bienes UND; digital/demo; contado pagado; tasa R 1.
Factura ordinaria editable y exportación editable</x:v>
      </x:c>
      <x:c r="D150" s="13" t="str">
        <x:v>1. Intentar cambiar categoría en ambos sentidos
2. Guardar
3. Leer versión anterior</x:v>
      </x:c>
      <x:c r="E150" s="13" t="str">
        <x:v>Conversión de categoría bloqueada; INCOTERM entre exportaciones sí sigue edición autorizada.</x:v>
      </x:c>
      <x:c r="F150" s="13" t="str">
        <x:v>Fuentes: app/Services/ExportInvoicePolicy.php; informes/facturas_exportacion_hka.md; tests/Unit/ExportInvoiceTest.php
Entrada: Comprobantes web /documents/create, operación 0201/0202/0203</x:v>
      </x:c>
    </x:row>
    <x:row r="151" ht="44" customHeight="1">
      <x:c r="A151" s="13" t="str">
        <x:v>QA-EXP-018</x:v>
      </x:c>
      <x:c r="B151" s="13" t="str">
        <x:v>Notas e IGTF posterior de exportación</x:v>
      </x:c>
      <x:c r="C151" s="13" t="str">
        <x:v>ND extranjero con tipo externo real de fixture; bienes UND; digital/demo; contado pagado; tasa R 1.
Factura exportación y saldo controlado por fixture</x:v>
      </x:c>
      <x:c r="D151" s="13" t="str">
        <x:v>1. Intentar NC/ND
2. Intentar cobro posterior sujeto que genere nota IGTF
3. Comparar pagos/notas</x:v>
      </x:c>
      <x:c r="E151" s="13" t="str">
        <x:v>Notas de exportación e IGTF posterior dependiente bloqueados sin registrar cobro parcial. IGTF inicial tiene su prueba independiente.</x:v>
      </x:c>
      <x:c r="F151" s="13" t="str">
        <x:v>Fuentes: app/Services/ExportInvoicePolicy.php; informes/facturas_exportacion_hka.md; tests/Unit/ExportInvoiceTest.php
Entrada: Comprobantes web /documents/create, operación 0201/0202/0203</x:v>
      </x:c>
    </x:row>
    <x:row r="152" ht="44" customHeight="1">
      <x:c r="A152" s="13" t="str">
        <x:v>QA-TER-001</x:v>
      </x:c>
      <x:c r="B152" s="13" t="str">
        <x:v>Alta de titular desde factura</x:v>
      </x:c>
      <x:c r="C152" s="13" t="str">
        <x:v>Titular T 1 VE marcado Es tercero, RIF fiscal completo válido, actividad/dirección/email QA; comprador C 1 distinto.
Comprador C 1 y borrador con artículos</x:v>
      </x:c>
      <x:c r="D152" s="13" t="str">
        <x:v>1. Activar Por cuenta de terceros
2. Registrar T 1 por diálogo
3. Guardar titular y revisar comprador</x:v>
      </x:c>
      <x:c r="E152" s="13" t="str">
        <x:v>T 1 queda seleccionado como titular sin cambiar C 1 ni reinicializar factura; campos de tercero se validan y no sustituyen cédula del cliente.</x:v>
      </x:c>
      <x:c r="F152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53" ht="44" customHeight="1">
      <x:c r="A153" s="13" t="str">
        <x:v>QA-TER-002</x:v>
      </x:c>
      <x:c r="B153" s="13" t="str">
        <x:v>Venta por terceros VES</x:v>
      </x:c>
      <x:c r="C153" s="13" t="str">
        <x:v>Titular T 1 VE marcado Es tercero, RIF fiscal completo válido, actividad/dirección/email QA; comprador C 1 distinto.
Factura 01/0101, titular T 1, total 116 VES</x:v>
      </x:c>
      <x:c r="D153" s="13" t="str">
        <x:v>1. Seleccionar C 1 y T 1
2. Pagar 116 al contado
3. Guardar y revisar snapshot/payload</x:v>
      </x:c>
      <x:c r="E153" s="13" t="str">
        <x:v>Venta completamente cobrada; transacción 99, tipo HKA 01, tercero y comprador separados, total/stock actuales; titular no se convierte en destinatario automático.</x:v>
      </x:c>
      <x:c r="F153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54" ht="192" customHeight="1">
      <x:c r="A154" s="13" t="str">
        <x:v>QA-TER-003</x:v>
      </x:c>
      <x:c r="B154" s="13" t="str">
        <x:v>Venta por terceros USD con cargos</x:v>
      </x:c>
      <x:c r="C154" s="13" t="str">
        <x:v>Titular T 1 VE marcado Es tercero, RIF fiscal completo válido, actividad/dirección/email QA; comprador C 1 distinto.
Líneas USD, descuento/cargo e IGTF inicial operativo</x:v>
      </x:c>
      <x:c r="D154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Crear contado completo.
4. Guardar.
5. Conciliar HkaThirdPartyMoney y dinero local.
6. Recargar/reabrir o consultar desde una segunda lectura autorizada; contrastar resultado inmediato y persistido con los criterios siguientes. No repetir creación/envío con resultado desconocido sin conciliar primero.</x:v>
      </x:c>
      <x:c r="E154" s="13" t="str">
        <x:v>Principales HKA VES/Otra Moneda USD, descuentos/cargos/IGTF separados y centavos conciliados; valores locales no se reescriben.
Control independiente: Aplicar oráculos y controles del grupo y guía de ejecución.</x:v>
      </x:c>
      <x:c r="F154" s="13" t="str">
        <x:v>Fuentes: app/Services/ThirdPartyInvoicePolicy.php, app/Services/Fiscal/HkaThirdPartyMoney.php, informes/facturas_cuenta_terceros_hka.md
Entrada: Comprobantes web, Por cuenta de terceros; clientes Avanzado → Clasificación
Contrato actualizado: Para cobro sujeto: perfil del emisor SPE vigente a fecha del pago, moneda recibida USD e intermediación explícita none, configuración IGTF habilitada y tasa QA positiva. Moneda documental, método y SPE del comprador no sustituyen esta decisión. Excepción sólo admin con motivo y exception_basis; conservar snapshot/actor. Producción y homologación remota de notas no acreditadas.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155" ht="44" customHeight="1">
      <x:c r="A155" s="13" t="str">
        <x:v>QA-TER-004</x:v>
      </x:c>
      <x:c r="B155" s="13" t="str">
        <x:v>Editar titular desde borrador</x:v>
      </x:c>
      <x:c r="C155" s="13" t="str">
        <x:v>Titular T 1 VE marcado Es tercero, RIF fiscal completo válido, actividad/dirección/email QA; comprador C 1 distinto.
T 1 elegido y C 1 comprador</x:v>
      </x:c>
      <x:c r="D155" s="13" t="str">
        <x:v>1. Abrir Editar tercero
2. Modificar actividad/dirección y guardar
3. Comprobar selección y generar</x:v>
      </x:c>
      <x:c r="E155" s="13" t="str">
        <x:v>Sólo selección de titular se actualiza; comprador, serie, líneas y cobros no se sustituyen.</x:v>
      </x:c>
      <x:c r="F155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56" ht="44" customHeight="1">
      <x:c r="A156" s="13" t="str">
        <x:v>QA-TER-005</x:v>
      </x:c>
      <x:c r="B156" s="13" t="str">
        <x:v>Titular inválido</x:v>
      </x:c>
      <x:c r="C156" s="13" t="str">
        <x:v>Titular T 1 VE marcado Es tercero, RIF fiscal completo válido, actividad/dirección/email QA; comprador C 1 distinto.
Clientes no marcados, deshabilitados, ajenos o fuera VE</x:v>
      </x:c>
      <x:c r="D156" s="13" t="str">
        <x:v>1. Enviar cada ID como third_party_id
2. Intentar guardar
3. Leer efectos</x:v>
      </x:c>
      <x:c r="E156" s="13" t="str">
        <x:v>Backend resuelve cliente habilitado y clasificado bajo tenant/alcance; rechazo antes de venta, stock y cobros.</x:v>
      </x:c>
      <x:c r="F156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57" ht="44" customHeight="1">
      <x:c r="A157" s="13" t="str">
        <x:v>QA-TER-006</x:v>
      </x:c>
      <x:c r="B157" s="13" t="str">
        <x:v>RIF fiscal del titular inválido o duplicado</x:v>
      </x:c>
      <x:c r="C157" s="13" t="str">
        <x:v>Titular T 1 VE marcado Es tercero, RIF fiscal completo válido, actividad/dirección/email QA; comprador C 1 distinto.
Formulario de tercero</x:v>
      </x:c>
      <x:c r="D157" s="13" t="str">
        <x:v>1. Probar checksum/formato inválido y duplicado
2. Probar ausencia de actividad/dirección y excesos 100/255/email 50
3. Leer errores</x:v>
      </x:c>
      <x:c r="E157" s="13" t="str">
        <x:v>No se conserva titular fiscal inválido; límites y unicidad comprobados. No se presenta como consulta oficial SENIAT.</x:v>
      </x:c>
      <x:c r="F157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58" ht="44" customHeight="1">
      <x:c r="A158" s="13" t="str">
        <x:v>QA-TER-007</x:v>
      </x:c>
      <x:c r="B158" s="13" t="str">
        <x:v>Terceros requiere contado completo</x:v>
      </x:c>
      <x:c r="C158" s="13" t="str">
        <x:v>Titular T 1 VE marcado Es tercero, RIF fiscal completo válido, actividad/dirección/email QA; comprador C 1 distinto.
Total 116</x:v>
      </x:c>
      <x:c r="D158" s="13" t="str">
        <x:v>1. Intentar Crédito
2. Intentar contado 0/50
3. Intentar saldo 0 sólo con retenciones/fondo sin cobro real</x:v>
      </x:c>
      <x:c r="E158" s="13" t="str">
        <x:v>Se rechaza toda variante; exige contado, saldo 0 y suma de pagos reales completos antes del commit.</x:v>
      </x:c>
      <x:c r="F158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59" ht="168" customHeight="1">
      <x:c r="A159" s="13" t="str">
        <x:v>QA-TER-008</x:v>
      </x:c>
      <x:c r="B159" s="13" t="str">
        <x:v>Categorías de terceros y notas domésticas</x:v>
      </x:c>
      <x:c r="C159" s="13" t="str">
        <x:v>Titular T 1 VE marcado Es tercero, RIF fiscal completo válido, actividad/dirección/email QA; comprador C 1 distinto.
Factura interna F1tipo01/0101 digital DEMO vigente confirmed/controlcoincidente, clienteC1/S1; G1dosUNDbase100/IVA16,total 232 VES; cobroreal 232. UUID nuevo, serie autorizada tipo/sucursal. Snapshot original y línea base disponibles.</x:v>
      </x:c>
      <x:c r="D159" s="13" t="str">
        <x:v>1. Identificarfixture/corrida y capturar originales de dinero, stock, referencia y UUID.
2. Abrir acción correspondiente a este caso; registrar petición con identidad/partidasoriginales, rol y sucursal autorizados.
3. Ejecutar creación/preparación/conversión o rechazo según el título, con los datos anteriores. Para varios motivos o valores generar variantes individuales; no agregar un único veredicto.
4. Comparar respuesta, guardado y estado fiscal con la expectativa; consultar misma operación si existe incertidumbre, sin duplicar envío.
5. Reabrir, cotejar snapshots/stock/saldo y conservar evidencia propia; separar emisión/distribución de efectos comerciales.</x:v>
      </x:c>
      <x:c r="E159" s="13" t="str">
        <x:v>Terceros+régimen permitido en factura web01/0101 digital DEMO contado completo. Notas ordinarias domésticas desde factura confirmed/controlcoincidente admiten tercero/régimen heredado. Exportación/crédito de factura/otroscanales siguen restringidos; no extrapolar ND a crédito a factura de tercero.
Cálculo independiente: Fbase 200+IVA32=232; NC07 por 1 UND=116 ystock+1; NC monetaria base 10+IVA1.60=11.60/stock0; ND base 10+IVA1.60=11.60/deudapropia; orden desde factura no repite 2 UND físicas. Negativoanteswrite tieneΔnota/stock/pagos/HTTP0.</x:v>
      </x:c>
      <x:c r="F159" s="13" t="str">
        <x:v>[app/Services/ThirdPartyInvoicePolicy.php](../../app/Services/ThirdPartyInvoicePolicy.php), [app/Services/Fiscal/HkaThirdPartyMoney.php](../../app/Services/Fiscal/HkaThirdPartyMoney.php), [informes/facturas_cuenta_terceros_hka.md](../../informes/facturas_cuenta_terceros_hka.md)
Efectos posteriores: Conciliar efectos únicos; conservar payload/control/serie/número/snapshots; nocobros/egresosficticios.
Evidencia: UI/HTTPsaneado/lecturasantesdespués/cálculo y archivos/QRsiaplican; declarar Real DEMO o doble; nunca atribuir evidencia histórica al acorrida.</x:v>
      </x:c>
    </x:row>
    <x:row r="160" ht="44" customHeight="1">
      <x:c r="A160" s="13" t="str">
        <x:v>QA-TER-009</x:v>
      </x:c>
      <x:c r="B160" s="13" t="str">
        <x:v>Snapshot de tercero autoritativo</x:v>
      </x:c>
      <x:c r="C160" s="13" t="str">
        <x:v>Titular T 1 VE marcado Es tercero, RIF fiscal completo válido, actividad/dirección/email QA; comprador C 1 distinto.
Titular válido y payload alterado</x:v>
      </x:c>
      <x:c r="D160" s="13" t="str">
        <x:v>1. Enviar third_party o fiscal_data.third_party falsificados
2. Enviar transaction_type 99 sin selección
3. Guardar caso válido sólo con ID</x:v>
      </x:c>
      <x:c r="E160" s="13" t="str">
        <x:v>Datos arbitrarios rechazados; servidor congela titular bajo bloqueo y construye RIF con guiones para HKA.</x:v>
      </x:c>
      <x:c r="F160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61" ht="44" customHeight="1">
      <x:c r="A161" s="13" t="str">
        <x:v>QA-TER-010</x:v>
      </x:c>
      <x:c r="B161" s="13" t="str">
        <x:v>Desmarcar titular después de facturar</x:v>
      </x:c>
      <x:c r="C161" s="13" t="str">
        <x:v>Titular T 1 VE marcado Es tercero, RIF fiscal completo válido, actividad/dirección/email QA; comprador C 1 distinto.
Factura previa con snapshot T 1</x:v>
      </x:c>
      <x:c r="D161" s="13" t="str">
        <x:v>1. Desmarcar/inhabilitar T 1
2. Consultar factura antigua
3. Buscar T 1 para nueva venta</x:v>
      </x:c>
      <x:c r="E161" s="13" t="str">
        <x:v>Histórico conserva titular y datos; no seleccionable para nueva factura por terceros; sigue elegible como comprador si sus reglas lo permiten.</x:v>
      </x:c>
      <x:c r="F161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62" ht="44" customHeight="1">
      <x:c r="A162" s="13" t="str">
        <x:v>QA-TER-011</x:v>
      </x:c>
      <x:c r="B162" s="13" t="str">
        <x:v>Eliminar titular utilizado</x:v>
      </x:c>
      <x:c r="C162" s="13" t="str">
        <x:v>Titular T 1 VE marcado Es tercero, RIF fiscal completo válido, actividad/dirección/email QA; comprador C 1 distinto.
T 1 con factura que lo referencia</x:v>
      </x:c>
      <x:c r="D162" s="13" t="str">
        <x:v>1. Intentar borrar cliente
2. Leer FK/documento
3. Consultar factura</x:v>
      </x:c>
      <x:c r="E162" s="13" t="str">
        <x:v>Referencia impide borrar titular utilizado y conserva documento; error legible sin corrupción.</x:v>
      </x:c>
      <x:c r="F162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63" ht="44" customHeight="1">
      <x:c r="A163" s="13" t="str">
        <x:v>QA-TER-012</x:v>
      </x:c>
      <x:c r="B163" s="13" t="str">
        <x:v>Edición antes de HKA</x:v>
      </x:c>
      <x:c r="C163" s="13" t="str">
        <x:v>Titular T 1 VE marcado Es tercero, RIF fiscal completo válido, actividad/dirección/email QA; comprador C 1 distinto.
Factura por terceros editable pagada</x:v>
      </x:c>
      <x:c r="D163" s="13" t="str">
        <x:v>1. Editar información/líneas compatibles conservando categoría
2. Guardar
3. Leer cobros, UUID, snapshot y resultado</x:v>
      </x:c>
      <x:c r="E163" s="13" t="str">
        <x:v>Se conservan cobros/número/categoría; snapshot/UUID se renuevan conforme a política. No enviar automáticamente al guardar edición.</x:v>
      </x:c>
      <x:c r="F163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64" ht="44" customHeight="1">
      <x:c r="A164" s="13" t="str">
        <x:v>QA-TER-013</x:v>
      </x:c>
      <x:c r="B164" s="13" t="str">
        <x:v>No convertir propia a terceros</x:v>
      </x:c>
      <x:c r="C164" s="13" t="str">
        <x:v>Titular T 1 VE marcado Es tercero, RIF fiscal completo válido, actividad/dirección/email QA; comprador C 1 distinto.
Factura propia editable y terceros editable</x:v>
      </x:c>
      <x:c r="D164" s="13" t="str">
        <x:v>1. Activar/desactivar titular al editar en ambos sentidos
2. Guardar
3. Comparar documento previo</x:v>
      </x:c>
      <x:c r="E164" s="13" t="str">
        <x:v>Cambio de categoría rechazado sin efectos.</x:v>
      </x:c>
      <x:c r="F164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65" ht="44" customHeight="1">
      <x:c r="A165" s="13" t="str">
        <x:v>QA-TER-014</x:v>
      </x:c>
      <x:c r="B165" s="13" t="str">
        <x:v>Notas ordinarias sobre terceros habilitadas</x:v>
      </x:c>
      <x:c r="C165" s="13" t="str">
        <x:v>Titular T 1 VE marcado Es tercero, RIF fiscal completo válido, actividad/dirección/email QA; comprador C 1 distinto.
Factura interna F1tipo01/0101 digital DEMO vigente confirmed/controlcoincidente, clienteC1/S1; G1dosUNDbase100/IVA16,total 232 VES; cobroreal 232. UUID nuevo, serie autorizada tipo/sucursal. Snapshot original y línea base disponibles.</x:v>
      </x:c>
      <x:c r="D165" s="13" t="str">
        <x:v>1. Identificarfixture/corrida y capturar originales de dinero, stock, referencia y UUID.
2. Abrir acción correspondiente a este caso; registrar petición con identidad/partidasoriginales, rol y sucursal autorizados.
3. Ejecutar creación/preparación/conversión o rechazo según el título, con los datos anteriores. Para varios motivos o valores generar variantes individuales; no agregar un único veredicto.
4. Comparar respuesta, guardado y estado fiscal con la expectativa; consultar misma operación si existe incertidumbre, sin duplicar envío.
5. Reabrir, cotejar snapshots/stock/saldo y conservar evidencia propia; separar emisión/distribución de efectos comerciales.</x:v>
      </x:c>
      <x:c r="E165" s="13" t="str">
        <x:v>CrearNC/NDdomésticas desdeFtercerosconfirmed/controlcoincidente; heredarT1 yreferencia, transacciónnota03/04/02reemplaza99. Circuito IGTF98 yrestriccionesdelcobroposteriorseparados.
Cálculo independiente: Fbase 200+IVA32=232; NC07 por 1 UND=116 ystock+1; NC monetaria base 10+IVA1.60=11.60/stock0; ND base 10+IVA1.60=11.60/deudapropia; orden desde factura no repite 2 UND físicas. Negativoanteswrite tieneΔnota/stock/pagos/HTTP0.</x:v>
      </x:c>
      <x:c r="F165" s="13" t="str">
        <x:v>[app/Services/ThirdPartyInvoicePolicy.php](../../app/Services/ThirdPartyInvoicePolicy.php), [app/Services/Fiscal/HkaThirdPartyMoney.php](../../app/Services/Fiscal/HkaThirdPartyMoney.php), [informes/facturas_cuenta_terceros_hka.md](../../informes/facturas_cuenta_terceros_hka.md)
Efectos posteriores: Conciliar efectos únicos; conservar payload/control/serie/número/snapshots; nocobros/egresosficticios.
Evidencia: UI/HTTPsaneado/lecturasantesdespués/cálculo y archivos/QRsiaplican; declarar Real DEMO o doble; nunca atribuir evidencia histórica al acorrida.</x:v>
      </x:c>
    </x:row>
    <x:row r="166" ht="44" customHeight="1">
      <x:c r="A166" s="13" t="str">
        <x:v>QA-TER-015</x:v>
      </x:c>
      <x:c r="B166" s="13" t="str">
        <x:v>Presentación de titular y receptor</x:v>
      </x:c>
      <x:c r="C166" s="13" t="str">
        <x:v>Titular T 1 VE marcado Es tercero, RIF fiscal completo válido, actividad/dirección/email QA; comprador C 1 distinto.
Factura terceros confirmada DEMO o fixture</x:v>
      </x:c>
      <x:c r="D166" s="13" t="str">
        <x:v>1. Descargar A4/A5/ticket
2. Revisar separación de datos y totales
3. Comparar bytes originales y destinatarios</x:v>
      </x:c>
      <x:c r="E166" s="13" t="str">
        <x:v>A4/A5 conservan original HKA; duplicación de prefijo en DEMO se informa como límite del proveedor, sin editar PDF. Ticket local identifica titular y receptor legiblemente.</x:v>
      </x:c>
      <x:c r="F166" s="13" t="str">
        <x:v>Fuentes: app/Services/ThirdPartyInvoicePolicy.php; app/Services/Fiscal/HkaThirdPartyMoney.php; informes/facturas_cuenta_terceros_hka.md
Entrada: Comprobantes web, Por cuenta de terceros; clientes Avanzado → Clasificación</x:v>
      </x:c>
    </x:row>
    <x:row r="167" ht="56" customHeight="1">
      <x:c r="A167" s="13" t="str">
        <x:v>QA-NOT-001</x:v>
      </x:c>
      <x:c r="B167" s="13" t="str">
        <x:v>NC 01: Anulación total, comercial y HKA DEMO</x:v>
      </x:c>
      <x:c r="C167" s="13" t="str">
        <x:v>Factura ordinaria 01 vigente, total 232, 2 UND, mismo cliente/sucursal/moneda/ambiente; control real o fixture separado para preparar.
Factura interna F1tipo01/0101 digital DEMO vigente confirmed/controlcoincidente, clienteC1/S1; G1dosUNDbase100/IVA16,total 232 VES; cobroreal 232. UUID nuevo, serie autorizada tipo/sucursal. Snapshot original y línea base disponibles.</x:v>
      </x:c>
      <x:c r="D167" s="13" t="str">
        <x:v>1. Identificarfixture/corrida y capturar originales de dinero, stock, referencia y UUID.
2. Abrir acción correspondiente a este caso; registrar petición con identidad/partidasoriginales, rol y sucursal autorizados.
3. Ejecutar creación/preparación/conversión o rechazo según el título, con los datos anteriores. Para varios motivos o valores generar variantes individuales; no agregar un único veredicto.
4. Comparar respuesta, guardado y estado fiscal con la expectativa; consultar misma operación si existe incertidumbre, sin duplicar envío.
5. Reabrir, cotejar snapshots/stock/saldo y conservar evidencia propia; separar emisión/distribución de efectos comerciales.</x:v>
      </x:c>
      <x:c r="E167" s="13" t="str">
        <x:v>NC motivo 01 conserva referenciaFconfirmed/controlcoincidente; HKA02/transacción03, emisión DEMO habilitada con formasPago 99 nocash paraNC/pendienteND o cobros reales ND contado. SóloNC01/07retornan cantidades originales pendientes; NC04/09sólodiferenciadinero, saldoNC0/devoluciónefectivoregistroseparado.
Cálculo independiente: Fbase 200+IVA32=232; NC07 por 1 UND=116 ystock+1; NC monetaria base 10+IVA1.60=11.60/stock0; ND base 10+IVA1.60=11.60/deudapropia; orden desde factura no repite 2 UND físicas. Negativoanteswrite tieneΔnota/stock/pagos/HTTP0.</x:v>
      </x:c>
      <x:c r="F167" s="13" t="str">
        <x:v>[resources/js/views/tenant/documents/note.vue](../../resources/js/views/tenant/documents/note.vue), [app/Services/Fiscal/FiscalDocumentPersistence.php](../../app/Services/Fiscal/FiscalDocumentPersistence.php), [app/Services/Fiscal/HkaPayloadBuilder.php](../../app/Services/Fiscal/HkaPayloadBuilder.php), [database/seeders/data/tenant_initial_data.php](../../database/seeders/data/tenant_initial_data.php)
Efectos posteriores: Conciliar efectos únicos; conservar payload/control/serie/número/snapshots; nocobros/egresosficticios.
Evidencia: UI/HTTPsaneado/lecturasantesdespués/cálculo y archivos/QRsiaplican; declarar Real DEMO o doble; nunca atribuir evidencia histórica al acorrida.</x:v>
      </x:c>
    </x:row>
    <x:row r="168" ht="56" customHeight="1">
      <x:c r="A168" s="13" t="str">
        <x:v>QA-NOT-002</x:v>
      </x:c>
      <x:c r="B168" s="13" t="str">
        <x:v>NC 07: Devolución parcial, comercial y HKA DEMO</x:v>
      </x:c>
      <x:c r="C168" s="13" t="str">
        <x:v>Factura ordinaria 01 vigente, total 232, 2 UND, mismo cliente/sucursal/moneda/ambiente; control real o fixture separado para preparar.
Factura interna F1tipo01/0101 digital DEMO vigente confirmed/controlcoincidente, clienteC1/S1; G1dosUNDbase100/IVA16,total 232 VES; cobroreal 232. UUID nuevo, serie autorizada tipo/sucursal. Snapshot original y línea base disponibles.</x:v>
      </x:c>
      <x:c r="D168" s="13" t="str">
        <x:v>1. Identificarfixture/corrida y capturar originales de dinero, stock, referencia y UUID.
2. Abrir acción correspondiente a este caso; registrar petición con identidad/partidasoriginales, rol y sucursal autorizados.
3. Ejecutar creación/preparación/conversión o rechazo según el título, con los datos anteriores. Para varios motivos o valores generar variantes individuales; no agregar un único veredicto.
4. Comparar respuesta, guardado y estado fiscal con la expectativa; consultar misma operación si existe incertidumbre, sin duplicar envío.
5. Reabrir, cotejar snapshots/stock/saldo y conservar evidencia propia; separar emisión/distribución de efectos comerciales.</x:v>
      </x:c>
      <x:c r="E168" s="13" t="str">
        <x:v>NC motivo 07 conserva referenciaFconfirmed/controlcoincidente; HKA02/transacción04, emisión DEMO habilitada con formasPago 99 nocash paraNC/pendienteND o cobros reales ND contado. SóloNC01/07retornan cantidades originales pendientes; NC04/09sólodiferenciadinero, saldoNC0/devoluciónefectivoregistroseparado.
Cálculo independiente: Fbase 200+IVA32=232; NC07 por 1 UND=116 ystock+1; NC monetaria base 10+IVA1.60=11.60/stock0; ND base 10+IVA1.60=11.60/deudapropia; orden desde factura no repite 2 UND físicas. Negativoanteswrite tieneΔnota/stock/pagos/HTTP0.</x:v>
      </x:c>
      <x:c r="F168" s="13" t="str">
        <x:v>[resources/js/views/tenant/documents/note.vue](../../resources/js/views/tenant/documents/note.vue), [app/Services/Fiscal/FiscalDocumentPersistence.php](../../app/Services/Fiscal/FiscalDocumentPersistence.php), [app/Services/Fiscal/HkaPayloadBuilder.php](../../app/Services/Fiscal/HkaPayloadBuilder.php), [database/seeders/data/tenant_initial_data.php](../../database/seeders/data/tenant_initial_data.php)
Efectos posteriores: Conciliar efectos únicos; conservar payload/control/serie/número/snapshots; nocobros/egresosficticios.
Evidencia: UI/HTTPsaneado/lecturasantesdespués/cálculo y archivos/QRsiaplican; declarar Real DEMO o doble; nunca atribuir evidencia histórica al acorrida.</x:v>
      </x:c>
    </x:row>
    <x:row r="169" ht="56" customHeight="1">
      <x:c r="A169" s="13" t="str">
        <x:v>QA-NOT-003</x:v>
      </x:c>
      <x:c r="B169" s="13" t="str">
        <x:v>NC 04: Descuento, comercial y HKA DEMO</x:v>
      </x:c>
      <x:c r="C169" s="13" t="str">
        <x:v>Factura ordinaria 01 vigente, total 232, 2 UND, mismo cliente/sucursal/moneda/ambiente; control real o fixture separado para preparar.
Factura interna F1tipo01/0101 digital DEMO vigente confirmed/controlcoincidente, clienteC1/S1; G1dosUNDbase100/IVA16,total 232 VES; cobroreal 232. UUID nuevo, serie autorizada tipo/sucursal. Snapshot original y línea base disponibles.</x:v>
      </x:c>
      <x:c r="D169" s="13" t="str">
        <x:v>1. Identificarfixture/corrida y capturar originales de dinero, stock, referencia y UUID.
2. Abrir acción correspondiente a este caso; registrar petición con identidad/partidasoriginales, rol y sucursal autorizados.
3. Ejecutar creación/preparación/conversión o rechazo según el título, con los datos anteriores. Para varios motivos o valores generar variantes individuales; no agregar un único veredicto.
4. Comparar respuesta, guardado y estado fiscal con la expectativa; consultar misma operación si existe incertidumbre, sin duplicar envío.
5. Reabrir, cotejar snapshots/stock/saldo y conservar evidencia propia; separar emisión/distribución de efectos comerciales.</x:v>
      </x:c>
      <x:c r="E169" s="13" t="str">
        <x:v>NC motivo 04 conserva referenciaFconfirmed/controlcoincidente; HKA02/transacción04, emisión DEMO habilitada con formasPago 99 nocash paraNC/pendienteND o cobros reales ND contado. SóloNC01/07retornan cantidades originales pendientes; NC04/09sólodiferenciadinero, saldoNC0/devoluciónefectivoregistroseparado.
Cálculo independiente: Fbase 200+IVA32=232; NC07 por 1 UND=116 ystock+1; NC monetaria base 10+IVA1.60=11.60/stock0; ND base 10+IVA1.60=11.60/deudapropia; orden desde factura no repite 2 UND físicas. Negativoanteswrite tieneΔnota/stock/pagos/HTTP0.</x:v>
      </x:c>
      <x:c r="F169" s="13" t="str">
        <x:v>[resources/js/views/tenant/documents/note.vue](../../resources/js/views/tenant/documents/note.vue), [app/Services/Fiscal/FiscalDocumentPersistence.php](../../app/Services/Fiscal/FiscalDocumentPersistence.php), [app/Services/Fiscal/HkaPayloadBuilder.php](../../app/Services/Fiscal/HkaPayloadBuilder.php), [database/seeders/data/tenant_initial_data.php](../../database/seeders/data/tenant_initial_data.php)
Efectos posteriores: Conciliar efectos únicos; conservar payload/control/serie/número/snapshots; nocobros/egresosficticios.
Evidencia: UI/HTTPsaneado/lecturasantesdespués/cálculo y archivos/QRsiaplican; declarar Real DEMO o doble; nunca atribuir evidencia histórica al acorrida.</x:v>
      </x:c>
    </x:row>
    <x:row r="170" ht="56" customHeight="1">
      <x:c r="A170" s="13" t="str">
        <x:v>QA-NOT-004</x:v>
      </x:c>
      <x:c r="B170" s="13" t="str">
        <x:v>NC 09: Corrección de precios, comercial y HKA DEMO</x:v>
      </x:c>
      <x:c r="C170" s="13" t="str">
        <x:v>Factura ordinaria 01 vigente, total 232, 2 UND, mismo cliente/sucursal/moneda/ambiente; control real o fixture separado para preparar.
Factura interna F1tipo01/0101 digital DEMO vigente confirmed/controlcoincidente, clienteC1/S1; G1dosUNDbase100/IVA16,total 232 VES; cobroreal 232. UUID nuevo, serie autorizada tipo/sucursal. Snapshot original y línea base disponibles.</x:v>
      </x:c>
      <x:c r="D170" s="13" t="str">
        <x:v>1. Identificarfixture/corrida y capturar originales de dinero, stock, referencia y UUID.
2. Abrir acción correspondiente a este caso; registrar petición con identidad/partidasoriginales, rol y sucursal autorizados.
3. Ejecutar creación/preparación/conversión o rechazo según el título, con los datos anteriores. Para varios motivos o valores generar variantes individuales; no agregar un único veredicto.
4. Comparar respuesta, guardado y estado fiscal con la expectativa; consultar misma operación si existe incertidumbre, sin duplicar envío.
5. Reabrir, cotejar snapshots/stock/saldo y conservar evidencia propia; separar emisión/distribución de efectos comerciales.</x:v>
      </x:c>
      <x:c r="E170" s="13" t="str">
        <x:v>NC motivo 09 conserva referenciaFconfirmed/controlcoincidente; HKA02/transacción04, emisión DEMO habilitada con formasPago 99 nocash paraNC/pendienteND o cobros reales ND contado. SóloNC01/07retornan cantidades originales pendientes; NC04/09sólodiferenciadinero, saldoNC0/devoluciónefectivoregistroseparado.
Cálculo independiente: Fbase 200+IVA32=232; NC07 por 1 UND=116 ystock+1; NC monetaria base 10+IVA1.60=11.60/stock0; ND base 10+IVA1.60=11.60/deudapropia; orden desde factura no repite 2 UND físicas. Negativoanteswrite tieneΔnota/stock/pagos/HTTP0.</x:v>
      </x:c>
      <x:c r="F170" s="13" t="str">
        <x:v>[resources/js/views/tenant/documents/note.vue](../../resources/js/views/tenant/documents/note.vue), [app/Services/Fiscal/FiscalDocumentPersistence.php](../../app/Services/Fiscal/FiscalDocumentPersistence.php), [app/Services/Fiscal/HkaPayloadBuilder.php](../../app/Services/Fiscal/HkaPayloadBuilder.php), [database/seeders/data/tenant_initial_data.php](../../database/seeders/data/tenant_initial_data.php)
Efectos posteriores: Conciliar efectos únicos; conservar payload/control/serie/número/snapshots; nocobros/egresosficticios.
Evidencia: UI/HTTPsaneado/lecturasantesdespués/cálculo y archivos/QRsiaplican; declarar Real DEMO o doble; nunca atribuir evidencia histórica al acorrida.</x:v>
      </x:c>
    </x:row>
    <x:row r="171" ht="56" customHeight="1">
      <x:c r="A171" s="13" t="str">
        <x:v>QA-NOT-005</x:v>
      </x:c>
      <x:c r="B171" s="13" t="str">
        <x:v>ND 02: Incremento de precios, comercial y HKA DEMO</x:v>
      </x:c>
      <x:c r="C171" s="13" t="str">
        <x:v>Factura ordinaria 01 vigente, total 232, 2 UND, mismo cliente/sucursal/moneda/ambiente; control real o fixture separado para preparar.
Factura interna F1tipo01/0101 digital DEMO vigente confirmed/controlcoincidente, clienteC1/S1; G1dosUNDbase100/IVA16,total 232 VES; cobroreal 232. UUID nuevo, serie autorizada tipo/sucursal. Snapshot original y línea base disponibles.</x:v>
      </x:c>
      <x:c r="D171" s="13" t="str">
        <x:v>1. Identificarfixture/corrida y capturar originales de dinero, stock, referencia y UUID.
2. Abrir acción correspondiente a este caso; registrar petición con identidad/partidasoriginales, rol y sucursal autorizados.
3. Ejecutar creación/preparación/conversión o rechazo según el título, con los datos anteriores. Para varios motivos o valores generar variantes individuales; no agregar un único veredicto.
4. Comparar respuesta, guardado y estado fiscal con la expectativa; consultar misma operación si existe incertidumbre, sin duplicar envío.
5. Reabrir, cotejar snapshots/stock/saldo y conservar evidencia propia; separar emisión/distribución de efectos comerciales.</x:v>
      </x:c>
      <x:c r="E171" s="13" t="str">
        <x:v>ND motivo 02 conserva referenciaFconfirmed/controlcoincidente; HKA03/transacción02, emisión DEMO habilitada con formasPago 99 nocash paraNC/pendienteND o cobros reales ND contado. Sólo importe del incremento/cargo, sin inventario; deuda ND propia y pagos propios, no doblesaldoenF.
Cálculo independiente: Fbase 200+IVA32=232; NC07 por 1 UND=116 ystock+1; NC monetaria base 10+IVA1.60=11.60/stock0; ND base 10+IVA1.60=11.60/deudapropia; orden desde factura no repite 2 UND físicas. Negativoanteswrite tieneΔnota/stock/pagos/HTTP0.</x:v>
      </x:c>
      <x:c r="F171" s="13" t="str">
        <x:v>[resources/js/views/tenant/documents/note.vue](../../resources/js/views/tenant/documents/note.vue), [app/Services/Fiscal/FiscalDocumentPersistence.php](../../app/Services/Fiscal/FiscalDocumentPersistence.php), [app/Services/Fiscal/HkaPayloadBuilder.php](../../app/Services/Fiscal/HkaPayloadBuilder.php), [database/seeders/data/tenant_initial_data.php](../../database/seeders/data/tenant_initial_data.php)
Efectos posteriores: Conciliar efectos únicos; conservar payload/control/serie/número/snapshots; nocobros/egresosficticios.
Evidencia: UI/HTTPsaneado/lecturasantesdespués/cálculo y archivos/QRsiaplican; declarar Real DEMO o doble; nunca atribuir evidencia histórica al acorrida.</x:v>
      </x:c>
    </x:row>
    <x:row r="172" ht="56" customHeight="1">
      <x:c r="A172" s="13" t="str">
        <x:v>QA-NOT-006</x:v>
      </x:c>
      <x:c r="B172" s="13" t="str">
        <x:v>ND 01: Intereses, comercial y HKA DEMO</x:v>
      </x:c>
      <x:c r="C172" s="13" t="str">
        <x:v>Factura ordinaria 01 vigente, total 232, 2 UND, mismo cliente/sucursal/moneda/ambiente; control real o fixture separado para preparar.
Factura interna F1tipo01/0101 digital DEMO vigente confirmed/controlcoincidente, clienteC1/S1; G1dosUNDbase100/IVA16,total 232 VES; cobroreal 232. UUID nuevo, serie autorizada tipo/sucursal. Snapshot original y línea base disponibles.</x:v>
      </x:c>
      <x:c r="D172" s="13" t="str">
        <x:v>1. Identificarfixture/corrida y capturar originales de dinero, stock, referencia y UUID.
2. Abrir acción correspondiente a este caso; registrar petición con identidad/partidasoriginales, rol y sucursal autorizados.
3. Ejecutar creación/preparación/conversión o rechazo según el título, con los datos anteriores. Para varios motivos o valores generar variantes individuales; no agregar un único veredicto.
4. Comparar respuesta, guardado y estado fiscal con la expectativa; consultar misma operación si existe incertidumbre, sin duplicar envío.
5. Reabrir, cotejar snapshots/stock/saldo y conservar evidencia propia; separar emisión/distribución de efectos comerciales.</x:v>
      </x:c>
      <x:c r="E172" s="13" t="str">
        <x:v>ND motivo 01 conserva referenciaFconfirmed/controlcoincidente; HKA03/transacción02, emisión DEMO habilitada con formasPago 99 nocash paraNC/pendienteND o cobros reales ND contado. Sólo importe del incremento/cargo, sin inventario; deuda ND propia y pagos propios, no doblesaldoenF.
Cálculo independiente: Fbase 200+IVA32=232; NC07 por 1 UND=116 ystock+1; NC monetaria base 10+IVA1.60=11.60/stock0; ND base 10+IVA1.60=11.60/deudapropia; orden desde factura no repite 2 UND físicas. Negativoanteswrite tieneΔnota/stock/pagos/HTTP0.</x:v>
      </x:c>
      <x:c r="F172" s="13" t="str">
        <x:v>[resources/js/views/tenant/documents/note.vue](../../resources/js/views/tenant/documents/note.vue), [app/Services/Fiscal/FiscalDocumentPersistence.php](../../app/Services/Fiscal/FiscalDocumentPersistence.php), [app/Services/Fiscal/HkaPayloadBuilder.php](../../app/Services/Fiscal/HkaPayloadBuilder.php), [database/seeders/data/tenant_initial_data.php](../../database/seeders/data/tenant_initial_data.php)
Efectos posteriores: Conciliar efectos únicos; conservar payload/control/serie/número/snapshots; nocobros/egresosficticios.
Evidencia: UI/HTTPsaneado/lecturasantesdespués/cálculo y archivos/QRsiaplican; declarar Real DEMO o doble; nunca atribuir evidencia histórica al acorrida.</x:v>
      </x:c>
    </x:row>
    <x:row r="173" ht="56" customHeight="1">
      <x:c r="A173" s="13" t="str">
        <x:v>QA-NOT-007</x:v>
      </x:c>
      <x:c r="B173" s="13" t="str">
        <x:v>ND 03: Fletes y gastos, comercial y HKA DEMO</x:v>
      </x:c>
      <x:c r="C173" s="13" t="str">
        <x:v>Factura ordinaria 01 vigente, total 232, 2 UND, mismo cliente/sucursal/moneda/ambiente; control real o fixture separado para preparar.
Factura interna F1tipo01/0101 digital DEMO vigente confirmed/controlcoincidente, clienteC1/S1; G1dosUNDbase100/IVA16,total 232 VES; cobroreal 232. UUID nuevo, serie autorizada tipo/sucursal. Snapshot original y línea base disponibles.</x:v>
      </x:c>
      <x:c r="D173" s="13" t="str">
        <x:v>1. Identificarfixture/corrida y capturar originales de dinero, stock, referencia y UUID.
2. Abrir acción correspondiente a este caso; registrar petición con identidad/partidasoriginales, rol y sucursal autorizados.
3. Ejecutar creación/preparación/conversión o rechazo según el título, con los datos anteriores. Para varios motivos o valores generar variantes individuales; no agregar un único veredicto.
4. Comparar respuesta, guardado y estado fiscal con la expectativa; consultar misma operación si existe incertidumbre, sin duplicar envío.
5. Reabrir, cotejar snapshots/stock/saldo y conservar evidencia propia; separar emisión/distribución de efectos comerciales.</x:v>
      </x:c>
      <x:c r="E173" s="13" t="str">
        <x:v>ND motivo 03 conserva referenciaFconfirmed/controlcoincidente; HKA03/transacción02, emisión DEMO habilitada con formasPago 99 nocash paraNC/pendienteND o cobros reales ND contado. Sólo importe del incremento/cargo, sin inventario; deuda ND propia y pagos propios, no doblesaldoenF.
Cálculo independiente: Fbase 200+IVA32=232; NC07 por 1 UND=116 ystock+1; NC monetaria base 10+IVA1.60=11.60/stock0; ND base 10+IVA1.60=11.60/deudapropia; orden desde factura no repite 2 UND físicas. Negativoanteswrite tieneΔnota/stock/pagos/HTTP0.</x:v>
      </x:c>
      <x:c r="F173" s="13" t="str">
        <x:v>[resources/js/views/tenant/documents/note.vue](../../resources/js/views/tenant/documents/note.vue), [app/Services/Fiscal/FiscalDocumentPersistence.php](../../app/Services/Fiscal/FiscalDocumentPersistence.php), [app/Services/Fiscal/HkaPayloadBuilder.php](../../app/Services/Fiscal/HkaPayloadBuilder.php), [database/seeders/data/tenant_initial_data.php](../../database/seeders/data/tenant_initial_data.php)
Efectos posteriores: Conciliar efectos únicos; conservar payload/control/serie/número/snapshots; nocobros/egresosficticios.
Evidencia: UI/HTTPsaneado/lecturasantesdespués/cálculo y archivos/QRsiaplican; declarar Real DEMO o doble; nunca atribuir evidencia histórica al acorrida.</x:v>
      </x:c>
    </x:row>
    <x:row r="174" ht="56" customHeight="1">
      <x:c r="A174" s="13" t="str">
        <x:v>QA-NOT-008</x:v>
      </x:c>
      <x:c r="B174" s="13" t="str">
        <x:v>Descripción y motivo obligatorios</x:v>
      </x:c>
      <x:c r="C174" s="13" t="str">
        <x:v>Factura ordinaria 01 vigente, total 232, 2 UND, mismo cliente/sucursal/moneda/ambiente; control real o fixture separado para preparar.
Formulario de NC/ND</x:v>
      </x:c>
      <x:c r="D174" s="13" t="str">
        <x:v>1. Omitir descripción
2. Omitir motivo por separado
3. Enviar request directo</x:v>
      </x:c>
      <x:c r="E174" s="13" t="str">
        <x:v>Validaciones impiden nota sin explicación/motivo; no hay nota parcial ni stock/pagos alterados.</x:v>
      </x:c>
      <x:c r="F174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75" ht="56" customHeight="1">
      <x:c r="A175" s="13" t="str">
        <x:v>QA-NOT-009</x:v>
      </x:c>
      <x:c r="B175" s="13" t="str">
        <x:v>Motivo inactivo o desconocido</x:v>
      </x:c>
      <x:c r="C175" s="13" t="str">
        <x:v>Factura ordinaria 01 vigente, total 232, 2 UND, mismo cliente/sucursal/moneda/ambiente; control real o fixture separado para preparar.
Catálogo QA con motivo temporalmente inactivo</x:v>
      </x:c>
      <x:c r="D175" s="13" t="str">
        <x:v>1. Intentar selección y POST con motivo inactivo
2. Enviar motivo 99/13 retirado donde no esté activo
3. Leer resultado</x:v>
      </x:c>
      <x:c r="E175" s="13" t="str">
        <x:v>Sólo motivos activos del contrato se permiten. La existencia de lógica heredada no habilita un motivo no vigente.</x:v>
      </x:c>
      <x:c r="F175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76" ht="56" customHeight="1">
      <x:c r="A176" s="13" t="str">
        <x:v>QA-NOT-010</x:v>
      </x:c>
      <x:c r="B176" s="13" t="str">
        <x:v>Referencia incorrecta</x:v>
      </x:c>
      <x:c r="C176" s="13" t="str">
        <x:v>Factura ordinaria 01 vigente, total 232, 2 UND, mismo cliente/sucursal/moneda/ambiente; control real o fixture separado para preparar.
Factura y nota de distinto cliente/sucursal/moneda/ambiente</x:v>
      </x:c>
      <x:c r="D176" s="13" t="str">
        <x:v>1. Cambiar affected_document_id para cada incompatibilidad
2. Enviar desde UI/HTTP
3. Leer ventas y referencia</x:v>
      </x:c>
      <x:c r="E176" s="13" t="str">
        <x:v>Servidor exige factura 01 del mismo cliente, sucursal, ambiente y moneda; rechaza referencia a NV u otro tipo.</x:v>
      </x:c>
      <x:c r="F176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77" ht="56" customHeight="1">
      <x:c r="A177" s="13" t="str">
        <x:v>QA-NOT-011</x:v>
      </x:c>
      <x:c r="B177" s="13" t="str">
        <x:v>Crear nota sin control original bloqueado</x:v>
      </x:c>
      <x:c r="C177" s="13" t="str">
        <x:v>Factura ordinaria 01 vigente, total 232, 2 UND, mismo cliente/sucursal/moneda/ambiente; control real o fixture separado para preparar.
F1prepared/controlnull,total 232; intento NC07 por 1 UND con UUID nuevo.</x:v>
      </x:c>
      <x:c r="D177" s="13" t="str">
        <x:v>1. Identificarfixture/corrida y capturar originales de dinero, stock, referencia y UUID.
2. Abrir acción correspondiente a este caso; registrar petición con identidad/partidasoriginales, rol y sucursal autorizados.
3. Ejecutar creación/preparación/conversión o rechazo según el título, con los datos anteriores. Para varios motivos o valores generar variantes individuales; no agregar un único veredicto.
4. Comparar respuesta, guardado y estado fiscal con la expectativa; consultar misma operación si existe incertidumbre, sin duplicar envío.
5. Reabrir, cotejar snapshots/stock/saldo y conservar evidencia propia; separar emisión/distribución de efectos comerciales.</x:v>
      </x:c>
      <x:c r="E177" s="13" t="str">
        <x:v>Creación ordinaria digital requiere factura interna vigenteconfirmed/controlcoincidente. Sincontrolrechazaantesnota/stock/HTTP; no guardar nota nueva para completar control después.
Cálculo independiente: Fbase 200+IVA32=232; NC07 por 1 UND=116 ystock+1; NC monetaria base 10+IVA1.60=11.60/stock0; ND base 10+IVA1.60=11.60/deudapropia; orden desde factura no repite 2 UND físicas. Negativoanteswrite tieneΔnota/stock/pagos/HTTP0.</x:v>
      </x:c>
      <x:c r="F177" s="13" t="str">
        <x:v>[resources/js/views/tenant/documents/note.vue](../../resources/js/views/tenant/documents/note.vue), [app/Services/Fiscal/FiscalDocumentPersistence.php](../../app/Services/Fiscal/FiscalDocumentPersistence.php), [app/Services/Fiscal/HkaPayloadBuilder.php](../../app/Services/Fiscal/HkaPayloadBuilder.php), [database/seeders/data/tenant_initial_data.php](../../database/seeders/data/tenant_initial_data.php)
Efectos posteriores: Conciliar efectos únicos; conservar payload/control/serie/número/snapshots; nocobros/egresosficticios.
Evidencia: UI/HTTPsaneado/lecturasantesdespués/cálculo y archivos/QRsiaplican; declarar Real DEMO o doble; nunca atribuir evidencia histórica al acorrida.</x:v>
      </x:c>
    </x:row>
    <x:row r="178" ht="56" customHeight="1">
      <x:c r="A178" s="13" t="str">
        <x:v>QA-NOT-012</x:v>
      </x:c>
      <x:c r="B178" s="13" t="str">
        <x:v>Completar control sólo en preparación histórica elegible</x:v>
      </x:c>
      <x:c r="C178" s="13" t="str">
        <x:v>Factura ordinaria 01 vigente, total 232, 2 UND, mismo cliente/sucursal/moneda/ambiente; control real o fixture separado para preparar.
Nota histórica ya persistida, referencia original sin control; factura afectada recibe control real confirmed coincidente. Esta excepción no prueba creación actual.</x:v>
      </x:c>
      <x:c r="D178" s="13" t="str">
        <x:v>1. Identificarfixture/corrida y capturar originales de dinero, stock, referencia y UUID.
2. Abrir acción correspondiente a este caso; registrar petición con identidad/partidasoriginales, rol y sucursal autorizados.
3. Ejecutar creación/preparación/conversión o rechazo según el título, con los datos anteriores. Para varios motivos o valores generar variantes individuales; no agregar un único veredicto.
4. Comparar respuesta, guardado y estado fiscal con la expectativa; consultar misma operación si existe incertidumbre, sin duplicar envío.
5. Reabrir, cotejar snapshots/stock/saldo y conservar evidencia propia; separar emisión/distribución de efectos comerciales.</x:v>
      </x:c>
      <x:c r="E178" s="13" t="str">
        <x:v>Para fixture histórico ya existente, preparación puede completar control legítimo faltante bajoTXsinrehacerreferencia. No habilita creaciónactualsinconfirmed/control; identidad/serie/número/fecha/totaloriginalconservados.
Cálculo independiente: Fbase 200+IVA32=232; NC07 por 1 UND=116 ystock+1; NC monetaria base 10+IVA1.60=11.60/stock0; ND base 10+IVA1.60=11.60/deudapropia; orden desde factura no repite 2 UND físicas. Negativoanteswrite tieneΔnota/stock/pagos/HTTP0.</x:v>
      </x:c>
      <x:c r="F178" s="13" t="str">
        <x:v>[resources/js/views/tenant/documents/note.vue](../../resources/js/views/tenant/documents/note.vue), [app/Services/Fiscal/FiscalDocumentPersistence.php](../../app/Services/Fiscal/FiscalDocumentPersistence.php), [app/Services/Fiscal/HkaPayloadBuilder.php](../../app/Services/Fiscal/HkaPayloadBuilder.php), [database/seeders/data/tenant_initial_data.php](../../database/seeders/data/tenant_initial_data.php)
Efectos posteriores: Conciliar efectos únicos; conservar payload/control/serie/número/snapshots; nocobros/egresosficticios.
Evidencia: UI/HTTPsaneado/lecturasantesdespués/cálculo y archivos/QRsiaplican; declarar Real DEMO o doble; nunca atribuir evidencia histórica al acorrida.</x:v>
      </x:c>
    </x:row>
    <x:row r="179" ht="56" customHeight="1">
      <x:c r="A179" s="13" t="str">
        <x:v>QA-NOT-013</x:v>
      </x:c>
      <x:c r="B179" s="13" t="str">
        <x:v>Mapeo interno y externo de notas</x:v>
      </x:c>
      <x:c r="C179" s="13" t="str">
        <x:v>Factura ordinaria 01 vigente, total 232, 2 UND, mismo cliente/sucursal/moneda/ambiente; control real o fixture separado para preparar.
Fixtures NC/ND preparados</x:v>
      </x:c>
      <x:c r="D179" s="13" t="str">
        <x:v>1. Leer document_type_id y payload
2. Comparar tipo HKA y referencia original
3. Leer número visible</x:v>
      </x:c>
      <x:c r="E179" s="13" t="str">
        <x:v>Pro9 07→HKA 02 y 08→HKA 03; no se reemplazan tipos internos ni se envía referencia visible con relleno como original.</x:v>
      </x:c>
      <x:c r="F179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80" ht="56" customHeight="1">
      <x:c r="A180" s="13" t="str">
        <x:v>QA-NOT-014</x:v>
      </x:c>
      <x:c r="B180" s="13" t="str">
        <x:v>NC que excede cantidad/importe original</x:v>
      </x:c>
      <x:c r="C180" s="13" t="str">
        <x:v>Factura ordinaria 01 vigente, total 232, 2 UND, mismo cliente/sucursal/moneda/ambiente; control real o fixture separado para preparar.
Factura 232 con dos UND</x:v>
      </x:c>
      <x:c r="D180" s="13" t="str">
        <x:v>1. Intentar devolución 3 UND y monto&gt;232
2. Intentar varias NC que acumulen exceso
3. Comparar saldo/stock</x:v>
      </x:c>
      <x:c r="E180" s="13" t="str">
        <x:v>No se acredita devolución/ajuste superior al autorizado. Si falta validación acumulada, registrar Reprobó con reproducción, no normalizar exceso como esperado.</x:v>
      </x:c>
      <x:c r="F180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81" ht="56" customHeight="1">
      <x:c r="A181" s="13" t="str">
        <x:v>QA-NOT-015</x:v>
      </x:c>
      <x:c r="B181" s="13" t="str">
        <x:v>Notas de factura anulada o ajena</x:v>
      </x:c>
      <x:c r="C181" s="13" t="str">
        <x:v>Factura ordinaria 01 vigente, total 232, 2 UND, mismo cliente/sucursal/moneda/ambiente; control real o fixture separado para preparar.
Factura anulada y otra sucursal</x:v>
      </x:c>
      <x:c r="D181" s="13" t="str">
        <x:v>1. Intentar abrir/generar nota
2. Repetir HTTP directo
3. Comparar documentos</x:v>
      </x:c>
      <x:c r="E181" s="13" t="str">
        <x:v>No se genera ajuste no autorizado o contra documento no vigente; rechazo sin efectos.</x:v>
      </x:c>
      <x:c r="F181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82" ht="56" customHeight="1">
      <x:c r="A182" s="13" t="str">
        <x:v>QA-NOT-016</x:v>
      </x:c>
      <x:c r="B182" s="13" t="str">
        <x:v>Emisión ordinaria NC ND DEMO habilitada</x:v>
      </x:c>
      <x:c r="C182" s="13" t="str">
        <x:v>Factura ordinaria 01 vigente, total 232, 2 UND, mismo cliente/sucursal/moneda/ambiente; control real o fixture separado para preparar.
Factura interna F1tipo01/0101 digital DEMO vigente confirmed/controlcoincidente, clienteC1/S1; G1dosUNDbase100/IVA16,total 232 VES; cobroreal 232. UUID nuevo, serie autorizada tipo/sucursal. Snapshot original y línea base disponibles.</x:v>
      </x:c>
      <x:c r="D182" s="13" t="str">
        <x:v>1. Identificarfixture/corrida y capturar originales de dinero, stock, referencia y UUID.
2. Abrir acción correspondiente a este caso; registrar petición con identidad/partidasoriginales, rol y sucursal autorizados.
3. Ejecutar creación/preparación/conversión o rechazo según el título, con los datos anteriores. Para varios motivos o valores generar variantes individuales; no agregar un único veredicto.
4. Comparar respuesta, guardado y estado fiscal con la expectativa; consultar misma operación si existe incertidumbre, sin duplicar envío.
5. Reabrir, cotejar snapshots/stock/saldo y conservar evidencia propia; separar emisión/distribución de efectos comerciales.</x:v>
      </x:c>
      <x:c r="E182" s="13" t="str">
        <x:v>NC07→HKA02/ND08→HKA03; notasordinariasdomésticasenDEMOhabilitadasdesdefacturaconfirmada/controlcoincidente. Prepared no aceptación. NC formasPago 99 sin pagos; NDcrédito99pendiente/contadocobrosreales completos. Acreditar Real DEMO propio.
Cálculo independiente: Fbase 200+IVA32=232; NC07 por 1 UND=116 ystock+1; NC monetaria base 10+IVA1.60=11.60/stock0; ND base 10+IVA1.60=11.60/deudapropia; orden desde factura no repite 2 UND físicas. Negativoanteswrite tieneΔnota/stock/pagos/HTTP0.</x:v>
      </x:c>
      <x:c r="F182" s="13" t="str">
        <x:v>[resources/js/views/tenant/documents/note.vue](../../resources/js/views/tenant/documents/note.vue), [app/Services/Fiscal/FiscalDocumentPersistence.php](../../app/Services/Fiscal/FiscalDocumentPersistence.php), [app/Services/Fiscal/HkaPayloadBuilder.php](../../app/Services/Fiscal/HkaPayloadBuilder.php), [database/seeders/data/tenant_initial_data.php](../../database/seeders/data/tenant_initial_data.php)
Efectos posteriores: Conciliar efectos únicos; conservar payload/control/serie/número/snapshots; nocobros/egresosficticios.
Evidencia: UI/HTTPsaneado/lecturasantesdespués/cálculo y archivos/QRsiaplican; declarar Real DEMO o doble; nunca atribuir evidencia histórica al acorrida.</x:v>
      </x:c>
    </x:row>
    <x:row r="183" ht="56" customHeight="1">
      <x:c r="A183" s="13" t="str">
        <x:v>QA-NOT-017</x:v>
      </x:c>
      <x:c r="B183" s="13" t="str">
        <x:v>Nota IGTF generada por pago posterior</x:v>
      </x:c>
      <x:c r="C183" s="13" t="str">
        <x:v>Factura ordinaria 01 vigente, total 232, 2 UND, mismo cliente/sucursal/moneda/ambiente; control real o fixture separado para preparar.
Factura ordinaria USD a crédito; IGTF 3 %</x:v>
      </x:c>
      <x:c r="D183" s="13" t="str">
        <x:v>1. Cobrar principal 10 USD subject desde Pagos
2. Leer nota y recibo derivado
3. Comparar IVA, artículos, stock y caja</x:v>
      </x:c>
      <x:c r="E183" s="13" t="str">
        <x:v>Nota 08 motivo IGTF/transacción 98 total 0.30 USD, sin líneas ni IVA/stock; recepción 10.30 USD una vez, recibo derivado sin otra entrada.</x:v>
      </x:c>
      <x:c r="F183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84" ht="56" customHeight="1">
      <x:c r="A184" s="13" t="str">
        <x:v>QA-NOT-018</x:v>
      </x:c>
      <x:c r="B184" s="13" t="str">
        <x:v>IGTF no se crea como motivo manual libre</x:v>
      </x:c>
      <x:c r="C184" s="13" t="str">
        <x:v>Factura ordinaria 01 vigente, total 232, 2 UND, mismo cliente/sucursal/moneda/ambiente; control real o fixture separado para preparar.
Motivo IGTF visible en catálogo</x:v>
      </x:c>
      <x:c r="D184" s="13" t="str">
        <x:v>1. Intentar generar desde formulario manual como nota con artículos
2. Leer vinculación al pago y respuesta
3. Comparar con automática válida</x:v>
      </x:c>
      <x:c r="E184" s="13" t="str">
        <x:v>No se fabrica impuesto sin pago asociado; comportamiento de selector/backend se registra como requisito a validar. Si permite nota inconsistente, reportar defecto.</x:v>
      </x:c>
      <x:c r="F184" s="13" t="str">
        <x:v>Fuentes: resources/js/views/tenant/documents/note.vue; app/Services/Fiscal/FiscalDocumentPersistence.php; app/Services/Fiscal/HkaPayloadBuilder.php; database/seeders/data/tenant_initial_data.php
Entrada: Listado/detalle de factura → Nota; /documents/note/{id}</x:v>
      </x:c>
    </x:row>
    <x:row r="185" ht="56" customHeight="1">
      <x:c r="A185" s="13" t="str">
        <x:v>QA-NOT-019</x:v>
      </x:c>
      <x:c r="B185" s="13" t="str">
        <x:v>PDF correo y ticket fiscal de notas confirmadas</x:v>
      </x:c>
      <x:c r="C185" s="13" t="str">
        <x:v>Factura ordinaria 01 vigente, total 232, 2 UND, mismo cliente/sucursal/moneda/ambiente; control real o fixture separado para preparar.
Factura interna F1tipo01/0101 digital DEMO vigente confirmed/controlcoincidente, clienteC1/S1; G1dosUNDbase100/IVA16,total 232 VES; cobroreal 232. UUID nuevo, serie autorizada tipo/sucursal. Snapshot original y línea base disponibles.</x:v>
      </x:c>
      <x:c r="D185" s="13" t="str">
        <x:v>1. Identificarfixture/corrida y capturar originales de dinero, stock, referencia y UUID.
2. Abrir acción correspondiente a este caso; registrar petición con identidad/partidasoriginales, rol y sucursal autorizados.
3. Ejecutar creación/preparación/conversión o rechazo según el título, con los datos anteriores. Para varios motivos o valores generar variantes individuales; no agregar un único veredicto.
4. Comparar respuesta, guardado y estado fiscal con la expectativa; consultar misma operación si existe incertidumbre, sin duplicar envío.
5. Reabrir, cotejar snapshots/stock/saldo y conservar evidencia propia; separar emisión/distribución de efectos comerciales.</x:v>
      </x:c>
      <x:c r="E185" s="13" t="str">
        <x:v>A4original/A5vectorial/ticketQRdesdeURLverificada ycorreorastreablesóloconconfirmed/controlcoherente. Fallodistribuciónnopierdecrédito/stock/confirmación; originalsinretocar.
Cálculo independiente: Fbase 200+IVA32=232; NC07 por 1 UND=116 ystock+1; NC monetaria base 10+IVA1.60=11.60/stock0; ND base 10+IVA1.60=11.60/deudapropia; orden desde factura no repite 2 UND físicas. Negativoanteswrite tieneΔnota/stock/pagos/HTTP0.</x:v>
      </x:c>
      <x:c r="F185" s="13" t="str">
        <x:v>[resources/js/views/tenant/documents/note.vue](../../resources/js/views/tenant/documents/note.vue), [app/Services/Fiscal/FiscalDocumentPersistence.php](../../app/Services/Fiscal/FiscalDocumentPersistence.php), [app/Services/Fiscal/HkaPayloadBuilder.php](../../app/Services/Fiscal/HkaPayloadBuilder.php), [database/seeders/data/tenant_initial_data.php](../../database/seeders/data/tenant_initial_data.php)
Efectos posteriores: Conciliar efectos únicos; conservar payload/control/serie/número/snapshots; nocobros/egresosficticios.
Evidencia: UI/HTTPsaneado/lecturasantesdespués/cálculo y archivos/QRsiaplican; declarar Real DEMO o doble; nunca atribuir evidencia histórica al acorrida.</x:v>
      </x:c>
    </x:row>
    <x:row r="186" ht="56" customHeight="1">
      <x:c r="A186" s="13" t="str">
        <x:v>QA-PAG-001</x:v>
      </x:c>
      <x:c r="B186" s="13" t="str">
        <x:v>Cobro posterior parcial</x:v>
      </x:c>
      <x:c r="C186" s="13" t="str">
        <x:v>Factura 116 VES o 10 USD, R 1=40.12345678; R 2=50.00000000; banco/caja QA; UUID por operación.
Factura 116 VES sin pagos</x:v>
      </x:c>
      <x:c r="D186" s="13" t="str">
        <x:v>1. Registrar 30 VES
2. Consultar Pagos y Finanzas
3. Registrar 86 VES en otra operación</x:v>
      </x:c>
      <x:c r="E186" s="13" t="str">
        <x:v>Saldos 86 y 0 respectivamente; principal/recepción correctos y UUIDs distintos.</x:v>
      </x:c>
      <x:c r="F186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87" ht="56" customHeight="1">
      <x:c r="A187" s="13" t="str">
        <x:v>QA-PAG-002</x:v>
      </x:c>
      <x:c r="B187" s="13" t="str">
        <x:v>Cobro posterior sobre saldo</x:v>
      </x:c>
      <x:c r="C187" s="13" t="str">
        <x:v>Factura 116 VES o 10 USD, R 1=40.12345678; R 2=50.00000000; banco/caja QA; UUID por operación.
Saldo 86 VES</x:v>
      </x:c>
      <x:c r="D187" s="13" t="str">
        <x:v>1. Enviar 86.01/100 VES en variantes
2. Intentar simultáneamente dos pagos 60
3. Leer pagos y saldo</x:v>
      </x:c>
      <x:c r="E187" s="13" t="str">
        <x:v>No se supera saldo disponible; transacción bloquea exceso concurrente sin saldo negativo.</x:v>
      </x:c>
      <x:c r="F187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88" ht="56" customHeight="1">
      <x:c r="A188" s="13" t="str">
        <x:v>QA-PAG-003</x:v>
      </x:c>
      <x:c r="B188" s="13" t="str">
        <x:v>Pago VES aplicado a documento USD</x:v>
      </x:c>
      <x:c r="C188" s="13" t="str">
        <x:v>Factura 116 VES o 10 USD, R 1=40.12345678; R 2=50.00000000; banco/caja QA; UUID por operación.
Documento 10 USD; API moneda propia VES y R 1</x:v>
      </x:c>
      <x:c r="D188" s="13" t="str">
        <x:v>1. Enviar original_amount 401.23 VES con UUID y tasa R 1
2. Leer principal aplicado y recepción
3. Calcular división exacta con Decimal</x:v>
      </x:c>
      <x:c r="E188" s="13" t="str">
        <x:v>Aplicación 10.00 USD tras redondeo final, recepción 401.23 VES; caja/banco no registra 10 VES ni 401.23 USD.</x:v>
      </x:c>
      <x:c r="F188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89" ht="56" customHeight="1">
      <x:c r="A189" s="13" t="str">
        <x:v>QA-PAG-004</x:v>
      </x:c>
      <x:c r="B189" s="13" t="str">
        <x:v>Pago USD aplicado a documento VES</x:v>
      </x:c>
      <x:c r="C189" s="13" t="str">
        <x:v>Factura 116 VES o 10 USD, R 1=40.12345678; R 2=50.00000000; banco/caja QA; UUID por operación.
Documento saldo 401.23 VES</x:v>
      </x:c>
      <x:c r="D189" s="13" t="str">
        <x:v>1. Enviar original_amount 10 USD a R 1 y UUID
2. Leer aplicación/recepción
3. Comparar reporte</x:v>
      </x:c>
      <x:c r="E189" s="13" t="str">
        <x:v>Aplicación 401.23 VES y recepción 10 USD, sin redondear tasa antes de multiplicar.</x:v>
      </x:c>
      <x:c r="F189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90" ht="56" customHeight="1">
      <x:c r="A190" s="13" t="str">
        <x:v>QA-PAG-005</x:v>
      </x:c>
      <x:c r="B190" s="13" t="str">
        <x:v>Tasa propia del cobro</x:v>
      </x:c>
      <x:c r="C190" s="13" t="str">
        <x:v>Factura 116 VES o 10 USD, R 1=40.12345678; R 2=50.00000000; banco/caja QA; UUID por operación.
Documento con tasa R 1, cobro con R 2</x:v>
      </x:c>
      <x:c r="D190" s="13" t="str">
        <x:v>1. Cobrar USD usando 50.00000000
2. Leer fuente/fecha/tasa del pago
3. Cambiar tasa actual del catálogo</x:v>
      </x:c>
      <x:c r="E190" s="13" t="str">
        <x:v>Pago mantiene R 2 y aplicación correspondiente; documento conserva R 1. Reportes no recalculan históricos con tasa actual.</x:v>
      </x:c>
      <x:c r="F190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91" ht="56" customHeight="1">
      <x:c r="A191" s="13" t="str">
        <x:v>QA-PAG-006</x:v>
      </x:c>
      <x:c r="B191" s="13" t="str">
        <x:v>Omitir moneda propia por API</x:v>
      </x:c>
      <x:c r="C191" s="13" t="str">
        <x:v>Factura 116 VES o 10 USD, R 1=40.12345678; R 2=50.00000000; banco/caja QA; UUID por operación.
Contrato externo de creación vigente</x:v>
      </x:c>
      <x:c r="D191" s="13" t="str">
        <x:v>1. Enviar pagos con monto/codigo_metodo_pago/codigo_destino_pago
2. Omitir datos nuevos de moneda propia
3. Comparar con transformación vigente</x:v>
      </x:c>
      <x:c r="E191" s="13" t="str">
        <x:v>Compatibilidad previa conservada y moneda/tasa heredadas cuando corresponde; no confundir API externa con payload web.</x:v>
      </x:c>
      <x:c r="F191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92" ht="56" customHeight="1">
      <x:c r="A192" s="13" t="str">
        <x:v>QA-PAG-007</x:v>
      </x:c>
      <x:c r="B192" s="13" t="str">
        <x:v>Moneda propia sin UUID</x:v>
      </x:c>
      <x:c r="C192" s="13" t="str">
        <x:v>Factura 116 VES o 10 USD, R 1=40.12345678; R 2=50.00000000; banco/caja QA; UUID por operación.
Contrato de API con moneda explícita</x:v>
      </x:c>
      <x:c r="D192" s="13" t="str">
        <x:v>1. Enviar sin operation_key y con clave inválida por separado
2. Leer validación
3. Comparar pagos</x:v>
      </x:c>
      <x:c r="E192" s="13" t="str">
        <x:v>Moneda propia exige UUID válido; rechazo no registra principal/impuesto.</x:v>
      </x:c>
      <x:c r="F192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93" ht="56" customHeight="1">
      <x:c r="A193" s="13" t="str">
        <x:v>QA-PAG-008</x:v>
      </x:c>
      <x:c r="B193" s="13" t="str">
        <x:v>Moneda distinta sin importe o tasa</x:v>
      </x:c>
      <x:c r="C193" s="13" t="str">
        <x:v>Factura 116 VES o 10 USD, R 1=40.12345678; R 2=50.00000000; banco/caja QA; UUID por operación.
Factura USD y pago VES</x:v>
      </x:c>
      <x:c r="D193" s="13" t="str">
        <x:v>1. Omitir original_amount
2. Omitir tasa explícita
3. Enviar tasa cero/negativa</x:v>
      </x:c>
      <x:c r="E193" s="13" t="str">
        <x:v>Cada variante rechazada con campo claro; no hereda silenciosamente tasa documental cuando es obligatoria.</x:v>
      </x:c>
      <x:c r="F193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94" ht="56" customHeight="1">
      <x:c r="A194" s="13" t="str">
        <x:v>QA-PAG-009</x:v>
      </x:c>
      <x:c r="B194" s="13" t="str">
        <x:v>Monedas retiradas</x:v>
      </x:c>
      <x:c r="C194" s="13" t="str">
        <x:v>Factura 116 VES o 10 USD, R 1=40.12345678; R 2=50.00000000; banco/caja QA; UUID por operación.
Factura/pago con PEN/VED/VEF desconocida</x:v>
      </x:c>
      <x:c r="D194" s="13" t="str">
        <x:v>1. Enviar cada código por canal que exponga moneda
2. Consultar catálogos
3. Comparar efectos</x:v>
      </x:c>
      <x:c r="E194" s="13" t="str">
        <x:v>Sólo VES/USD internos; no transforma silenciosamente moneda retirada ni cobra pasarela incompatible.</x:v>
      </x:c>
      <x:c r="F194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95" ht="56" customHeight="1">
      <x:c r="A195" s="13" t="str">
        <x:v>QA-PAG-010</x:v>
      </x:c>
      <x:c r="B195" s="13" t="str">
        <x:v>Tasa con ocho decimales y ceros</x:v>
      </x:c>
      <x:c r="C195" s="13" t="str">
        <x:v>Factura 116 VES o 10 USD, R 1=40.12345678; R 2=50.00000000; banco/caja QA; UUID por operación.
R 1 y 50.00000000</x:v>
      </x:c>
      <x:c r="D195" s="13" t="str">
        <x:v>1. Guardar documento y pago
2. Leer cadenas/respuestas/DB
3. Reimprimir y preparar</x:v>
      </x:c>
      <x:c r="E195" s="13" t="str">
        <x:v>Ocho decimales incluidos ceros se conservan; DECIMAL(18,8) y cálculos exactos hasta redondeo monetario final.</x:v>
      </x:c>
      <x:c r="F195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96" ht="56" customHeight="1">
      <x:c r="A196" s="13" t="str">
        <x:v>QA-PAG-011</x:v>
      </x:c>
      <x:c r="B196" s="13" t="str">
        <x:v>Más de ocho decimales significativos</x:v>
      </x:c>
      <x:c r="C196" s="13" t="str">
        <x:v>Factura 116 VES o 10 USD, R 1=40.12345678; R 2=50.00000000; banco/caja QA; UUID por operación.
Tasa 40.123456789</x:v>
      </x:c>
      <x:c r="D196" s="13" t="str">
        <x:v>1. Enviar documento y pago por separado
2. Leer rechazo
3. Comparar importes</x:v>
      </x:c>
      <x:c r="E196" s="13" t="str">
        <x:v>No se redondea silenciosamente para caber en ocho posiciones; valores incompatibles rechazados.</x:v>
      </x:c>
      <x:c r="F196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97" ht="56" customHeight="1">
      <x:c r="A197" s="13" t="str">
        <x:v>QA-PAG-012</x:v>
      </x:c>
      <x:c r="B197" s="13" t="str">
        <x:v>Principal inválido</x:v>
      </x:c>
      <x:c r="C197" s="13" t="str">
        <x:v>Factura 116 VES o 10 USD, R 1=40.12345678; R 2=50.00000000; banco/caja QA; UUID por operación.
Factura saldo positivo</x:v>
      </x:c>
      <x:c r="D197" s="13" t="str">
        <x:v>1. Enviar 0, negativo, texto y 0.001 que redondea a 0
2. Registrar resultado individual
3. Leer pagos</x:v>
      </x:c>
      <x:c r="E197" s="13" t="str">
        <x:v>Importe recibido debe quedar positivo a precisión monetaria; ninguna recepción nula/negativa contabilizada.</x:v>
      </x:c>
      <x:c r="F197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98" ht="56" customHeight="1">
      <x:c r="A198" s="13" t="str">
        <x:v>QA-PAG-013</x:v>
      </x:c>
      <x:c r="B198" s="13" t="str">
        <x:v>Todos los medios de pago activos</x:v>
      </x:c>
      <x:c r="C198" s="13" t="str">
        <x:v>Factura 116 VES o 10 USD, R 1=40.12345678; R 2=50.00000000; banco/caja QA; UUID por operación.
Catálogo payment_method_types del tenant</x:v>
      </x:c>
      <x:c r="D198" s="13" t="str">
        <x:v>1. Crear caso por cada medio activo disponible
2. Cobrar importe conocido con referencia requerida
3. Desactivar un medio y repetir HTTP</x:v>
      </x:c>
      <x:c r="E198" s="13" t="str">
        <x:v>Cada medio se prueba individualmente y conserva snapshot/destino; inactivo rechazado. No asumir que el medio de catálogo 09 es cobro inmediato.</x:v>
      </x:c>
      <x:c r="F198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199" ht="56" customHeight="1">
      <x:c r="A199" s="13" t="str">
        <x:v>QA-PAG-014</x:v>
      </x:c>
      <x:c r="B199" s="13" t="str">
        <x:v>Referencia, fecha y adjunto de pago</x:v>
      </x:c>
      <x:c r="C199" s="13" t="str">
        <x:v>Factura 116 VES o 10 USD, R 1=40.12345678; R 2=50.00000000; banco/caja QA; UUID por operación.
Banco QA y saldo disponible</x:v>
      </x:c>
      <x:c r="D199" s="13" t="str">
        <x:v>1. Guardar fecha válida, referencia y adjunto permitido
2. Probar fecha inválida y adjunto ajeno
3. Descargar evidencia autorizada</x:v>
      </x:c>
      <x:c r="E199" s="13" t="str">
        <x:v>Datos trazables del pago; archivos por tenant/documento. Valores inválidos no generan otro pago.</x:v>
      </x:c>
      <x:c r="F199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200" ht="180" customHeight="1">
      <x:c r="A200" s="13" t="str">
        <x:v>QA-PAG-015</x:v>
      </x:c>
      <x:c r="B200" s="13" t="str">
        <x:v>Idempotencia del pago</x:v>
      </x:c>
      <x:c r="C200" s="13" t="str">
        <x:v>Factura 116 VES o 10 USD, R 1=40.12345678; R 2=50.00000000; banco/caja QA; UUID por operación.
Pago con UUIDK y datos D</x:v>
      </x:c>
      <x:c r="D200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Enviar D/K dos veces.
4. Leer IDs y caja.
5. Repetir K con importe/moneda/destino distintos.
6. Recargar/reabrir o consultar desde una segunda lectura autorizada; contrastar resultado inmediato y persistido con los criterios siguientes. No repetir creación/envío con resultado desconocido sin conciliar primero.</x:v>
      </x:c>
      <x:c r="E200" s="13" t="str">
        <x:v>Mismo D/K devuelve mismo pago sin otro ingreso; UUID reutilizado con datos distintos rechazado.
Control independiente: Aplicar oráculos y controles del grupo y guía de ejecución.</x:v>
      </x:c>
      <x:c r="F200" s="13" t="str">
        <x:v>Fuentes: app/Services/Fiscal/FiscalAmounts.php, app/Services/Fiscal/FiscalDocumentPersistence.php, app/Http/Controllers/Tenant/DocumentPaymentController.php, tests/Unit/FiscalApiPaymentTransformTest.php
Entrada: Pagos de factura; POST /document_payments; API de creación pagos
Contrato actualizado: Replay sólo si UUID y contexto fiscal original coinciden: importe, moneda/tasa, fecha, intermediación, clasificación/fundamento y documento. Cambio de cualquiera rechaza conflicto sin otro ingreso; versiones de perfil posteriores no recatalogan el pago histórico.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01" ht="180" customHeight="1">
      <x:c r="A201" s="13" t="str">
        <x:v>QA-PAG-016</x:v>
      </x:c>
      <x:c r="B201" s="13" t="str">
        <x:v>Idempotencia concurrente de pago</x:v>
      </x:c>
      <x:c r="C201" s="13" t="str">
        <x:v>Factura 116 VES o 10 USD, R 1=40.12345678; R 2=50.00000000; banco/caja QA; UUID por operación.
Dos procesos con misma clave K</x:v>
      </x:c>
      <x:c r="D201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Enviar simultáneamente mismo pago.
4. Esperar respuestas.
5. Leer restricciones únicas/caja.
6. Recargar/reabrir o consultar desde una segunda lectura autorizada; contrastar resultado inmediato y persistido con los criterios siguientes. No repetir creación/envío con resultado desconocido sin conciliar primero.</x:v>
      </x:c>
      <x:c r="E201" s="13" t="str">
        <x:v>Un pago lógico, un impuesto y una recepción; respuestas coherentes.
Control independiente: Aplicar oráculos y controles del grupo y guía de ejecución.</x:v>
      </x:c>
      <x:c r="F201" s="13" t="str">
        <x:v>Fuentes: app/Services/Fiscal/FiscalAmounts.php, app/Services/Fiscal/FiscalDocumentPersistence.php, app/Http/Controllers/Tenant/DocumentPaymentController.php, tests/Unit/FiscalApiPaymentTransformTest.php
Entrada: Pagos de factura; POST /document_payments; API de creación pagos
Contrato actualizado: Replay sólo si UUID y contexto fiscal original coinciden: importe, moneda/tasa, fecha, intermediación, clasificación/fundamento y documento. Cambio de cualquiera rechaza conflicto sin otro ingreso; versiones de perfil posteriores no recatalogan el pago histórico.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02" ht="56" customHeight="1">
      <x:c r="A202" s="13" t="str">
        <x:v>QA-PAG-017</x:v>
      </x:c>
      <x:c r="B202" s="13" t="str">
        <x:v>No editar pago contabilizado</x:v>
      </x:c>
      <x:c r="C202" s="13" t="str">
        <x:v>Factura 116 VES o 10 USD, R 1=40.12345678; R 2=50.00000000; banco/caja QA; UUID por operación.
Pago activo existente</x:v>
      </x:c>
      <x:c r="D202" s="13" t="str">
        <x:v>1. Enviar id para modificar importe/fecha/destino
2. Leer validación
3. Usar reversión y nueva operación válidas</x:v>
      </x:c>
      <x:c r="E202" s="13" t="str">
        <x:v>Pago existente no se edita silenciosamente; debe revertirse y crear operación nueva para corregir.</x:v>
      </x:c>
      <x:c r="F202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203" ht="56" customHeight="1">
      <x:c r="A203" s="13" t="str">
        <x:v>QA-PAG-018</x:v>
      </x:c>
      <x:c r="B203" s="13" t="str">
        <x:v>Revertir pago con motivo</x:v>
      </x:c>
      <x:c r="C203" s="13" t="str">
        <x:v>Factura 116 VES o 10 USD, R 1=40.12345678; R 2=50.00000000; banco/caja QA; UUID por operación.
Pago activo con caja/banco</x:v>
      </x:c>
      <x:c r="D203" s="13" t="str">
        <x:v>1. Revertir con explicación
2. Leer reversed_at/reversed_by/reason
3. Consultar saldo y movimientos</x:v>
      </x:c>
      <x:c r="E203" s="13" t="str">
        <x:v>Pago conservado y excluido de saldo; recepción revertida conforme a flujo y actor/fecha/motivo trazables.</x:v>
      </x:c>
      <x:c r="F203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204" ht="56" customHeight="1">
      <x:c r="A204" s="13" t="str">
        <x:v>QA-PAG-019</x:v>
      </x:c>
      <x:c r="B204" s="13" t="str">
        <x:v>Reversión sin permiso o motivo</x:v>
      </x:c>
      <x:c r="C204" s="13" t="str">
        <x:v>Factura 116 VES o 10 USD, R 1=40.12345678; R 2=50.00000000; banco/caja QA; UUID por operación.
Pago activo</x:v>
      </x:c>
      <x:c r="D204" s="13" t="str">
        <x:v>1. Omitir razón
2. Repetir con usuario sin delete_payment
3. Leer estado</x:v>
      </x:c>
      <x:c r="E204" s="13" t="str">
        <x:v>Bloqueo en servidor sin alterar saldo/caja; no basta esconder botón.</x:v>
      </x:c>
      <x:c r="F204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205" ht="56" customHeight="1">
      <x:c r="A205" s="13" t="str">
        <x:v>QA-PAG-020</x:v>
      </x:c>
      <x:c r="B205" s="13" t="str">
        <x:v>Repetir reversión y reutilizar clave</x:v>
      </x:c>
      <x:c r="C205" s="13" t="str">
        <x:v>Factura 116 VES o 10 USD, R 1=40.12345678; R 2=50.00000000; banco/caja QA; UUID por operación.
Pago ya revertido</x:v>
      </x:c>
      <x:c r="D205" s="13" t="str">
        <x:v>1. Revertir de nuevo
2. Intentar crear nuevo pago con UUID original
3. Leer saldo y caja</x:v>
      </x:c>
      <x:c r="E205" s="13" t="str">
        <x:v>Reversión no se aplica dos veces; clave de pago revertido no autoriza nuevo cobro.</x:v>
      </x:c>
      <x:c r="F205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206" ht="56" customHeight="1">
      <x:c r="A206" s="13" t="str">
        <x:v>QA-PAG-021</x:v>
      </x:c>
      <x:c r="B206" s="13" t="str">
        <x:v>Vuelto de efectivo</x:v>
      </x:c>
      <x:c r="C206" s="13" t="str">
        <x:v>Factura 116 VES o 10 USD, R 1=40.12345678; R 2=50.00000000; banco/caja QA; UUID por operación.
Total 116 VES, entrega 120</x:v>
      </x:c>
      <x:c r="D206" s="13" t="str">
        <x:v>1. Cobrar mostrando entrega 120
2. Guardar
3. Leer principal/efectivo/vuelto y reporte</x:v>
      </x:c>
      <x:c r="E206" s="13" t="str">
        <x:v>Principal neto 116 y vuelto 4; no se registra venta 120 ni IGTF sobre vuelto; recepción efectiva neta conciliada.</x:v>
      </x:c>
      <x:c r="F206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207" ht="56" customHeight="1">
      <x:c r="A207" s="13" t="str">
        <x:v>QA-PAG-022</x:v>
      </x:c>
      <x:c r="B207" s="13" t="str">
        <x:v>Pagos mixtos en otra moneda sólo por API</x:v>
      </x:c>
      <x:c r="C207" s="13" t="str">
        <x:v>Factura 116 VES o 10 USD, R 1=40.12345678; R 2=50.00000000; banco/caja QA; UUID por operación.
API soportada y UI actual</x:v>
      </x:c>
      <x:c r="D207" s="13" t="str">
        <x:v>1. Registrar suboperaciones USD/VES con UUIDs
2. Verificar sumas aplicadas
3. Revisar pantalla de pago</x:v>
      </x:c>
      <x:c r="E207" s="13" t="str">
        <x:v>Backend conserva cada moneda; UI no se declara capaz de selector propio/mixto que no existe. Evidencia API no sustituye prueba visual.</x:v>
      </x:c>
      <x:c r="F207" s="13" t="str">
        <x:v>Fuentes: app/Services/Fiscal/FiscalAmounts.php; app/Services/Fiscal/FiscalDocumentPersistence.php; app/Http/Controllers/Tenant/DocumentPaymentController.php; tests/Unit/FiscalApiPaymentTransformTest.php
Entrada: Pagos de factura; POST /document_payments; API de creación pagos</x:v>
      </x:c>
    </x:row>
    <x:row r="208" ht="192" customHeight="1">
      <x:c r="A208" s="13" t="str">
        <x:v>QA-IGT-001</x:v>
      </x:c>
      <x:c r="B208" s="13" t="str">
        <x:v>IGTF inicial sujeto</x:v>
      </x:c>
      <x:c r="C208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Principal 100 USD y tasa IGTF 3 %</x:v>
      </x:c>
      <x:c r="D208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Clasificar subject.
4. Pagar principal 100 más impuesto 3.
5. Guardar y leer impuestos/recibos/total.
6. Recargar/reabrir o consultar desde una segunda lectura autorizada; contrastar resultado inmediato y persistido con los criterios siguientes. No repetir creación/envío con resultado desconocido sin conciliar primero.</x:v>
      </x:c>
      <x:c r="E208" s="13" t="str">
        <x:v>Impuesto 3 USD separado, total 103 USD; principal 100 y recibo derivado 3 liquidan sin duplicar recepción 103. Factura no contiene IVA adicional por IGTF.
Control independiente: Aplicar oráculos y controles del grupo y guía de ejecución.</x:v>
      </x:c>
      <x:c r="F208" s="13" t="str">
        <x:v>Fuentes: app/Services/Fiscal/FiscalAmounts.php, app/Services/Fiscal/FiscalDocumentPersistence.php, resources/js/views/tenant/documents/partials/igtf_fields.vue
Entrada: Clasificación IGTF en pago inicial y Pagos posteriores
Contrato actualizado: Para cobro sujeto: perfil del emisor SPE vigente a fecha del pago, moneda recibida USD e intermediación explícita none, configuración IGTF habilitada y tasa QA positiva. Moneda documental, método y SPE del comprador no sustituyen esta decisión. Excepción sólo admin con motivo y exception_basis; conservar snapshot/actor. Producción y homologación remota de notas no acreditadas.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09" ht="144" customHeight="1">
      <x:c r="A209" s="13" t="str">
        <x:v>QA-IGT-002</x:v>
      </x:c>
      <x:c r="B209" s="13" t="str">
        <x:v>No aplica no cobra IGTF</x:v>
      </x:c>
      <x:c r="C209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Variantes independientes: emisor no SPE+USD; emisor SPE+VES; emisor SPE+USD+ financial_institution. Total principal 100, tasa IGTF QA 3 %.</x:v>
      </x:c>
      <x:c r="D209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Seleccionar not_applicable.
4. Guardar.
5. Comparar impuesto y caja.
6. Recargar/reabrir o consultar desde una segunda lectura autorizada; contrastar resultado inmediato y persistido con los criterios siguientes. No repetir creación/envío con resultado desconocido sin conciliar primero.</x:v>
      </x:c>
      <x:c r="E209" s="13" t="str">
        <x:v>En cada variante clasificación not_applicable e impuesto 0: decide perfil vigente emisor+moneda recibida+intermediación. USD/emisor SPE sin intermediación explícita se rechaza, no se convierte automáticamente en not_applicable.
Control independiente: Aplicar oráculos y controles del grupo y guía de ejecución.</x:v>
      </x:c>
      <x:c r="F209" s="13" t="str">
        <x:v>Fuentes: app/Services/Fiscal/FiscalAmounts.php, app/Services/Fiscal/FiscalDocumentPersistence.php, resources/js/views/tenant/documents/partials/igtf_fields.vue
Entrada: Clasificación IGTF en pago inicial y Pagos posteriores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10" ht="144" customHeight="1">
      <x:c r="A210" s="13" t="str">
        <x:v>QA-IGT-003</x:v>
      </x:c>
      <x:c r="B210" s="13" t="str">
        <x:v>Excepción IGTF administrativa con motivo y fundamento</x:v>
      </x:c>
      <x:c r="C210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U-ADMIN, emisor SPE vigente, pago USD 100 con none; exemption_reason QA-EXCEPCION y exception_basis QA-FUNDAMENTO.</x:v>
      </x:c>
      <x:c r="D210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Seleccionar exempt y escribir motivo QA.
4. Guardar.
5. Leer clasificación/razón/impuesto.
6. Recargar/reabrir o consultar desde una segunda lectura autorizada; contrastar resultado inmediato y persistido con los criterios siguientes. No repetir creación/envío con resultado desconocido sin conciliar primero.</x:v>
      </x:c>
      <x:c r="E210" s="13" t="str">
        <x:v>Admin puede declarar exempt con motivo/fundamento no vacíos; tax_amount0 y snapshot conserva authorized_by. Vendedor sin permiso recibe 403; no basta motivo solo ni identidad/moneda para exención.
Control independiente: Aplicar oráculos y controles del grupo y guía de ejecución.</x:v>
      </x:c>
      <x:c r="F210" s="13" t="str">
        <x:v>Fuentes: app/Services/Fiscal/FiscalAmounts.php, app/Services/Fiscal/FiscalDocumentPersistence.php, resources/js/views/tenant/documents/partials/igtf_fields.vue
Entrada: Clasificación IGTF en pago inicial y Pagos posteriores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11" ht="144" customHeight="1">
      <x:c r="A211" s="13" t="str">
        <x:v>QA-IGT-004</x:v>
      </x:c>
      <x:c r="B211" s="13" t="str">
        <x:v>Excepción IGTF incompleta o sin permiso</x:v>
      </x:c>
      <x:c r="C211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Pago exento</x:v>
      </x:c>
      <x:c r="D211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Omitir razón o sólo espacios.
4. Enviar por UI/HTTP.
5. Leer pagos.
6. Recargar/reabrir o consultar desde una segunda lectura autorizada; contrastar resultado inmediato y persistido con los criterios siguientes. No repetir creación/envío con resultado desconocido sin conciliar primero.</x:v>
      </x:c>
      <x:c r="E211" s="13" t="str">
        <x:v>Rechazar excepción sin motivo, sin exception_basis o no administrador; variantes con resultados individuales. Cero pago/impuesto/recibo parcial y cero cambio de saldo.
Control independiente: Aplicar oráculos y controles del grupo y guía de ejecución.</x:v>
      </x:c>
      <x:c r="F211" s="13" t="str">
        <x:v>Fuentes: app/Services/Fiscal/FiscalAmounts.php, app/Services/Fiscal/FiscalDocumentPersistence.php, resources/js/views/tenant/documents/partials/igtf_fields.vue
Entrada: Clasificación IGTF en pago inicial y Pagos posteriores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12" ht="144" customHeight="1">
      <x:c r="A212" s="13" t="str">
        <x:v>QA-IGT-005</x:v>
      </x:c>
      <x:c r="B212" s="13" t="str">
        <x:v>Subject no válido</x:v>
      </x:c>
      <x:c r="C212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IGTF deshabilitado o pago VES</x:v>
      </x:c>
      <x:c r="D212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Enviar subject en variantes independientes.
4. Leer errores.
5. Comprobar caja.
6. Recargar/reabrir o consultar desde una segunda lectura autorizada; contrastar resultado inmediato y persistido con los criterios siguientes. No repetir creación/envío con resultado desconocido sin conciliar primero.</x:v>
      </x:c>
      <x:c r="E212" s="13" t="str">
        <x:v>subject exige emisor SPE vigente, moneda recibida USD e intermediación none, además habilitación/tasa positiva. Clasificación contradictoria del cliente o intermediación omitida en USD/emisor SPE se rechaza antes de cobro.
Control independiente: Aplicar oráculos y controles del grupo y guía de ejecución.</x:v>
      </x:c>
      <x:c r="F212" s="13" t="str">
        <x:v>Fuentes: app/Services/Fiscal/FiscalAmounts.php, app/Services/Fiscal/FiscalDocumentPersistence.php, resources/js/views/tenant/documents/partials/igtf_fields.vue
Entrada: Clasificación IGTF en pago inicial y Pagos posteriores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13" ht="192" customHeight="1">
      <x:c r="A213" s="13" t="str">
        <x:v>QA-IGT-006</x:v>
      </x:c>
      <x:c r="B213" s="13" t="str">
        <x:v>IGTF sólo sobre neto</x:v>
      </x:c>
      <x:c r="C213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Cobro USD 100 con vuelto 10 y retenciones/fondo separados</x:v>
      </x:c>
      <x:c r="D213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Registrar principal neto real según pago.
4. Calcular 3 % del neto.
5. Comparar impuestos y caja.
6. Recargar/reabrir o consultar desde una segunda lectura autorizada; contrastar resultado inmediato y persistido con los criterios siguientes. No repetir creación/envío con resultado desconocido sin conciliar primero.</x:v>
      </x:c>
      <x:c r="E213" s="13" t="str">
        <x:v>IGTF no grava vuelto, retenciones, fondo ni el propio impuesto. Base fiscal y recepción neta quedan identificadas.
Control independiente: Aplicar oráculos y controles del grupo y guía de ejecución.</x:v>
      </x:c>
      <x:c r="F213" s="13" t="str">
        <x:v>Fuentes: app/Services/Fiscal/FiscalAmounts.php, app/Services/Fiscal/FiscalDocumentPersistence.php, resources/js/views/tenant/documents/partials/igtf_fields.vue
Entrada: Clasificación IGTF en pago inicial y Pagos posteriores
Contrato actualizado: Para cobro sujeto: perfil del emisor SPE vigente a fecha del pago, moneda recibida USD e intermediación explícita none, configuración IGTF habilitada y tasa QA positiva. Moneda documental, método y SPE del comprador no sustituyen esta decisión. Excepción sólo admin con motivo y exception_basis; conservar snapshot/actor. Producción y homologación remota de notas no acreditadas.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14" ht="192" customHeight="1">
      <x:c r="A214" s="13" t="str">
        <x:v>QA-IGT-007</x:v>
      </x:c>
      <x:c r="B214" s="13" t="str">
        <x:v>IGTF posterior crea ND local</x:v>
      </x:c>
      <x:c r="C214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Factura 100 USD sin cobros</x:v>
      </x:c>
      <x:c r="D214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Cobrar 20 USD subject.
4. Leer ND 08/IGTF/98 y recibo derivado.
5. Comparar saldo e inventario.
6. Recargar/reabrir o consultar desde una segunda lectura autorizada; contrastar resultado inmediato y persistido con los criterios siguientes. No repetir creación/envío con resultado desconocido sin conciliar primero.</x:v>
      </x:c>
      <x:c r="E214" s="13" t="str">
        <x:v>IGTF 0.60 USD, principal aplicado 20, saldo principal 80, nota sin líneas/IVA; caja 20.60 una vez.
Control independiente: Aplicar oráculos y controles del grupo y guía de ejecución.</x:v>
      </x:c>
      <x:c r="F214" s="13" t="str">
        <x:v>Fuentes: app/Services/Fiscal/FiscalAmounts.php, app/Services/Fiscal/FiscalDocumentPersistence.php, resources/js/views/tenant/documents/partials/igtf_fields.vue
Entrada: Clasificación IGTF en pago inicial y Pagos posteriores
Contrato actualizado: Para cobro sujeto: perfil del emisor SPE vigente a fecha del pago, moneda recibida USD e intermediación explícita none, configuración IGTF habilitada y tasa QA positiva. Moneda documental, método y SPE del comprador no sustituyen esta decisión. Excepción sólo admin con motivo y exception_basis; conservar snapshot/actor. Producción y homologación remota de notas no acreditadas.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15" ht="192" customHeight="1">
      <x:c r="A215" s="13" t="str">
        <x:v>QA-IGT-008</x:v>
      </x:c>
      <x:c r="B215" s="13" t="str">
        <x:v>IGTF posterior sin serie autorizada</x:v>
      </x:c>
      <x:c r="C215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Factura a crédito y sin serie 08 permitida</x:v>
      </x:c>
      <x:c r="D215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Cobrar subject.
4. Leer error.
5. Comprobar pagos/notas/caja.
6. Recargar/reabrir o consultar desde una segunda lectura autorizada; contrastar resultado inmediato y persistido con los criterios siguientes. No repetir creación/envío con resultado desconocido sin conciliar primero.</x:v>
      </x:c>
      <x:c r="E215" s="13" t="str">
        <x:v>Cobro completo se rechaza y hace rollback; no principal sin impuesto ni nota sin identidad.
Control independiente: Aplicar oráculos y controles del grupo y guía de ejecución.</x:v>
      </x:c>
      <x:c r="F215" s="13" t="str">
        <x:v>Fuentes: app/Services/Fiscal/FiscalAmounts.php, app/Services/Fiscal/FiscalDocumentPersistence.php, resources/js/views/tenant/documents/partials/igtf_fields.vue
Entrada: Clasificación IGTF en pago inicial y Pagos posteriores
Contrato actualizado: Para cobro sujeto: perfil del emisor SPE vigente a fecha del pago, moneda recibida USD e intermediación explícita none, configuración IGTF habilitada y tasa QA positiva. Moneda documental, método y SPE del comprador no sustituyen esta decisión. Excepción sólo admin con motivo y exception_basis; conservar snapshot/actor. Producción y homologación remota de notas no acreditadas.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16" ht="192" customHeight="1">
      <x:c r="A216" s="13" t="str">
        <x:v>QA-IGT-009</x:v>
      </x:c>
      <x:c r="B216" s="13" t="str">
        <x:v>Dos cobros sujetos y UUIDs</x:v>
      </x:c>
      <x:c r="C216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Factura 100 USD pendiente</x:v>
      </x:c>
      <x:c r="D216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Cobrar 20 y 30 con UUIDs distintos.
4. Repetir primer UUID.
5. Leer notas/impuestos/recibos.
6. Recargar/reabrir o consultar desde una segunda lectura autorizada; contrastar resultado inmediato y persistido con los criterios siguientes. No repetir creación/envío con resultado desconocido sin conciliar primero.</x:v>
      </x:c>
      <x:c r="E216" s="13" t="str">
        <x:v>Dos cargos 0.60/0.90 ligados a pagos; replay no crea un tercero ni duplica efectivo.
Control independiente: Aplicar oráculos y controles del grupo y guía de ejecución.</x:v>
      </x:c>
      <x:c r="F216" s="13" t="str">
        <x:v>Fuentes: app/Services/Fiscal/FiscalAmounts.php, app/Services/Fiscal/FiscalDocumentPersistence.php, resources/js/views/tenant/documents/partials/igtf_fields.vue
Entrada: Clasificación IGTF en pago inicial y Pagos posteriores
Contrato actualizado: Para cobro sujeto: perfil del emisor SPE vigente a fecha del pago, moneda recibida USD e intermediación explícita none, configuración IGTF habilitada y tasa QA positiva. Moneda documental, método y SPE del comprador no sustituyen esta decisión. Excepción sólo admin con motivo y exception_basis; conservar snapshot/actor. Producción y homologación remota de notas no acreditadas.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17" ht="192" customHeight="1">
      <x:c r="A217" s="13" t="str">
        <x:v>QA-IGT-010</x:v>
      </x:c>
      <x:c r="B217" s="13" t="str">
        <x:v>Revertir IGTF inicial</x:v>
      </x:c>
      <x:c r="C217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Factura con IGTF inicial y pago activo</x:v>
      </x:c>
      <x:c r="D217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Revertir pago con motivo.
4. Leer cargo fiscal y recibo derivado.
5. Consultar saldo/caja.
6. Recargar/reabrir o consultar desde una segunda lectura autorizada; contrastar resultado inmediato y persistido con los criterios siguientes. No repetir creación/envío con resultado desconocido sin conciliar primero.</x:v>
      </x:c>
      <x:c r="E217" s="13" t="str">
        <x:v>Pago/derivado revertidos, cargo inicial sigue trazable; no se reescribe factura fiscal ni se borra impuesto silenciosamente.
Control independiente: Aplicar oráculos y controles del grupo y guía de ejecución.</x:v>
      </x:c>
      <x:c r="F217" s="13" t="str">
        <x:v>Fuentes: app/Services/Fiscal/FiscalAmounts.php, app/Services/Fiscal/FiscalDocumentPersistence.php, resources/js/views/tenant/documents/partials/igtf_fields.vue
Entrada: Clasificación IGTF en pago inicial y Pagos posteriores
Contrato actualizado: Para cobro sujeto: perfil del emisor SPE vigente a fecha del pago, moneda recibida USD e intermediación explícita none, configuración IGTF habilitada y tasa QA positiva. Moneda documental, método y SPE del comprador no sustituyen esta decisión. Excepción sólo admin con motivo y exception_basis; conservar snapshot/actor. Producción y homologación remota de notas no acreditadas.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18" ht="192" customHeight="1">
      <x:c r="A218" s="13" t="str">
        <x:v>QA-IGT-011</x:v>
      </x:c>
      <x:c r="B218" s="13" t="str">
        <x:v>Revertir IGTF posterior no preparado</x:v>
      </x:c>
      <x:c r="C218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Nota IGTF local not_requested</x:v>
      </x:c>
      <x:c r="D218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Revertir pago padre.
4. Leer nota y recibo.
5. Consultar caja.
6. Recargar/reabrir o consultar desde una segunda lectura autorizada; contrastar resultado inmediato y persistido con los criterios siguientes. No repetir creación/envío con resultado desconocido sin conciliar primero.</x:v>
      </x:c>
      <x:c r="E218" s="13" t="str">
        <x:v>Nota se anula localmente y recibo derivado se revierte con pago padre; un solo efecto de reversión.
Control independiente: Aplicar oráculos y controles del grupo y guía de ejecución.</x:v>
      </x:c>
      <x:c r="F218" s="13" t="str">
        <x:v>Fuentes: app/Services/Fiscal/FiscalAmounts.php, app/Services/Fiscal/FiscalDocumentPersistence.php, resources/js/views/tenant/documents/partials/igtf_fields.vue
Entrada: Clasificación IGTF en pago inicial y Pagos posteriores
Contrato actualizado: Para cobro sujeto: perfil del emisor SPE vigente a fecha del pago, moneda recibida USD e intermediación explícita none, configuración IGTF habilitada y tasa QA positiva. Moneda documental, método y SPE del comprador no sustituyen esta decisión. Excepción sólo admin con motivo y exception_basis; conservar snapshot/actor. Producción y homologación remota de notas no acreditadas.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19" ht="192" customHeight="1">
      <x:c r="A219" s="13" t="str">
        <x:v>QA-IGT-012</x:v>
      </x:c>
      <x:c r="B219" s="13" t="str">
        <x:v>Revertir IGTF posterior preparado</x:v>
      </x:c>
      <x:c r="C219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Nota IGTF prepared</x:v>
      </x:c>
      <x:c r="D219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Intentar revertir pago padre.
4. Leer validación.
5. Comparar todos los estados.
6. Recargar/reabrir o consultar desde una segunda lectura autorizada; contrastar resultado inmediato y persistido con los criterios siguientes. No repetir creación/envío con resultado desconocido sin conciliar primero.</x:v>
      </x:c>
      <x:c r="E219" s="13" t="str">
        <x:v>Reversión completa rechazada hasta ajuste fiscal implementado; no queda principal revertido con cargo activo inconsistente.
Control independiente: Aplicar oráculos y controles del grupo y guía de ejecución.</x:v>
      </x:c>
      <x:c r="F219" s="13" t="str">
        <x:v>Fuentes: app/Services/Fiscal/FiscalAmounts.php, app/Services/Fiscal/FiscalDocumentPersistence.php, resources/js/views/tenant/documents/partials/igtf_fields.vue
Entrada: Clasificación IGTF en pago inicial y Pagos posteriores
Contrato actualizado: Para cobro sujeto: perfil del emisor SPE vigente a fecha del pago, moneda recibida USD e intermediación explícita none, configuración IGTF habilitada y tasa QA positiva. Moneda documental, método y SPE del comprador no sustituyen esta decisión. Excepción sólo admin con motivo y exception_basis; conservar snapshot/actor. Producción y homologación remota de notas no acreditadas.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20" ht="192" customHeight="1">
      <x:c r="A220" s="13" t="str">
        <x:v>QA-IGT-013</x:v>
      </x:c>
      <x:c r="B220" s="13" t="str">
        <x:v>Revertir derivado aislado</x:v>
      </x:c>
      <x:c r="C220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Recibo receipt_parent_id existente</x:v>
      </x:c>
      <x:c r="D220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Intentar DELETE del derivado.
4. Leer rechazo.
5. Consultar pago padre.
6. Recargar/reabrir o consultar desde una segunda lectura autorizada; contrastar resultado inmediato y persistido con los criterios siguientes. No repetir creación/envío con resultado desconocido sin conciliar primero.</x:v>
      </x:c>
      <x:c r="E220" s="13" t="str">
        <x:v>Debe revertirse padre; derivado aislado bloqueado, sin otra salida de caja.
Control independiente: Aplicar oráculos y controles del grupo y guía de ejecución.</x:v>
      </x:c>
      <x:c r="F220" s="13" t="str">
        <x:v>Fuentes: app/Services/Fiscal/FiscalAmounts.php, app/Services/Fiscal/FiscalDocumentPersistence.php, resources/js/views/tenant/documents/partials/igtf_fields.vue
Entrada: Clasificación IGTF en pago inicial y Pagos posteriores
Contrato actualizado: Para cobro sujeto: perfil del emisor SPE vigente a fecha del pago, moneda recibida USD e intermediación explícita none, configuración IGTF habilitada y tasa QA positiva. Moneda documental, método y SPE del comprador no sustituyen esta decisión. Excepción sólo admin con motivo y exception_basis; conservar snapshot/actor. Producción y homologación remota de notas no acreditadas.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21" ht="192" customHeight="1">
      <x:c r="A221" s="13" t="str">
        <x:v>QA-IGT-014</x:v>
      </x:c>
      <x:c r="B221" s="13" t="str">
        <x:v>IGTF inicial exportación y terceros</x:v>
      </x:c>
      <x:c r="C221" s="13" t="str">
        <x:v>Tenant QA IGTF habilitado 3 %; factura USD principal 100, serie 08 autorizada. Para subject: emisor SPE vigente a fecha del pago, moneda recibida USD e intermediación none explícita. not_applicable según perfil/moneda/intermediación; exempt sólo admin con motivo yfundamento. Snapshots e idempotencia según contexto fiscal original.
Facturas exportación/terceros USD contado</x:v>
      </x:c>
      <x:c r="D221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Aplicar subject inicial válido en cada una.
4. Guardar/preparar con doble.
5. Conciliar payload y cobro.
6. Recargar/reabrir o consultar desde una segunda lectura autorizada; contrastar resultado inmediato y persistido con los criterios siguientes. No repetir creación/envío con resultado desconocido sin conciliar primero.</x:v>
      </x:c>
      <x:c r="E221" s="13" t="str">
        <x:v>Flujo inicial vigente y totales adaptados concilian; no habilita notas posteriores de esas categorías.</x:v>
      </x:c>
      <x:c r="F221" s="13" t="str">
        <x:v>[app/Services/Fiscal/FiscalAmounts.php](../../app/Services/Fiscal/FiscalAmounts.php), [app/Services/Fiscal/FiscalDocumentPersistence.php](../../app/Services/Fiscal/FiscalDocumentPersistence.php), [resources/js/views/tenant/documents/partials/igtf_fields.vue](../../resources/js/views/tenant/documents/partials/igtf_fields.vue)
Efectos posteriores: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
Contrato actualizado: Notas ordinarias habilitadas no habilitan circuito IGTF98 ni crédito IGTF de NC. Dependiente de ND tercero/régimen conserva diagnóstico RELATED_IGTF_REASON y cobro/cargo local; no transmitir contrato faltante.</x:v>
      </x:c>
    </x:row>
    <x:row r="222" ht="168" customHeight="1">
      <x:c r="A222" s="13" t="str">
        <x:v>QA-RET-001</x:v>
      </x:c>
      <x:c r="B222" s="13" t="str">
        <x:v>Retención IVA 75 %</x:v>
      </x:c>
      <x:c r="C222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Factura QA 01 digital/DEMO, vigente; emisión confirmed y control coincidente para aplicar. Emisor IVA ordinary, comprador con perfil vigente y facultad del impuesto probado. Soporte privado PDF QA, UUID de registro nuevo y número/fecha/referencia exactos. Para pruebas locales usar confirmación de un doble, identificada como simulación, nunca como Real DEMO. P-G: base 100, IVA 16, total 116 VES; porcentaje 75, comprobante 20261000000001 del 12/10/2026.</x:v>
      </x:c>
      <x:c r="D222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Registrar soporte y comprobante IVA 75 % contra la identidad/control fiscal confirmados.
4. Comparar 16×75 %=12 y saldo 116−12=104; revisar estado local e independiente operación HKA.
5. Intentar mismo UUID/mismos datos y después UUID nuevo para segundo IVA activo; replay sin duplicar y segundo activo rechazado.
6. Recargar/reabrir o consultar desde una segunda lectura autorizada; contrastar resultado inmediato y persistido con los criterios siguientes. No repetir creación/envío con resultado desconocido sin conciliar primero.</x:v>
      </x:c>
      <x:c r="E222" s="13" t="str">
        <x:v>Comprobante válido applied: importe 12=16×75/100, saldo 104, venta 116 e IVA 16 intactos; no caja 12. pending_validation /invalid no reducen saldo. Confirmación/control y referencia concordantes son obligatorios antes de aplicar.
Control independiente: Aplicar oráculos y controles del grupo y guía de ejecución.</x:v>
      </x:c>
      <x:c r="F222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23" ht="168" customHeight="1">
      <x:c r="A223" s="13" t="str">
        <x:v>QA-RET-002</x:v>
      </x:c>
      <x:c r="B223" s="13" t="str">
        <x:v>Retención IVA 100 %</x:v>
      </x:c>
      <x:c r="C223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Factura QA 01 digital/DEMO, vigente; emisión confirmed y control coincidente para aplicar. Emisor IVA ordinary, comprador con perfil vigente y facultad del impuesto probado. Soporte privado PDF QA, UUID de registro nuevo y número/fecha/referencia exactos. Para pruebas locales usar confirmación de un doble, identificada como simulación, nunca como Real DEMO. Total 116, IVA 16; fundamento portal_100 y evidencia QA-PORTAL-100 documentados.</x:v>
      </x:c>
      <x:c r="D223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Registrar base 16/100 %/importe 16.
4. Consultar saldo e impuestos.
5. Leer caja.
6. Recargar/reabrir o consultar desde una segunda lectura autorizada; contrastar resultado inmediato y persistido con los criterios siguientes. No repetir creación/envío con resultado desconocido sin conciliar primero.</x:v>
      </x:c>
      <x:c r="E223" s="13" t="str">
        <x:v>Una retención IVA 100 % válida aplica 16 y deja saldo 100. Exige fundamento permitido y evidencia; no altera base/venta ni crea efectivo. No sumar otra IVA activa a la misma factura.
Control independiente: Aplicar oráculos y controles del grupo y guía de ejecución.</x:v>
      </x:c>
      <x:c r="F223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24" ht="168" customHeight="1">
      <x:c r="A224" s="13" t="str">
        <x:v>QA-RET-003</x:v>
      </x:c>
      <x:c r="B224" s="13" t="str">
        <x:v>ISLR con sustraendo</x:v>
      </x:c>
      <x:c r="C224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Factura QA 01 digital/DEMO, vigente; emisión confirmed y control coincidente para aplicar. Emisor IVA ordinary, comprador con perfil vigente y facultad del impuesto probado. Soporte privado PDF QA, UUID de registro nuevo y número/fecha/referencia exactos. Para pruebas locales usar confirmación de un doble, identificada como simulación, nunca como Real DEMO. ISLR concepto 002 no salarial; concept_basis y evidence_reference; base 100, porcentaje 3, sustraendo 1, voucher_number ISLR-QA-001.</x:v>
      </x:c>
      <x:c r="D224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Registrar comprobante importe 2.
4. Consultar snapshot agente y saldo.
5. Leer caja.
6. Recargar/reabrir o consultar desde una segunda lectura autorizada; contrastar resultado inmediato y persistido con los criterios siguientes. No repetir creación/envío con resultado desconocido sin conciliar primero.</x:v>
      </x:c>
      <x:c r="E224" s="13" t="str">
        <x:v>max(0, 100×3/100−1)=2; aplicado local 2, saldo 114; concepto, fundamento independiente, agente, fecha, número y soporte conservados. No tasa inferida de SPE ni del percentage_label histórico; HKA se concilia separadamente.
Control independiente: Aplicar oráculos y controles del grupo y guía de ejecución.</x:v>
      </x:c>
      <x:c r="F224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25" ht="168" customHeight="1">
      <x:c r="A225" s="13" t="str">
        <x:v>QA-RET-004</x:v>
      </x:c>
      <x:c r="B225" s="13" t="str">
        <x:v>Un comprobante activo por impuesto y coexistencia IVA+ISLR</x:v>
      </x:c>
      <x:c r="C225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Factura QA 01 digital/DEMO, vigente; emisión confirmed y control coincidente para aplicar. Emisor IVA ordinary, comprador con perfil vigente y facultad del impuesto probado. Soporte privado PDF QA, UUID de registro nuevo y número/fecha/referencia exactos. Para pruebas locales usar confirmación de un doble, identificada como simulación, nunca como Real DEMO. Total 116; IVA 12 e ISLR 2 válidos; intentar además segundo IVA 12 y segundo ISLR 2.</x:v>
      </x:c>
      <x:c r="D225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Aplicar un comprobante IVA 12 y uno ISLR 2 con UUID distintos y referencias coincidentes.
4. Intentar otro comprobante pending/applied del mismo impuesto; conservar ambas respuestas.
5. Consultar historial y conteos activos por tax_kind; calcular saldo 116−12−2.
6. Recargar/reabrir o consultar desde una segunda lectura autorizada; contrastar resultado inmediato y persistido con los criterios siguientes. No repetir creación/envío con resultado desconocido sin conciliar primero.</x:v>
      </x:c>
      <x:c r="E225" s="13" t="str">
        <x:v>IVA e ISLR coexisten: aplicación 14 y saldo 102, con exactamente uno activo por impuesto/factura. El segundo IVA y segundo ISLR se rechazan sin aplicación parcial. invalid/reversed conservan historial y permiten reemplazo bajo su propio UUID.
Control independiente: Aplicar oráculos y controles del grupo y guía de ejecución.</x:v>
      </x:c>
      <x:c r="F225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26" ht="168" customHeight="1">
      <x:c r="A226" s="13" t="str">
        <x:v>QA-RET-005</x:v>
      </x:c>
      <x:c r="B226" s="13" t="str">
        <x:v>Retención en moneda diferente</x:v>
      </x:c>
      <x:c r="C226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Factura QA 01 digital/DEMO, vigente; emisión confirmed y control coincidente para aplicar. Emisor IVA ordinary, comprador con perfil vigente y facultad del impuesto probado. Soporte privado PDF QA, UUID de registro nuevo y número/fecha/referencia exactos. Para pruebas locales usar confirmación de un doble, identificada como simulación, nunca como Real DEMO. Factura VES con snapshot fiscal congelado; comprobante USD, tasa 40.12345678; calcular cap fiscal VES antes de registrar.</x:v>
      </x:c>
      <x:c r="D226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Registrar base e importe convertidos explícitamente.
4. Leer applied_amount.
5. Cambiar tasa actual y consultar.
6. Recargar/reabrir o consultar desde una segunda lectura autorizada; contrastar resultado inmediato y persistido con los criterios siguientes. No repetir creación/envío con resultado desconocido sin conciliar primero.</x:v>
      </x:c>
      <x:c r="E226" s="13" t="str">
        <x:v>Moneda/importe/tasa del comprobante conservados. Aplicación documental con tasa declarada y cap fiscal VES congelado; payload HKA convierte directamente comprobante→moneda fiscal, sin tasa actual ni conversión doble. Exceso de IVA/base/saldo rechazado.
Control independiente: Aplicar oráculos y controles del grupo y guía de ejecución.</x:v>
      </x:c>
      <x:c r="F226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27" ht="144" customHeight="1">
      <x:c r="A227" s="13" t="str">
        <x:v>QA-RET-006</x:v>
      </x:c>
      <x:c r="B227" s="13" t="str">
        <x:v>Agente distinto o ajeno</x:v>
      </x:c>
      <x:c r="C227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Factura del cliente C 1</x:v>
      </x:c>
      <x:c r="D227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Enviar agente C 2 de mismo tenant.
4. Enviar ID de otro tenant.
5. Comparar aplicaciones.
6. Recargar/reabrir o consultar desde una segunda lectura autorizada; contrastar resultado inmediato y persistido con los criterios siguientes. No repetir creación/envío con resultado desconocido sin conciliar primero.</x:v>
      </x:c>
      <x:c r="E227" s="13" t="str">
        <x:v>Agente RIF coincide exactamente con el perfil fiscal vigente del comprador a fecha del comprobante; facultad IVA e ISLR evaluada independientemente. Tenant/sucursal ajenos o RIF diferente: rechazo sin aplicación ni archivo ajeno.
Control independiente: Aplicar oráculos y controles del grupo y guía de ejecución.</x:v>
      </x:c>
      <x:c r="F227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28" ht="144" customHeight="1">
      <x:c r="A228" s="13" t="str">
        <x:v>QA-RET-007</x:v>
      </x:c>
      <x:c r="B228" s="13" t="str">
        <x:v>Número duplicado y concurrencia</x:v>
      </x:c>
      <x:c r="C228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Comprobante IVA del mismo documento/tipo/agente/número</x:v>
      </x:c>
      <x:c r="D228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Repetir secuencialmente.
4. Repetir en dos procesos.
5. Leer filas y saldo.
6. Recargar/reabrir o consultar desde una segunda lectura autorizada; contrastar resultado inmediato y persistido con los criterios siguientes. No repetir creación/envío con resultado desconocido sin conciliar primero.</x:v>
      </x:c>
      <x:c r="E228" s="13" t="str">
        <x:v>Un activo pending_validation /applied por impuesto/factura bajo concurrencia, una aplicación financiera y una operación lógica. Repetir UUID/datos conserva resultado; reutilizar UUID con otros datos/acción da conflicto 409. Historial invalid/reversed no se borra.
Control independiente: Aplicar oráculos y controles del grupo y guía de ejecución.</x:v>
      </x:c>
      <x:c r="F228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29" ht="144" customHeight="1">
      <x:c r="A229" s="13" t="str">
        <x:v>QA-RET-008</x:v>
      </x:c>
      <x:c r="B229" s="13" t="str">
        <x:v>Exceso de saldo o impuesto IVA</x:v>
      </x:c>
      <x:c r="C229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Saldo 10 o impuesto disponible 4</x:v>
      </x:c>
      <x:c r="D229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Enviar aplicación 11.
4. Enviar IVA 5 o base mayor al IVA total.
5. Registrar cada variante.
6. Recargar/reabrir o consultar desde una segunda lectura autorizada; contrastar resultado inmediato y persistido con los criterios siguientes. No repetir creación/envío con resultado desconocido sin conciliar primero.</x:v>
      </x:c>
      <x:c r="E229" s="13" t="str">
        <x:v>Validación de saldo y cap fiscal congelado antes de aplicación; IVA parcial con alícuotas mixtas sin desglose no se aplica. Rechazo sin saldo negativo, caja ni cambios parciales.
Control independiente: Aplicar oráculos y controles del grupo y guía de ejecución.</x:v>
      </x:c>
      <x:c r="F229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30" ht="144" customHeight="1">
      <x:c r="A230" s="13" t="str">
        <x:v>QA-RET-009</x:v>
      </x:c>
      <x:c r="B230" s="13" t="str">
        <x:v>Importe o fórmula incorrectos</x:v>
      </x:c>
      <x:c r="C230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Datos válidos de comprobante</x:v>
      </x:c>
      <x:c r="D230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Enviar importe 13 para base 16×75 %=12.
4. Probar base 0/porcentaje&gt;100/sustraendo negativo.
5. Leer respuesta.
6. Recargar/reabrir o consultar desde una segunda lectura autorizada; contrastar resultado inmediato y persistido con los criterios siguientes. No repetir creación/envío con resultado desconocido sin conciliar primero.</x:v>
      </x:c>
      <x:c r="E230" s="13" t="str">
        <x:v>Importes positivos y fórmula contractual con precisión declarada. ISLR compara racionalmente importe contra base×porcentaje/100−sustraendo; no aprobar una diferencia 0.01 por una tolerancia antigua. IVA sólo 75/100 y sustraendo 0; ISLR porcentaje&gt;0 y≤100, sustraendo≥0.
Control independiente: Aplicar oráculos y controles del grupo y guía de ejecución.</x:v>
      </x:c>
      <x:c r="F230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31" ht="144" customHeight="1">
      <x:c r="A231" s="13" t="str">
        <x:v>QA-RET-010</x:v>
      </x:c>
      <x:c r="B231" s="13" t="str">
        <x:v>ISLR sin concepto o inválido</x:v>
      </x:c>
      <x:c r="C231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Retención ISLR</x:v>
      </x:c>
      <x:c r="D231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Omitir concepto.
4. Enviar desconocido.
5. Comprobar catálogo desactivado por regla real.
6. Recargar/reabrir o consultar desde una segunda lectura autorizada; contrastar resultado inmediato y persistido con los criterios siguientes. No repetir creación/envío con resultado desconocido sin conciliar primero.</x:v>
      </x:c>
      <x:c r="E231" s="13" t="str">
        <x:v>Concepto ISLR obligatorio, de tres dígitos y existente en cat_retention_concept, distinto de 001 salarial. Rechazar omitido/desconocido/001. Catálogo aporta ID/descripcion, sin motor de porcentajes; exigir concept_basis y evidence_reference independientes.
Control independiente: Aplicar oráculos y controles del grupo y guía de ejecución.</x:v>
      </x:c>
      <x:c r="F231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32" ht="144" customHeight="1">
      <x:c r="A232" s="13" t="str">
        <x:v>QA-RET-011</x:v>
      </x:c>
      <x:c r="B232" s="13" t="str">
        <x:v>Adjuntos PDF/JPG/PNG</x:v>
      </x:c>
      <x:c r="C232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Factura autorizada</x:v>
      </x:c>
      <x:c r="D232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Subir archivo válido de cada formato en caso individual.
4. Registrar referencia.
5. Descargar con usuario autorizado.
6. Recargar/reabrir o consultar desde una segunda lectura autorizada; contrastar resultado inmediato y persistido con los criterios siguientes. No repetir creación/envío con resultado desconocido sin conciliar primero.</x:v>
      </x:c>
      <x:c r="E232" s="13" t="str">
        <x:v>Soporte obligatorio privado PDF/JPG/PNG≤5 MB. Upload de borrador vinculado a tenant/usuario, válido 24 h y consumo único; descarga autorizada sin cache público. Archivo conservado tras aplicación/reversión para auditoría.
Control independiente: Aplicar oráculos y controles del grupo y guía de ejecución.</x:v>
      </x:c>
      <x:c r="F232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33" ht="144" customHeight="1">
      <x:c r="A233" s="13" t="str">
        <x:v>QA-RET-012</x:v>
      </x:c>
      <x:c r="B233" s="13" t="str">
        <x:v>Adjunto demasiado grande o tipo inválido</x:v>
      </x:c>
      <x:c r="C233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Upload de retención</x:v>
      </x:c>
      <x:c r="D233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Probar &gt;5 MB, extensión/MIME no admitido y archivo vacío.
4. Leer respuesta.
5. Buscar archivos persistidos.
6. Recargar/reabrir o consultar desde una segunda lectura autorizada; contrastar resultado inmediato y persistido con los criterios siguientes. No repetir creación/envío con resultado desconocido sin conciliar primero.</x:v>
      </x:c>
      <x:c r="E233" s="13" t="str">
        <x:v>Rechazar tamaño&gt;5 MB, MIME no permitido y ausencia de soporte sin aplicación parcial. Revalidar backend; extensión sola no acredita MIME. Cero acceso público y cero retención aplicada por upload fallido.
Control independiente: Aplicar oráculos y controles del grupo y guía de ejecución.</x:v>
      </x:c>
      <x:c r="F233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34" ht="144" customHeight="1">
      <x:c r="A234" s="13" t="str">
        <x:v>QA-RET-013</x:v>
      </x:c>
      <x:c r="B234" s="13" t="str">
        <x:v>Adjunto de otra factura o ruta insegura</x:v>
      </x:c>
      <x:c r="C234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Archivo real de factura B</x:v>
      </x:c>
      <x:c r="D234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Enviar referencia B para factura A.
4. Enviar../ y referencia inexistente.
5. Comprobar lectura y aplicación.
6. Recargar/reabrir o consultar desde una segunda lectura autorizada; contrastar resultado inmediato y persistido con los criterios siguientes. No repetir creación/envío con resultado desconocido sin conciliar primero.</x:v>
      </x:c>
      <x:c r="E234" s="13" t="str">
        <x:v>No admite ruta arbitraria/traversal, token ajeno/expirado/consumido ni soporte de otra factura. Autorización tenant/usuario/documento antes de lectura/copia. Rollback externo conserva upload temporal recuperable.
Control independiente: Aplicar oráculos y controles del grupo y guía de ejecución.</x:v>
      </x:c>
      <x:c r="F234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35" ht="144" customHeight="1">
      <x:c r="A235" s="13" t="str">
        <x:v>QA-RET-014</x:v>
      </x:c>
      <x:c r="B235" s="13" t="str">
        <x:v>Permisos de registrar retención</x:v>
      </x:c>
      <x:c r="C235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U-VENTA sin create_payment y otra sucursal</x:v>
      </x:c>
      <x:c r="D235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Intentar GET/POST/upload.
4. Repetir AJAX.
5. Leer red/base.
6. Recargar/reabrir o consultar desde una segunda lectura autorizada; contrastar resultado inmediato y persistido con los criterios siguientes. No repetir creación/envío con resultado desconocido sin conciliar primero.</x:v>
      </x:c>
      <x:c r="E235" s="13" t="str">
        <x:v>Scope tenant/sucursal y create_payment para registrar/upload; delete_payment para reversión/retry de retiro según contrato. Perfil fiscal sólo administrador. Rechazo previo a almacenamiento, saldo y HTTP HKA; control positivo con rol autorizado.
Control independiente: Aplicar oráculos y controles del grupo y guía de ejecución.</x:v>
      </x:c>
      <x:c r="F235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36" ht="144" customHeight="1">
      <x:c r="A236" s="13" t="str">
        <x:v>QA-RET-015</x:v>
      </x:c>
      <x:c r="B236" s="13" t="str">
        <x:v>Retención sobre anulado o no Factura</x:v>
      </x:c>
      <x:c r="C236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Documento anulado, NV y nota</x:v>
      </x:c>
      <x:c r="D236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Intentar aplicar comprobante en cada uno.
4. Leer validación.
5. Comparar saldos.
6. Recargar/reabrir o consultar desde una segunda lectura autorizada; contrastar resultado inmediato y persistido con los criterios siguientes. No repetir creación/envío con resultado desconocido sin conciliar primero.</x:v>
      </x:c>
      <x:c r="E236" s="13" t="str">
        <x:v>Sólo Factura 01 vigente y referencia fiscal concordante puede aplicar retenciones recibidas. Sin confirmed/control puede quedar pending_validation sin reducir saldo; referencia inválida queda invalid. No habilita comprobantes emitidos 05/06 ni salarios/ARC.
Control independiente: Aplicar oráculos y controles del grupo y guía de ejecución.</x:v>
      </x:c>
      <x:c r="F236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37" ht="144" customHeight="1">
      <x:c r="A237" s="13" t="str">
        <x:v>QA-RET-016</x:v>
      </x:c>
      <x:c r="B237" s="13" t="str">
        <x:v>Fondo garantía 10 %</x:v>
      </x:c>
      <x:c r="C237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Factura 116 y fondo base 100/10 %/importe 10</x:v>
      </x:c>
      <x:c r="D237" s="13" t="str">
        <x:v>1. Guardar por vía que admite guarantee_fund
2. Leer relación, saldo y caja
3. Reimprimir/reporte</x:v>
      </x:c>
      <x:c r="E237" s="13" t="str">
        <x:v>Fondo 10 separado de retenciones; saldo 106, venta 116 e impuesto intactos; no genera efectivo.</x:v>
      </x:c>
      <x:c r="F237" s="13" t="str">
        <x:v>Fuentes: app/Services/Fiscal/FiscalDocumentPersistence.php; app/Http/Controllers/Tenant/DocumentFiscalController.php; resources/js/views/tenant/documents/partials/retention.vue
Entrada: GET/POST /documents/retention; upload; creación con guarantee_fund cuando soportada</x:v>
      </x:c>
    </x:row>
    <x:row r="238" ht="144" customHeight="1">
      <x:c r="A238" s="13" t="str">
        <x:v>QA-RET-017</x:v>
      </x:c>
      <x:c r="B238" s="13" t="str">
        <x:v>Fondo inválido o superior al saldo</x:v>
      </x:c>
      <x:c r="C238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Factura saldo 5</x:v>
      </x:c>
      <x:c r="D238" s="13" t="str">
        <x:v>1. Enviar fondo 10
2. Enviar fórmula incoherente y porcentaje&gt;100
3. Leer relaciones</x:v>
      </x:c>
      <x:c r="E238" s="13" t="str">
        <x:v>Rechazo transaccional; no se persiste fondo/aplicación incoherente.</x:v>
      </x:c>
      <x:c r="F238" s="13" t="str">
        <x:v>Fuentes: app/Services/Fiscal/FiscalDocumentPersistence.php; app/Http/Controllers/Tenant/DocumentFiscalController.php; resources/js/views/tenant/documents/partials/retention.vue
Entrada: GET/POST /documents/retention; upload; creación con guarantee_fund cuando soportada</x:v>
      </x:c>
    </x:row>
    <x:row r="239" ht="156" customHeight="1">
      <x:c r="A239" s="13" t="str">
        <x:v>QA-RET-018</x:v>
      </x:c>
      <x:c r="B239" s="13" t="str">
        <x:v>Aplicaciones combinadas</x:v>
      </x:c>
      <x:c r="C239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Factura QA 01 digital/DEMO, vigente; emisión confirmed y control coincidente para aplicar. Emisor IVA ordinary, comprador con perfil vigente y facultad del impuesto probado. Soporte privado PDF QA, UUID de registro nuevo y número/fecha/referencia exactos. Para pruebas locales usar confirmación de un doble, identificada como simulación, nunca como Real DEMO. Factura 116 VES; pago real 30, IVA 12 válida y fondo 10.</x:v>
      </x:c>
      <x:c r="D239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Registrar combinación permitida.
4. Leer saldo y Finanzas.
5. Comparar caja/impuestos.
6. Recargar/reabrir o consultar desde una segunda lectura autorizada; contrastar resultado inmediato y persistido con los criterios siguientes. No repetir creación/envío con resultado desconocido sin conciliar primero.</x:v>
      </x:c>
      <x:c r="E239" s="13" t="str">
        <x:v>Saldo 116−30−12−10=64; venta 116, efectivo 30. Retención aplicada y fondo no generan caja. Si IVA sólo prevista/pendiente: saldo 76; no descontar previsión.
Control independiente: Aplicar oráculos y controles del grupo y guía de ejecución.</x:v>
      </x:c>
      <x:c r="F239" s="13" t="str">
        <x:v>Fuentes: app/Services/Fiscal/FiscalDocumentPersistence.php, app/Http/Controllers/Tenant/DocumentFiscalController.php, resources/js/views/tenant/documents/partials/retention.vue
Entrada: GET/POST /documents/retention; upload; creación con guarantee_fund cuando soportada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40" ht="144" customHeight="1">
      <x:c r="A240" s="13" t="str">
        <x:v>QA-RET-019</x:v>
      </x:c>
      <x:c r="B240" s="13" t="str">
        <x:v>Edición con retenciones/fondo</x:v>
      </x:c>
      <x:c r="C240" s="13" t="str">
        <x:v>Factura 116 VES, IVA 16, saldo suficiente y base ISLR 100; agente comprador con perfil facultado por impuesto a fecha del comprobante. Soporteprivado yUUIDregistro/reversión obligatorios. Para IVA/ISLR aplicadas: digitalconfirmed/control/referencia exacta; antes de eso pending_validation 0. Un activo por impuesto/factura; fondo garantía tiene su contrato separado.
Factura editable con aplicaciones</x:v>
      </x:c>
      <x:c r="D240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Incrementar total manteniendo cliente/IVA suficiente.
4. Intentar bajar total bajo aplicado o IVA bajo retenido.
5. Comparar versiones.
6. Recargar/reabrir o consultar desde una segunda lectura autorizada; contrastar resultado inmediato y persistido con los criterios siguientes. No repetir creación/envío con resultado desconocido sin conciliar primero.</x:v>
      </x:c>
      <x:c r="E240" s="13" t="str">
        <x:v>Retenciones aplicadas digitales requieren control y por tanto bloquean edición fiscal. Las previsiones/borradores pendientes no son aplicaciones y se recalculan/validan bajo edición permitida. Fondo/pagos conservados, incompatibilidades hacen rollback; no borrar aplicaciones para habilitar edición.</x:v>
      </x:c>
      <x:c r="F240" s="13" t="str">
        <x:v>[app/Services/Fiscal/FiscalDocumentPersistence.php](../../app/Services/Fiscal/FiscalDocumentPersistence.php), [app/Http/Controllers/Tenant/DocumentFiscalController.php](../../app/Http/Controllers/Tenant/DocumentFiscalController.php), [resources/js/views/tenant/documents/partials/retention.vue](../../resources/js/views/tenant/documents/partials/retention.vue)
Efectos posteriores: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
Contrato actualizado: Ajustes de notas requieren reversión específica IVA/ISLR y replacement real con soporte/UUID; pending/uncertain mantiene aplicación activa. NC no revierte vouchers automáticamente.</x:v>
      </x:c>
    </x:row>
    <x:row r="241" ht="144" customHeight="1">
      <x:c r="A241" s="13" t="str">
        <x:v>QA-EDI-001</x:v>
      </x:c>
      <x:c r="B241" s="13" t="str">
        <x:v>Edición en estado not_requested</x:v>
      </x:c>
      <x:c r="C241" s="13" t="str">
        <x:v>Factura 01 ordinaria vigente; fixtures fiscales por estado; pagos/retenciones/fondo y stock conocidos.
Factura vigente sin control salvo confirmed; estado fiscal not_requested; UUID documentado.</x:v>
      </x:c>
      <x:c r="D241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Abrir listado y comprobar can_edit /motivo.
4. Abrir URL de edición y cambiar observación.
5. Enviar actualización por UI y request directo; leer documento/emisión.
6. Recargar/reabrir o consultar desde una segunda lectura autorizada; contrastar resultado inmediato y persistido con los criterios siguientes. No repetir creación/envío con resultado desconocido sin conciliar primero.</x:v>
      </x:c>
      <x:c r="E241" s="13" t="str">
        <x:v>Edición autorizada conserva número/moneda/emisor/pagos. Factura ordinaria not_requested sin categoría fiscal especial conserva UUID; terceros o régimen especial renuevan UUID incluso en not_requested, incluido retiro del régimen según política. Guardar nunca envía HKA automáticamente.
Control independiente: Aplicar oráculos y controles del grupo y guía de ejecución.</x:v>
      </x:c>
      <x:c r="F241" s="13" t="str">
        <x:v>Fuentes: app/Services/Fiscal/DocumentEditPolicy.php, app/Services/Fiscal/DocumentEditSettlements.php, app/Http/Requests/Tenant/DocumentUpdateRequest.php, informes/edicion_facturas_antes_hka.md
Entrada: Listado/detalle → Editar; POST /documents/{id}/update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42" ht="56" customHeight="1">
      <x:c r="A242" s="13" t="str">
        <x:v>QA-EDI-002</x:v>
      </x:c>
      <x:c r="B242" s="13" t="str">
        <x:v>Edición en estado prepared</x:v>
      </x:c>
      <x:c r="C242" s="13" t="str">
        <x:v>Factura 01 ordinaria vigente; fixtures fiscales por estado; pagos/retenciones/fondo y stock conocidos.
Factura vigente sin control salvo confirmed; estado fiscal prepared; UUID documentado.</x:v>
      </x:c>
      <x:c r="D242" s="13" t="str">
        <x:v>1. Abrir listado y comprobar can_edit /motivo
2. Abrir URL de edición y cambiar observación
3. Enviar actualización por UI y request directo; leer documento/emisión</x:v>
      </x:c>
      <x:c r="E242" s="13" t="str">
        <x:v>Se permite edición comercial autorizada, se conserva número/moneda/emisor/cobros; al invalidar preparación se vuelve not_requested y nuevo UUID conforme a política. Guardar edición no llama a Emision automáticamente.</x:v>
      </x:c>
      <x:c r="F242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43" ht="56" customHeight="1">
      <x:c r="A243" s="13" t="str">
        <x:v>QA-EDI-003</x:v>
      </x:c>
      <x:c r="B243" s="13" t="str">
        <x:v>Edición en estado rejected</x:v>
      </x:c>
      <x:c r="C243" s="13" t="str">
        <x:v>Factura 01 ordinaria vigente; fixtures fiscales por estado; pagos/retenciones/fondo y stock conocidos.
Factura vigente sin control salvo confirmed; estado fiscal rejected; UUID documentado.</x:v>
      </x:c>
      <x:c r="D243" s="13" t="str">
        <x:v>1. Abrir listado y comprobar can_edit /motivo
2. Abrir URL de edición y cambiar observación
3. Enviar actualización por UI y request directo; leer documento/emisión</x:v>
      </x:c>
      <x:c r="E243" s="13" t="str">
        <x:v>Se permite edición comercial autorizada, se conserva número/moneda/emisor/cobros; al invalidar preparación se vuelve not_requested y nuevo UUID conforme a política. Guardar edición no llama a Emision automáticamente.</x:v>
      </x:c>
      <x:c r="F243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44" ht="56" customHeight="1">
      <x:c r="A244" s="13" t="str">
        <x:v>QA-EDI-004</x:v>
      </x:c>
      <x:c r="B244" s="13" t="str">
        <x:v>Edición en estado pending</x:v>
      </x:c>
      <x:c r="C244" s="13" t="str">
        <x:v>Factura 01 ordinaria vigente; fixtures fiscales por estado; pagos/retenciones/fondo y stock conocidos.
Factura vigente sin control salvo confirmed; estado fiscal pending; UUID documentado.</x:v>
      </x:c>
      <x:c r="D244" s="13" t="str">
        <x:v>1. Abrir listado y comprobar can_edit /motivo
2. Abrir URL de edición y cambiar observación
3. Enviar actualización por UI y request directo; leer documento/emisión</x:v>
      </x:c>
      <x:c r="E244" s="13" t="str">
        <x:v>Edición bloqueada con motivo de estado/control; documento, payload, pagos y stock permanecen iguales. UI y backend aplican la misma barrera.</x:v>
      </x:c>
      <x:c r="F244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45" ht="56" customHeight="1">
      <x:c r="A245" s="13" t="str">
        <x:v>QA-EDI-005</x:v>
      </x:c>
      <x:c r="B245" s="13" t="str">
        <x:v>Edición en estado confirmed</x:v>
      </x:c>
      <x:c r="C245" s="13" t="str">
        <x:v>Factura 01 ordinaria vigente; fixtures fiscales por estado; pagos/retenciones/fondo y stock conocidos.
Factura vigente sin control salvo confirmed; estado fiscal confirmed; UUID documentado.</x:v>
      </x:c>
      <x:c r="D245" s="13" t="str">
        <x:v>1. Abrir listado y comprobar can_edit /motivo
2. Abrir URL de edición y cambiar observación
3. Enviar actualización por UI y request directo; leer documento/emisión</x:v>
      </x:c>
      <x:c r="E245" s="13" t="str">
        <x:v>Edición bloqueada con motivo de estado/control; documento, payload, pagos y stock permanecen iguales. UI y backend aplican la misma barrera.</x:v>
      </x:c>
      <x:c r="F245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46" ht="56" customHeight="1">
      <x:c r="A246" s="13" t="str">
        <x:v>QA-EDI-006</x:v>
      </x:c>
      <x:c r="B246" s="13" t="str">
        <x:v>Edición en estado cancelled</x:v>
      </x:c>
      <x:c r="C246" s="13" t="str">
        <x:v>Factura 01 ordinaria vigente; fixtures fiscales por estado; pagos/retenciones/fondo y stock conocidos.
Factura vigente sin control salvo confirmed; estado fiscal cancelled; UUID documentado.</x:v>
      </x:c>
      <x:c r="D246" s="13" t="str">
        <x:v>1. Abrir listado y comprobar can_edit /motivo
2. Abrir URL de edición y cambiar observación
3. Enviar actualización por UI y request directo; leer documento/emisión</x:v>
      </x:c>
      <x:c r="E246" s="13" t="str">
        <x:v>Edición bloqueada con motivo de estado/control; documento, payload, pagos y stock permanecen iguales. UI y backend aplican la misma barrera.</x:v>
      </x:c>
      <x:c r="F246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47" ht="56" customHeight="1">
      <x:c r="A247" s="13" t="str">
        <x:v>QA-EDI-007</x:v>
      </x:c>
      <x:c r="B247" s="13" t="str">
        <x:v>Edición en estado uncertain</x:v>
      </x:c>
      <x:c r="C247" s="13" t="str">
        <x:v>Factura 01 ordinaria vigente; fixtures fiscales por estado; pagos/retenciones/fondo y stock conocidos.
Factura vigente sin control salvo confirmed; estado fiscal uncertain; UUID documentado.</x:v>
      </x:c>
      <x:c r="D247" s="13" t="str">
        <x:v>1. Abrir listado y comprobar can_edit /motivo
2. Abrir URL de edición y cambiar observación
3. Enviar actualización por UI y request directo; leer documento/emisión</x:v>
      </x:c>
      <x:c r="E247" s="13" t="str">
        <x:v>Edición bloqueada con motivo de estado/control; documento, payload, pagos y stock permanecen iguales. UI y backend aplican la misma barrera.</x:v>
      </x:c>
      <x:c r="F247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48" ht="56" customHeight="1">
      <x:c r="A248" s="13" t="str">
        <x:v>QA-EDI-008</x:v>
      </x:c>
      <x:c r="B248" s="13" t="str">
        <x:v>Edición en estado uncertain con retry_allowed acreditado</x:v>
      </x:c>
      <x:c r="C248" s="13" t="str">
        <x:v>Factura 01 ordinaria vigente; fixtures fiscales por estado; pagos/retenciones/fondo y stock conocidos.
Factura vigente sin control salvo confirmed; estado fiscal uncertain con retry_allowed acreditado; UUID documentado.</x:v>
      </x:c>
      <x:c r="D248" s="13" t="str">
        <x:v>1. Abrir listado y comprobar can_edit /motivo
2. Abrir URL de edición y cambiar observación
3. Enviar actualización por UI y request directo; leer documento/emisión</x:v>
      </x:c>
      <x:c r="E248" s="13" t="str">
        <x:v>Se permite edición comercial autorizada, se conserva número/moneda/emisor/cobros; al invalidar preparación se vuelve not_requested y nuevo UUID conforme a política. Guardar edición no llama a Emision automáticamente.</x:v>
      </x:c>
      <x:c r="F248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49" ht="44" customHeight="1">
      <x:c r="A249" s="13" t="str">
        <x:v>QA-EDI-009</x:v>
      </x:c>
      <x:c r="B249" s="13" t="str">
        <x:v>Control existente bloquea edición</x:v>
      </x:c>
      <x:c r="C249" s="13" t="str">
        <x:v>Factura 01 ordinaria vigente; fixtures fiscales por estado; pagos/retenciones/fondo y stock conocidos.
Estado preparado/rechazado del fixture pero control no vacío</x:v>
      </x:c>
      <x:c r="D249" s="13" t="str">
        <x:v>1. Intentar edición
2. Enviar update directo
3. Comparar datos</x:v>
      </x:c>
      <x:c r="E249" s="13" t="str">
        <x:v>Control fiscal prevalece aunque estado parezca editable; no se elimina control para habilitar cambio.</x:v>
      </x:c>
      <x:c r="F249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50" ht="44" customHeight="1">
      <x:c r="A250" s="13" t="str">
        <x:v>QA-EDI-010</x:v>
      </x:c>
      <x:c r="B250" s="13" t="str">
        <x:v>Editar cantidad con pago existente</x:v>
      </x:c>
      <x:c r="C250" s="13" t="str">
        <x:v>Factura 01 ordinaria vigente; fixtures fiscales por estado; pagos/retenciones/fondo y stock conocidos.
Factura editable 2 UND y pago 116</x:v>
      </x:c>
      <x:c r="D250" s="13" t="str">
        <x:v>1. Cambiar a 3 UND
2. Guardar
3. Leer pago, caja, diferencia de stock y total</x:v>
      </x:c>
      <x:c r="E250" s="13" t="str">
        <x:v>Mismo pago 116/caja intacta; stock sólo una unidad adicional, total 348 y saldo 232; numeración/emisor/moneda conservados.</x:v>
      </x:c>
      <x:c r="F250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51" ht="44" customHeight="1">
      <x:c r="A251" s="13" t="str">
        <x:v>QA-EDI-011</x:v>
      </x:c>
      <x:c r="B251" s="13" t="str">
        <x:v>Bajar total por debajo de aplicado</x:v>
      </x:c>
      <x:c r="C251" s="13" t="str">
        <x:v>Factura 01 ordinaria vigente; fixtures fiscales por estado; pagos/retenciones/fondo y stock conocidos.
Factura total 232, pago 200</x:v>
      </x:c>
      <x:c r="D251" s="13" t="str">
        <x:v>1. Intentar bajar a 116
2. Guardar
3. Leer documento, stock y pago</x:v>
      </x:c>
      <x:c r="E251" s="13" t="str">
        <x:v>Actualización rechazada íntegramente; no hay saldo negativo ni devolución parcial de stock.</x:v>
      </x:c>
      <x:c r="F251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52" ht="44" customHeight="1">
      <x:c r="A252" s="13" t="str">
        <x:v>QA-EDI-012</x:v>
      </x:c>
      <x:c r="B252" s="13" t="str">
        <x:v>Cobros inmutables en editor</x:v>
      </x:c>
      <x:c r="C252" s="13" t="str">
        <x:v>Factura 01 ordinaria vigente; fixtures fiscales por estado; pagos/retenciones/fondo y stock conocidos.
Factura editable con pago/adjunto/destino</x:v>
      </x:c>
      <x:c r="D252" s="13" t="str">
        <x:v>1. Modificar importe/fecha/destino/UUID/adjunto en payload
2. Añadir o quitar un cobro por edición
3. Comparar relaciones</x:v>
      </x:c>
      <x:c r="E252" s="13" t="str">
        <x:v>No se alteran cobros desde editar factura; se administran desde Pagos. Todas las variantes incompatibles rechazadas.</x:v>
      </x:c>
      <x:c r="F252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53" ht="44" customHeight="1">
      <x:c r="A253" s="13" t="str">
        <x:v>QA-EDI-013</x:v>
      </x:c>
      <x:c r="B253" s="13" t="str">
        <x:v>Moneda y numeración no se editan</x:v>
      </x:c>
      <x:c r="C253" s="13" t="str">
        <x:v>Factura 01 ordinaria vigente; fixtures fiscales por estado; pagos/retenciones/fondo y stock conocidos.
Factura editable VES y número 25</x:v>
      </x:c>
      <x:c r="D253" s="13" t="str">
        <x:v>1. Enviar USD, otro número/serie/sucursal por separado
2. Leer resultado
3. Comparar identidad y saldo</x:v>
      </x:c>
      <x:c r="E253" s="13" t="str">
        <x:v>Edición conserva identidad documental/moneda; manipulación no renumera ni migra saldo a otra moneda.</x:v>
      </x:c>
      <x:c r="F253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54" ht="144" customHeight="1">
      <x:c r="A254" s="13" t="str">
        <x:v>QA-EDI-014</x:v>
      </x:c>
      <x:c r="B254" s="13" t="str">
        <x:v>Renovar comprador en edición explícita</x:v>
      </x:c>
      <x:c r="C254" s="13" t="str">
        <x:v>Factura 01 ordinaria vigente; fixtures fiscales por estado; pagos/retenciones/fondo y stock conocidos.
Factura editable sin retenciones</x:v>
      </x:c>
      <x:c r="D254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Editar contacto actual del mismo comprador.
4. Guardar factura de manera explícita.
5. Leer snapshot y preparación nueva.
6. Recargar/reabrir o consultar desde una segunda lectura autorizada; contrastar resultado inmediato y persistido con los criterios siguientes. No repetir creación/envío con resultado desconocido sin conciliar primero.</x:v>
      </x:c>
      <x:c r="E254" s="13" t="str">
        <x:v>Edición explícita autorizada renueva snapshot comprador y perfil según fecha original de emisión, no perfil vigente hoy. Histórico no editado sigue congelado; emisor/pagos previos no se reescriben. Registrar version_id antes/después.
Control independiente: Aplicar oráculos y controles del grupo y guía de ejecución.</x:v>
      </x:c>
      <x:c r="F254" s="13" t="str">
        <x:v>Fuentes: app/Services/Fiscal/DocumentEditPolicy.php, app/Services/Fiscal/DocumentEditSettlements.php, app/Http/Requests/Tenant/DocumentUpdateRequest.php, informes/edicion_facturas_antes_hka.md
Entrada: Listado/detalle → Editar; POST /documents/{id}/update
Después: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</x:v>
      </x:c>
    </x:row>
    <x:row r="255" ht="44" customHeight="1">
      <x:c r="A255" s="13" t="str">
        <x:v>QA-EDI-015</x:v>
      </x:c>
      <x:c r="B255" s="13" t="str">
        <x:v>Historial de preparación invalidada</x:v>
      </x:c>
      <x:c r="C255" s="13" t="str">
        <x:v>Factura 01 ordinaria vigente; fixtures fiscales por estado; pagos/retenciones/fondo y stock conocidos.
Factura prepared con UUIDK y payload hash H</x:v>
      </x:c>
      <x:c r="D255" s="13" t="str">
        <x:v>1. Editar compatible
2. Guardar
3. Leer emisión e historial interno saneado</x:v>
      </x:c>
      <x:c r="E255" s="13" t="str">
        <x:v>K/H/actor/fecha/estado anterior trazables; payload anterior no se envía tras cambio; nueva preparación corresponde al documento actual.</x:v>
      </x:c>
      <x:c r="F255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56" ht="44" customHeight="1">
      <x:c r="A256" s="13" t="str">
        <x:v>QA-EDI-016</x:v>
      </x:c>
      <x:c r="B256" s="13" t="str">
        <x:v>Respuesta HKA tardía tras edición</x:v>
      </x:c>
      <x:c r="C256" s="13" t="str">
        <x:v>Factura 01 ordinaria vigente; fixtures fiscales por estado; pagos/retenciones/fondo y stock conocidos.
Doble con intento anterior y edición autorizada posterior</x:v>
      </x:c>
      <x:c r="D256" s="13" t="str">
        <x:v>1. Retrasar respuesta de operación K
2. Guardar nueva versión autorizada K 2
3. Entregar respuesta K y leer estado</x:v>
      </x:c>
      <x:c r="E256" s="13" t="str">
        <x:v>Respuesta de UUID/intento antiguo no confirma ni sobrescribe operación nueva. Simular la secuencia permitida sin saltar bloqueo pending para forzar un supuesto artificial.</x:v>
      </x:c>
      <x:c r="F256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57" ht="44" customHeight="1">
      <x:c r="A257" s="13" t="str">
        <x:v>QA-EDI-017</x:v>
      </x:c>
      <x:c r="B257" s="13" t="str">
        <x:v>Edición y envío simultáneos</x:v>
      </x:c>
      <x:c r="C257" s="13" t="str">
        <x:v>Factura 01 ordinaria vigente; fixtures fiscales por estado; pagos/retenciones/fondo y stock conocidos.
Factura editable preparada sin control</x:v>
      </x:c>
      <x:c r="D257" s="13" t="str">
        <x:v>1. Enviar update y send-hka simultáneamente desde dos sesiones
2. Esperar ambas
3. Leer payload, stock, número, UUID y emisión</x:v>
      </x:c>
      <x:c r="E257" s="13" t="str">
        <x:v>Bloqueos evitan emitir una versión comercial inconsistente; una operación gana y otra responde estado/motivo coherente.</x:v>
      </x:c>
      <x:c r="F257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58" ht="44" customHeight="1">
      <x:c r="A258" s="13" t="str">
        <x:v>QA-EDI-018</x:v>
      </x:c>
      <x:c r="B258" s="13" t="str">
        <x:v>Rollback durante edición</x:v>
      </x:c>
      <x:c r="C258" s="13" t="str">
        <x:v>Factura 01 ordinaria vigente; fixtures fiscales por estado; pagos/retenciones/fondo y stock conocidos.
Factura editable con aplicaciones y stock</x:v>
      </x:c>
      <x:c r="D258" s="13" t="str">
        <x:v>1. Inyectar fallo después de calcular líneas
2. Guardar
3. Comparar todas las relaciones y stock</x:v>
      </x:c>
      <x:c r="E258" s="13" t="str">
        <x:v>Versión previa completa conservada, incluida emisión invalidada, pagos, fondos, retenciones y stock.</x:v>
      </x:c>
      <x:c r="F258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59" ht="44" customHeight="1">
      <x:c r="A259" s="13" t="str">
        <x:v>QA-EDI-019</x:v>
      </x:c>
      <x:c r="B259" s="13" t="str">
        <x:v>Permisos de editar</x:v>
      </x:c>
      <x:c r="C259" s="13" t="str">
        <x:v>Factura 01 ordinaria vigente; fixtures fiscales por estado; pagos/retenciones/fondo y stock conocidos.
Administrador y vendedor S 1/S 2; flag permission_to_edit_cpe</x:v>
      </x:c>
      <x:c r="D259" s="13" t="str">
        <x:v>1. Probar botón y POST con permisos habilitados/deshabilitados
2. Intentar otra sucursal
3. Leer resultado</x:v>
      </x:c>
      <x:c r="E259" s="13" t="str">
        <x:v>Visibilidad y autorización de servidor coherentes; edición ajena no se permite por conocer ID.</x:v>
      </x:c>
      <x:c r="F259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60" ht="44" customHeight="1">
      <x:c r="A260" s="13" t="str">
        <x:v>QA-EDI-020</x:v>
      </x:c>
      <x:c r="B260" s="13" t="str">
        <x:v>Cancelar editor sin guardar</x:v>
      </x:c>
      <x:c r="C260" s="13" t="str">
        <x:v>Factura 01 ordinaria vigente; fixtures fiscales por estado; pagos/retenciones/fondo y stock conocidos.
Factura editable con borrador cambiado</x:v>
      </x:c>
      <x:c r="D260" s="13" t="str">
        <x:v>1. Cambiar cliente/cantidad/observación
2. Cancelar y recargar
3. Comparar factura</x:v>
      </x:c>
      <x:c r="E260" s="13" t="str">
        <x:v>Ningún dato persistido ni emisión invalidada por cancelar; pagos/numeración intactos.</x:v>
      </x:c>
      <x:c r="F260" s="13" t="str">
        <x:v>Fuentes: app/Services/Fiscal/DocumentEditPolicy.php; app/Services/Fiscal/DocumentEditSettlements.php; app/Http/Requests/Tenant/DocumentUpdateRequest.php; informes/edicion_facturas_antes_hka.md
Entrada: Listado/detalle → Editar; POST /documents/{id}/update</x:v>
      </x:c>
    </x:row>
    <x:row r="261" ht="44" customHeight="1">
      <x:c r="A261" s="13" t="str">
        <x:v>QA-HKA-001</x:v>
      </x:c>
      <x:c r="B261" s="13" t="str">
        <x:v>Preparación pura sin red</x:v>
      </x:c>
      <x:c r="C261" s="13" t="str">
        <x:v>Factura ordinaria digital/demo; proveedor doble; UUID estable; HTTP saneado; reloj controlado. Casos de fallos se ejecutan simulados.
Factura local no solicitada</x:v>
      </x:c>
      <x:c r="D261" s="13" t="str">
        <x:v>1. Preparar por administrador
2. Leer contrato/hash/payload/UUID
3. Contar llamadas HTTP</x:v>
      </x:c>
      <x:c r="E261" s="13" t="str">
        <x:v>Estado prepared y operación única; prepare no autentica/emite/consulta ni acredita aceptación.</x:v>
      </x:c>
      <x:c r="F261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62" ht="44" customHeight="1">
      <x:c r="A262" s="13" t="str">
        <x:v>QA-HKA-002</x:v>
      </x:c>
      <x:c r="B262" s="13" t="str">
        <x:v>Preparar dos veces</x:v>
      </x:c>
      <x:c r="C262" s="13" t="str">
        <x:v>Factura ordinaria digital/demo; proveedor doble; UUID estable; HTTP saneado; reloj controlado. Casos de fallos se ejecutan simulados.
Operación prepared</x:v>
      </x:c>
      <x:c r="D262" s="13" t="str">
        <x:v>1. Preparar de nuevo
2. Cambiar catálogo/tasa/cliente actual y repetir
3. Comparar UUID/hash/payload</x:v>
      </x:c>
      <x:c r="E262" s="13" t="str">
        <x:v>Mismo snapshot/UUID/payload; no recalcula con catálogos mutables ni datos nuevos sin edición autorizada.</x:v>
      </x:c>
      <x:c r="F262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63" ht="44" customHeight="1">
      <x:c r="A263" s="13" t="str">
        <x:v>QA-HKA-003</x:v>
      </x:c>
      <x:c r="B263" s="13" t="str">
        <x:v>Error de equivalencia fiscal</x:v>
      </x:c>
      <x:c r="C263" s="13" t="str">
        <x:v>Factura ordinaria digital/demo; proveedor doble; UUID estable; HTTP saneado; reloj controlado. Casos de fallos se ejecutan simulados.
Fixture sin mapeo identidad/unidad/pago/alícuota</x:v>
      </x:c>
      <x:c r="D263" s="13" t="str">
        <x:v>1. Preparar cada variante
2. Leer validación
3. Comparar emisión y datos comerciales</x:v>
      </x:c>
      <x:c r="E263" s="13" t="str">
        <x:v>Error explícito por equivalencia faltante, sin valor inventado ni falsa aceptación; venta local previamente guardada permanece.</x:v>
      </x:c>
      <x:c r="F263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64" ht="44" customHeight="1">
      <x:c r="A264" s="13" t="str">
        <x:v>QA-HKA-004</x:v>
      </x:c>
      <x:c r="B264" s="13" t="str">
        <x:v>Envío automático sólo después del commit</x:v>
      </x:c>
      <x:c r="C264" s="13" t="str">
        <x:v>Factura ordinaria digital/demo; proveedor doble; UUID estable; HTTP saneado; reloj controlado. Casos de fallos se ejecutan simulados.
Creación ordinaria con transacción exterior</x:v>
      </x:c>
      <x:c r="D264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Guardar manteniendo commit exterior retrasado.
4. Contar HTTP antes/durante/después.
5. Leer factura/stock/pago.
6. Recargar/reabrir o consultar desde una segunda lectura autorizada; contrastar resultado inmediato y persistido con los criterios siguientes. No repetir creación/envío con resultado desconocido sin conciliar primero.</x:v>
      </x:c>
      <x:c r="E264" s="13" t="str">
        <x:v>Ningún HTTP antes del commit exterior; al confirmar commit se procesa factura elegible una vez.</x:v>
      </x:c>
      <x:c r="F264" s="13" t="str">
        <x:v>[app/Services/Fiscal/HkaEmissionPreparation.php](../../app/Services/Fiscal/HkaEmissionPreparation.php), [app/Services/Fiscal/HkaEmission.php](../../app/Services/Fiscal/HkaEmission.php), [app/Services/Fiscal/HkaResponse.php](../../app/Services/Fiscal/HkaResponse.php), [app/Services/Fiscal/HkaTransport.php](../../app/Services/Fiscal/HkaTransport.php)
Efectos posteriores: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
Contrato actualizado: Extender verificación a notas ordinarias y órdenes: operación preparada antes, HTTP sólo después del commit exterior. Document_emissions y dispatch_emissions separados; fallo fiscal conserva efectos comerciales.</x:v>
      </x:c>
    </x:row>
    <x:row r="265" ht="44" customHeight="1">
      <x:c r="A265" s="13" t="str">
        <x:v>QA-HKA-005</x:v>
      </x:c>
      <x:c r="B265" s="13" t="str">
        <x:v>Rollback comercial no emite</x:v>
      </x:c>
      <x:c r="C265" s="13" t="str">
        <x:v>Factura ordinaria digital/demo; proveedor doble; UUID estable; HTTP saneado; reloj controlado. Casos de fallos se ejecutan simulados.
Error local antes del commit exterior</x:v>
      </x:c>
      <x:c r="D265" s="13" t="str">
        <x:v>1. Guardar fixture con fallo
2. Contar Autenticacion / Emision
3. Leer documentos/pagos/stock</x:v>
      </x:c>
      <x:c r="E265" s="13" t="str">
        <x:v>Rollback total y cero emisión. No se pierde número consumido por una reserva fuera de transacción.</x:v>
      </x:c>
      <x:c r="F265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66" ht="44" customHeight="1">
      <x:c r="A266" s="13" t="str">
        <x:v>QA-HKA-006</x:v>
      </x:c>
      <x:c r="B266" s="13" t="str">
        <x:v>Confirmación coherente del proveedor</x:v>
      </x:c>
      <x:c r="C266" s="13" t="str">
        <x:v>Factura ordinaria digital/demo; proveedor doble; UUID estable; HTTP saneado; reloj controlado. Casos de fallos se ejecutan simulados.
Doble 2xx/código negocio correcto/identidad/control válido</x:v>
      </x:c>
      <x:c r="D266" s="13" t="str">
        <x:v>1. Guardar o enviar factura
2. Leer estado/control/consulta_url
3. Recargar listado y detalle</x:v>
      </x:c>
      <x:c r="E266" s="13" t="str">
        <x:v>Confirmed sólo con éxito negocio e identidad/control coherentes; venta local y control independientes; resultado visible actualizado.</x:v>
      </x:c>
      <x:c r="F266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67" ht="56" customHeight="1">
      <x:c r="A267" s="13" t="str">
        <x:v>QA-HKA-007</x:v>
      </x:c>
      <x:c r="B267" s="13" t="str">
        <x:v>HTTP200 con rechazo definitivo de negocio</x:v>
      </x:c>
      <x:c r="C267" s="13" t="str">
        <x:v>Factura ordinaria digital/demo; proveedor doble; UUID estable; HTTP saneado; reloj controlado. Casos de fallos se ejecutan simulados.
Doble responde HTTP200 y cuerpo codigo 203 o 205 con validaciones de rechazo</x:v>
      </x:c>
      <x:c r="D267" s="13" t="str">
        <x:v>1. Guardar factura
2. Leer fiscal_emission y código de negocio
3. Comparar pago/stock y mensaje Venta guardada</x:v>
      </x:c>
      <x:c r="E267" s="13" t="str">
        <x:v>HTTP200 no convierte el rechazo de negocio en éxito; rejected con diagnóstico saneado; factura/pagos/inventario conservados. Expandir 202/203/205/400/401 en variantes individuales del código de negocio.</x:v>
      </x:c>
      <x:c r="F267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68" ht="56" customHeight="1">
      <x:c r="A268" s="13" t="str">
        <x:v>QA-HKA-008</x:v>
      </x:c>
      <x:c r="B268" s="13" t="str">
        <x:v>Código 201 y posterior conciliación</x:v>
      </x:c>
      <x:c r="C268" s="13" t="str">
        <x:v>Factura ordinaria digital/demo; proveedor doble; UUID estable; HTTP saneado; reloj controlado. Casos de fallos se ejecutan simulados.
Doble devuelve HTTP200 con codigo 201 y luego consulta atribuible al UUID</x:v>
      </x:c>
      <x:c r="D268" s="13" t="str">
        <x:v>1. Enviar respuesta 201
2. Observar consulta posterior por transaccion Id
3. Leer transición y control de la respuesta de consulta</x:v>
      </x:c>
      <x:c r="E268" s="13" t="str">
        <x:v>201 por sí solo queda uncertain; el servicio consulta la misma operación. Sólo una consulta 200 con identidad/transacción/estado procesado/control válido puede confirmar. 202 de negocio es rechazo definitivo, no un estado pendiente.</x:v>
      </x:c>
      <x:c r="F268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69" ht="44" customHeight="1">
      <x:c r="A269" s="13" t="str">
        <x:v>QA-HKA-009</x:v>
      </x:c>
      <x:c r="B269" s="13" t="str">
        <x:v>Timeout después de posible transmisión</x:v>
      </x:c>
      <x:c r="C269" s="13" t="str">
        <x:v>Factura ordinaria digital/demo; proveedor doble; UUID estable; HTTP saneado; reloj controlado. Casos de fallos se ejecutan simulados.
Doble acepta petición y corta respuesta</x:v>
      </x:c>
      <x:c r="D269" s="13" t="str">
        <x:v>1. Enviar
2. Leer uncertain
3. Consultar por transaccion Id con el mismo UUID</x:v>
      </x:c>
      <x:c r="E269" s="13" t="str">
        <x:v>Venta intacta y estado Por conciliar; no se crea otra factura/UUID ni se reenvía ciegamente.</x:v>
      </x:c>
      <x:c r="F269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70" ht="56" customHeight="1">
      <x:c r="A270" s="13" t="str">
        <x:v>QA-HKA-010</x:v>
      </x:c>
      <x:c r="B270" s="13" t="str">
        <x:v>Respuesta vacía o JSON incompleto</x:v>
      </x:c>
      <x:c r="C270" s="13" t="str">
        <x:v>Factura ordinaria digital/demo; proveedor doble; UUID estable; HTTP saneado; reloj controlado. Casos de fallos se ejecutan simulados.
Doble sin cuerpo/identidad/control; variantes codigo 200 con validaciones no vacías,201/204/210/500</x:v>
      </x:c>
      <x:c r="D270" s="13" t="str">
        <x:v>1. Enviar cada variante de respuesta bajo HTTP200; añadir HTTP 500/302/401 como variantes de transporte
2. Leer estado/diagnóstico
3. Comparar control y contador de intentos</x:v>
      </x:c>
      <x:c r="E270" s="13" t="str">
        <x:v>Posible transmisión queda uncertain sin control inventado; error saneado recuperable. Código 200 con validaciones o cuerpo incompleto no confirma ni se clasifica automáticamente como rechazo definitivo.</x:v>
      </x:c>
      <x:c r="F270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71" ht="44" customHeight="1">
      <x:c r="A271" s="13" t="str">
        <x:v>QA-HKA-011</x:v>
      </x:c>
      <x:c r="B271" s="13" t="str">
        <x:v>Control contradictorio o duplicado</x:v>
      </x:c>
      <x:c r="C271" s="13" t="str">
        <x:v>Factura ordinaria digital/demo; proveedor doble; UUID estable; HTTP saneado; reloj controlado. Casos de fallos se ejecutan simulados.
Doble responde identidad/control de otra factura</x:v>
      </x:c>
      <x:c r="D271" s="13" t="str">
        <x:v>1. Enviar y consultar variantes
2. Comparar control y documentos
3. Leer diagnóstico</x:v>
      </x:c>
      <x:c r="E271" s="13" t="str">
        <x:v>No se confirma factura equivocada ni asigna control duplicado; incertidumbre/rechazo según intérprete con trazabilidad.</x:v>
      </x:c>
      <x:c r="F271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72" ht="44" customHeight="1">
      <x:c r="A272" s="13" t="str">
        <x:v>QA-HKA-012</x:v>
      </x:c>
      <x:c r="B272" s="13" t="str">
        <x:v>Consulta recupera confirmación</x:v>
      </x:c>
      <x:c r="C272" s="13" t="str">
        <x:v>Factura ordinaria digital/demo; proveedor doble; UUID estable; HTTP saneado; reloj controlado. Casos de fallos se ejecutan simulados.
Factura uncertain y respuesta atribuible</x:v>
      </x:c>
      <x:c r="D272" s="13" t="str">
        <x:v>1. Consultar
2. Leer control/UUID/estado
3. Consultar de nuevo</x:v>
      </x:c>
      <x:c r="E272" s="13" t="str">
        <x:v>Confirmed consistente y efectos comerciales únicos; confirmación repetida no duplica correo automático ni PDF/venta.</x:v>
      </x:c>
      <x:c r="F272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73" ht="44" customHeight="1">
      <x:c r="A273" s="13" t="str">
        <x:v>QA-HKA-013</x:v>
      </x:c>
      <x:c r="B273" s="13" t="str">
        <x:v>Ausencia acreditada permite reintento</x:v>
      </x:c>
      <x:c r="C273" s="13" t="str">
        <x:v>Factura ordinaria digital/demo; proveedor doble; UUID estable; HTTP saneado; reloj controlado. Casos de fallos se ejecutan simulados.
Uncertain con respuesta inequívoca de ausencia y antigüedad≥30 s</x:v>
      </x:c>
      <x:c r="D273" s="13" t="str">
        <x:v>1. Consultar
2. Leer retry_allowed
3. Reenviar desde acción administrativa</x:v>
      </x:c>
      <x:c r="E273" s="13" t="str">
        <x:v>Reutiliza mismo UUID/payload/serie/número; sólo ausencia acreditada y umbral habilitan reenvío.</x:v>
      </x:c>
      <x:c r="F273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74" ht="44" customHeight="1">
      <x:c r="A274" s="13" t="str">
        <x:v>QA-HKA-014</x:v>
      </x:c>
      <x:c r="B274" s="13" t="str">
        <x:v>Rastreo vacío o 203 no habilita reenvío</x:v>
      </x:c>
      <x:c r="C274" s="13" t="str">
        <x:v>Factura ordinaria digital/demo; proveedor doble; UUID estable; HTTP saneado; reloj controlado. Casos de fallos se ejecutan simulados.
Uncertain y consulta no atribuible</x:v>
      </x:c>
      <x:c r="D274" s="13" t="str">
        <x:v>1. Consultar con vacío/error 203 genérico
2. Intentar send-hka
3. Contar llamadas Emision</x:v>
      </x:c>
      <x:c r="E274" s="13" t="str">
        <x:v>No cualquier 203/vacío acredita ausencia; no se duplica intento fiscal posible.</x:v>
      </x:c>
      <x:c r="F274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75" ht="44" customHeight="1">
      <x:c r="A275" s="13" t="str">
        <x:v>QA-HKA-015</x:v>
      </x:c>
      <x:c r="B275" s="13" t="str">
        <x:v>Umbral antes de reenviar</x:v>
      </x:c>
      <x:c r="C275" s="13" t="str">
        <x:v>Factura ordinaria digital/demo; proveedor doble; UUID estable; HTTP saneado; reloj controlado. Casos de fallos se ejecutan simulados.
Ausencia acreditada con intento&lt;30 s</x:v>
      </x:c>
      <x:c r="D275" s="13" t="str">
        <x:v>1. Intentar reenviar antes del límite
2. Avanzar reloj controlado al límite
3. Intentar de nuevo</x:v>
      </x:c>
      <x:c r="E275" s="13" t="str">
        <x:v>No transmisión antes del umbral; después sólo si reglas de ausencia/estado también permiten.</x:v>
      </x:c>
      <x:c r="F275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76" ht="44" customHeight="1">
      <x:c r="A276" s="13" t="str">
        <x:v>QA-HKA-016</x:v>
      </x:c>
      <x:c r="B276" s="13" t="str">
        <x:v>Recuperar pending interrumpido</x:v>
      </x:c>
      <x:c r="C276" s="13" t="str">
        <x:v>Factura ordinaria digital/demo; proveedor doble; UUID estable; HTTP saneado; reloj controlado. Casos de fallos se ejecutan simulados.
Pending con started_at conocido</x:v>
      </x:c>
      <x:c r="D276" s="13" t="str">
        <x:v>1. Consultar antes de 40 s
2. Avanzar reloj≥40 s y consultar
3. Leer estado e HTTP</x:v>
      </x:c>
      <x:c r="E276" s="13" t="str">
        <x:v>Consulta temprana no dispara recuperación prematura; intento antiguo puede conciliarse fuera de bloqueos.</x:v>
      </x:c>
      <x:c r="F276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77" ht="44" customHeight="1">
      <x:c r="A277" s="13" t="str">
        <x:v>QA-HKA-017</x:v>
      </x:c>
      <x:c r="B277" s="13" t="str">
        <x:v>Confirmado no se degrada por consulta fallida</x:v>
      </x:c>
      <x:c r="C277" s="13" t="str">
        <x:v>Factura ordinaria digital/demo; proveedor doble; UUID estable; HTTP saneado; reloj controlado. Casos de fallos se ejecutan simulados.
Factura confirmed</x:v>
      </x:c>
      <x:c r="D277" s="13" t="str">
        <x:v>1. Simular consulta timeout/rechazo no atribuible
2. Consultar
3. Leer fiscal estado/control</x:v>
      </x:c>
      <x:c r="E277" s="13" t="str">
        <x:v>Confirmación conservada, último diagnóstico advierte fallo de consulta; no queda rechazado por un fallo posterior.</x:v>
      </x:c>
      <x:c r="F277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78" ht="44" customHeight="1">
      <x:c r="A278" s="13" t="str">
        <x:v>QA-HKA-018</x:v>
      </x:c>
      <x:c r="B278" s="13" t="str">
        <x:v>Autenticación falla antes de emisión</x:v>
      </x:c>
      <x:c r="C278" s="13" t="str">
        <x:v>Factura ordinaria digital/demo; proveedor doble; UUID estable; HTTP saneado; reloj controlado. Casos de fallos se ejecutan simulados.
Credenciales ausentes/timeout/rechazo</x:v>
      </x:c>
      <x:c r="D278" s="13" t="str">
        <x:v>1. Guardar/enviar en variantes
2. Leer venta/estado
3. Contar Emision</x:v>
      </x:c>
      <x:c r="E278" s="13" t="str">
        <x:v>Venta local permanece; estado not_requested / prepared según punto del fallo; ningún HTTP Emision cuando no hay token válido.</x:v>
      </x:c>
      <x:c r="F278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79" ht="44" customHeight="1">
      <x:c r="A279" s="13" t="str">
        <x:v>QA-HKA-019</x:v>
      </x:c>
      <x:c r="B279" s="13" t="str">
        <x:v>Cambio de configuración durante autenticación</x:v>
      </x:c>
      <x:c r="C279" s="13" t="str">
        <x:v>Factura ordinaria digital/demo; proveedor doble; UUID estable; HTTP saneado; reloj controlado. Casos de fallos se ejecutan simulados.
Token retrasado en doble</x:v>
      </x:c>
      <x:c r="D279" s="13" t="str">
        <x:v>1. Iniciar envío
2. Modificar configuración autorizada del fixture
3. Completar token</x:v>
      </x:c>
      <x:c r="E279" s="13" t="str">
        <x:v>Contexto validado de nuevo; configuración incompatible impide emisión sin perder venta.</x:v>
      </x:c>
      <x:c r="F279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80" ht="44" customHeight="1">
      <x:c r="A280" s="13" t="str">
        <x:v>QA-HKA-020</x:v>
      </x:c>
      <x:c r="B280" s="13" t="str">
        <x:v>Dos envíos simultáneos</x:v>
      </x:c>
      <x:c r="C280" s="13" t="str">
        <x:v>Factura ordinaria digital/demo; proveedor doble; UUID estable; HTTP saneado; reloj controlado. Casos de fallos se ejecutan simulados.
Mismo documento preparado y dos administradores</x:v>
      </x:c>
      <x:c r="D280" s="13" t="str">
        <x:v>1. Enviar simultáneamente send-hka
2. Esperar y contar HTTP
3. Leer intentos/UUID</x:v>
      </x:c>
      <x:c r="E280" s="13" t="str">
        <x:v>Una reclamación efectiva y un envío lógico; pending persistido antes de HTTP, fuera de transacciones comerciales.</x:v>
      </x:c>
      <x:c r="F280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81" ht="44" customHeight="1">
      <x:c r="A281" s="13" t="str">
        <x:v>QA-HKA-021</x:v>
      </x:c>
      <x:c r="B281" s="13" t="str">
        <x:v>Permiso de preparar y enviar</x:v>
      </x:c>
      <x:c r="C281" s="13" t="str">
        <x:v>Factura ordinaria digital/demo; proveedor doble; UUID estable; HTTP saneado; reloj controlado. Casos de fallos se ejecutan simulados.
Vendedor S 1 y administrador</x:v>
      </x:c>
      <x:c r="D281" s="13" t="str">
        <x:v>1. Intentar prepare/send por vendedor
2. Probar query autorizado y query otra sucursal
3. Contar HTTP</x:v>
      </x:c>
      <x:c r="E281" s="13" t="str">
        <x:v>prepare/send administrativos; query respeta tenant/sucursal; rechazo ocurre antes de autenticar/transmitir.</x:v>
      </x:c>
      <x:c r="F281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82" ht="44" customHeight="1">
      <x:c r="A282" s="13" t="str">
        <x:v>QA-HKA-022</x:v>
      </x:c>
      <x:c r="B282" s="13" t="str">
        <x:v>Payload y DTO saneados</x:v>
      </x:c>
      <x:c r="C282" s="13" t="str">
        <x:v>Factura ordinaria digital/demo; proveedor doble; UUID estable; HTTP saneado; reloj controlado. Casos de fallos se ejecutan simulados.
Operación con diagnóstico del proveedor</x:v>
      </x:c>
      <x:c r="D282" s="13" t="str">
        <x:v>1. Leer creación/detalle/listado/API/logs
2. Buscar secretos y respuesta cruda
3. Comparar can_send / can_query</x:v>
      </x:c>
      <x:c r="E282" s="13" t="str">
        <x:v>DTO sólo datos necesarios saneados; no expone token, credenciales, payload completo ni respuesta cruda.</x:v>
      </x:c>
      <x:c r="F282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83" ht="44" customHeight="1">
      <x:c r="A283" s="13" t="str">
        <x:v>QA-HKA-023</x:v>
      </x:c>
      <x:c r="B283" s="13" t="str">
        <x:v>Consulta URL válida opcional</x:v>
      </x:c>
      <x:c r="C283" s="13" t="str">
        <x:v>Factura ordinaria digital/demo; proveedor doble; UUID estable; HTTP saneado; reloj controlado. Casos de fallos se ejecutan simulados.
Doble confirmó con URL https válida, ausente, inválida o&gt;255</x:v>
      </x:c>
      <x:c r="D283" s="13" t="str">
        <x:v>1. Confirmar cada variante
2. Leer consulta_url
3. Probar disponibilidad A4/A5/ticket</x:v>
      </x:c>
      <x:c r="E283" s="13" t="str">
        <x:v>URL HTTPS válida se conserva exactamente. Falta/inválida queda null y no impide confirmed /A4/A5; sólo 80MM con QR bloqueado.</x:v>
      </x:c>
      <x:c r="F283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84" ht="44" customHeight="1">
      <x:c r="A284" s="13" t="str">
        <x:v>QA-HKA-024</x:v>
      </x:c>
      <x:c r="B284" s="13" t="str">
        <x:v>Sin numeración remota habilitada</x:v>
      </x:c>
      <x:c r="C284" s="13" t="str">
        <x:v>Factura ordinaria digital/demo; proveedor doble; UUID estable; HTTP saneado; reloj controlado. Casos de fallos se ejecutan simulados.
Doble rechazo por rango/numeración</x:v>
      </x:c>
      <x:c r="D284" s="13" t="str">
        <x:v>1. Emitir factura
2. Leer estado y documento
3. Comprobar serie/número</x:v>
      </x:c>
      <x:c r="E284" s="13" t="str">
        <x:v>Venta conservada; no cambia serie/correlativo, no asigna control ficticio ni recrea factura para evitar rechazo.</x:v>
      </x:c>
      <x:c r="F284" s="13" t="str">
        <x:v>Fuentes: app/Services/Fiscal/HkaEmissionPreparation.php; app/Services/Fiscal/HkaEmission.php; app/Services/Fiscal/HkaResponse.php; app/Services/Fiscal/HkaTransport.php
Entrada: Guardado de factura; POST /documents/{id}/prepare-hka/send-hka/query-hka</x:v>
      </x:c>
    </x:row>
    <x:row r="285" ht="44" customHeight="1">
      <x:c r="A285" s="13" t="str">
        <x:v>QA-HKA-025</x:v>
      </x:c>
      <x:c r="B285" s="13" t="str">
        <x:v>Emisión real ordinaria DEMO</x:v>
      </x:c>
      <x:c r="C285" s="13" t="str">
        <x:v>Factura ordinaria digital/demo; proveedor doble; UUID estable; HTTP saneado; reloj controlado. Casos de fallos se ejecutan simulados.
Credenciales DEMO verificadas, documentos QA y contacto controlado</x:v>
      </x:c>
      <x:c r="D285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Crear factura de la corrida.
4. Registrar resultado HKA, control y consulta.
5. Obtener PDF y conciliar comercio.
6. Recargar/reabrir o consultar desde una segunda lectura autorizada; contrastar resultado inmediato y persistido con los criterios siguientes. No repetir creación/envío con resultado desconocido sin conciliar primero.</x:v>
      </x:c>
      <x:c r="E285" s="13" t="str">
        <x:v>Aceptación DEMO factura acreditada por respuesta/control atribuibles; cantidades/pagos/stock coinciden. Esta ejecución se etiqueta Real DEMO y no reutiliza evidencia histórica.</x:v>
      </x:c>
      <x:c r="F285" s="13" t="str">
        <x:v>[app/Services/Fiscal/HkaEmissionPreparation.php](../../app/Services/Fiscal/HkaEmissionPreparation.php), [app/Services/Fiscal/HkaEmission.php](../../app/Services/Fiscal/HkaEmission.php), [app/Services/Fiscal/HkaResponse.php](../../app/Services/Fiscal/HkaResponse.php), [app/Services/Fiscal/HkaTransport.php](../../app/Services/Fiscal/HkaTransport.php)
Efectos posteriores: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
Contrato actualizado: Factura sigue siendo prueba propia; no usar su aceptación para aprobar NHD/ODE. Notas ordinarias domésticas y órdenes04/indicador1 tienen matrices y aceptación Real DEMO por ID.</x:v>
      </x:c>
    </x:row>
    <x:row r="286" ht="56" customHeight="1">
      <x:c r="A286" s="13" t="str">
        <x:v>QA-PDF-001</x:v>
      </x:c>
      <x:c r="B286" s="13" t="str">
        <x:v>Vista previa digital en borrador</x:v>
      </x:c>
      <x:c r="C286" s="13" t="str">
        <x:v>Factura digital confirmada; A4 HKA original; multipágina y URL consulta; plantillas locales ticket; simulación de archivos dañados.
Borrador 01 sin emisión; show_ticket_80 false</x:v>
      </x:c>
      <x:c r="D286" s="13" t="str">
        <x:v>1. Abrir Vista previa
2. Leer tamaño 80MM y datos
3. Contar HKA y verificar archivos</x:v>
      </x:c>
      <x:c r="E286" s="13" t="str">
        <x:v>Vista previa local 80MM disponible aun con descarga 80 oculta; no llama HKA, no exige control y no guarda A4/A5 fiscal local.</x:v>
      </x:c>
      <x:c r="F286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87" ht="56" customHeight="1">
      <x:c r="A287" s="13" t="str">
        <x:v>QA-PDF-002</x:v>
      </x:c>
      <x:c r="B287" s="13" t="str">
        <x:v>Vista previa de registrado no confirmado</x:v>
      </x:c>
      <x:c r="C287" s="13" t="str">
        <x:v>Factura digital confirmada; A4 HKA original; multipágina y URL consulta; plantillas locales ticket; simulación de archivos dañados.
Factura local digital</x:v>
      </x:c>
      <x:c r="D287" s="13" t="str">
        <x:v>1. Abrir vista previa disponible antes de emitir
2. Comparar modalidad del documento en backend
3. Cerrar</x:v>
      </x:c>
      <x:c r="E287" s="13" t="str">
        <x:v>Modalidad del registro gobierna 80MM; no presenta borrador como original fiscal aceptado ni crea PDF HKA falso.</x:v>
      </x:c>
      <x:c r="F287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88" ht="56" customHeight="1">
      <x:c r="A288" s="13" t="str">
        <x:v>QA-PDF-003</x:v>
      </x:c>
      <x:c r="B288" s="13" t="str">
        <x:v>Carga y cierre de vista previa</x:v>
      </x:c>
      <x:c r="C288" s="13" t="str">
        <x:v>Factura digital confirmada; A4 HKA original; multipágina y URL consulta; plantillas locales ticket; simulación de archivos dañados.
Respuesta PDF local retrasada</x:v>
      </x:c>
      <x:c r="D288" s="13" t="str">
        <x:v>1. Abrir y cerrar antes de respuesta
2. Cambiar a otro borrador
3. Entregar respuesta tardía</x:v>
      </x:c>
      <x:c r="E288" s="13" t="str">
        <x:v>Sin PDF de otro documento/URLs filtradas; errores visibles, scroll suficiente y recursos temporales liberados.</x:v>
      </x:c>
      <x:c r="F288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89" ht="56" customHeight="1">
      <x:c r="A289" s="13" t="str">
        <x:v>QA-PDF-004</x:v>
      </x:c>
      <x:c r="B289" s="13" t="str">
        <x:v>Descarga A4 original</x:v>
      </x:c>
      <x:c r="C289" s="13" t="str">
        <x:v>Factura digital confirmada; A4 HKA original; multipágina y URL consulta; plantillas locales ticket; simulación de archivos dañados.
Factura confirmed con bytes HKA válidos</x:v>
      </x:c>
      <x:c r="D289" s="13" t="str">
        <x:v>1. Descargar A4
2. Calcular SHA 256
3. Comparar con original del proveedor y número de páginas</x:v>
      </x:c>
      <x:c r="E289" s="13" t="str">
        <x:v>Mismos bytes originales, sin conversión ni plantilla local; archivo privado asociado a operación vigente.</x:v>
      </x:c>
      <x:c r="F289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90" ht="56" customHeight="1">
      <x:c r="A290" s="13" t="str">
        <x:v>QA-PDF-005</x:v>
      </x:c>
      <x:c r="B290" s="13" t="str">
        <x:v>Descarga A5 horizontal multipágina</x:v>
      </x:c>
      <x:c r="C290" s="13" t="str">
        <x:v>Factura digital confirmada; A4 HKA original; multipágina y URL consulta; plantillas locales ticket; simulación de archivos dañados.
A4 HKA varias páginas</x:v>
      </x:c>
      <x:c r="D290" s="13" t="str">
        <x:v>1. Descargar A5
2. Medir cada página
3. Renderizar y leer texto/importe/QR/logo</x:v>
      </x:c>
      <x:c r="E290" s="13" t="str">
        <x:v>Una página salida por original a 210×148 mm; distribución completa, texto vectorial proporcional, logo sin deformación y QR con tamaño físico conservado.</x:v>
      </x:c>
      <x:c r="F290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91" ht="56" customHeight="1">
      <x:c r="A291" s="13" t="str">
        <x:v>QA-PDF-006</x:v>
      </x:c>
      <x:c r="B291" s="13" t="str">
        <x:v>Ticket 80MM con QR</x:v>
      </x:c>
      <x:c r="C291" s="13" t="str">
        <x:v>Factura digital confirmada; A4 HKA original; multipágina y URL consulta; plantillas locales ticket; simulación de archivos dañados.
Confirmed con URL HTTPS conservada</x:v>
      </x:c>
      <x:c r="D291" s="13" t="str">
        <x:v>1. Descargar ticket
2. Decodificar QR
3. Comparar URLy disposición debajo de monto en letras</x:v>
      </x:c>
      <x:c r="E291" s="13" t="str">
        <x:v>QR una vez 30×30 mm, borde 4 módulos/corrección M; igualdad exacta con URL conservada; leyenda 1000 una vez; ticket en memoria sin HTTP HKA ni sobrescribir archivos.</x:v>
      </x:c>
      <x:c r="F291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92" ht="56" customHeight="1">
      <x:c r="A292" s="13" t="str">
        <x:v>QA-PDF-007</x:v>
      </x:c>
      <x:c r="B292" s="13" t="str">
        <x:v>Ticket sin URL bloqueado</x:v>
      </x:c>
      <x:c r="C292" s="13" t="str">
        <x:v>Factura digital confirmada; A4 HKA original; multipágina y URL consulta; plantillas locales ticket; simulación de archivos dañados.
Confirmed y consulta_url null</x:v>
      </x:c>
      <x:c r="D292" s="13" t="str">
        <x:v>1. Intentar descargar ticket
2. Leer mensaje
3. Comprobar A4/A5 disponibles</x:v>
      </x:c>
      <x:c r="E292" s="13" t="str">
        <x:v>Sólo 80MM con QR bloqueado; mensaje indica consultar estado HKA por acción existente; no genera ticket genérico sustituto.</x:v>
      </x:c>
      <x:c r="F292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93" ht="56" customHeight="1">
      <x:c r="A293" s="13" t="str">
        <x:v>QA-PDF-008</x:v>
      </x:c>
      <x:c r="B293" s="13" t="str">
        <x:v>PDF antes de confirmación</x:v>
      </x:c>
      <x:c r="C293" s="13" t="str">
        <x:v>Factura digital confirmada; A4 HKA original; multipágina y URL consulta; plantillas locales ticket; simulación de archivos dañados.
not_requested / prepared / pending / rejected / uncertain</x:v>
      </x:c>
      <x:c r="D293" s="13" t="str">
        <x:v>1. Intentar A4/A5/ticket en cada estado
2. Repetir URL directa
3. Medir red y archivo</x:v>
      </x:c>
      <x:c r="E293" s="13" t="str">
        <x:v>Disponibilidad/diagnóstico según estado; no entrega A4/A5 local ni ticket fiscal sin confirmación.</x:v>
      </x:c>
      <x:c r="F293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94" ht="56" customHeight="1">
      <x:c r="A294" s="13" t="str">
        <x:v>QA-PDF-009</x:v>
      </x:c>
      <x:c r="B294" s="13" t="str">
        <x:v>Formatos no admitidos</x:v>
      </x:c>
      <x:c r="C294" s="13" t="str">
        <x:v>Factura digital confirmada; A4 HKA original; multipágina y URL consulta; plantillas locales ticket; simulación de archivos dañados.
Endpoint autenticado digital</x:v>
      </x:c>
      <x:c r="D294" s="13" t="str">
        <x:v>1. Solicitara 3/xml/json/ticket_58/../../../ en variantes
2. Leer respuesta
3. Contar HKA</x:v>
      </x:c>
      <x:c r="E294" s="13" t="str">
        <x:v>Allowlista4/a5/ticket; formatos inválidos no obtienen original ni otra ruta. Opciones 58MM de otros documentos no acreditan soporte digital.</x:v>
      </x:c>
      <x:c r="F294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95" ht="56" customHeight="1">
      <x:c r="A295" s="13" t="str">
        <x:v>QA-PDF-010</x:v>
      </x:c>
      <x:c r="B295" s="13" t="str">
        <x:v>Archivo no es PDF válido</x:v>
      </x:c>
      <x:c r="C295" s="13" t="str">
        <x:v>Factura digital confirmada; A4 HKA original; multipágina y URL consulta; plantillas locales ticket; simulación de archivos dañados.
Doble DescargaArchivo con base 64 inválido/HTML/cabecera/cierre in correcto</x:v>
      </x:c>
      <x:c r="D295" s="13" t="str">
        <x:v>1. Solicitar A4 para cada variante
2. Leer diagnóstico
3. Buscar archivo final</x:v>
      </x:c>
      <x:c r="E295" s="13" t="str">
        <x:v>Validación estricta; no guarda/entrega bytes inválidos y no hace fallback local.</x:v>
      </x:c>
      <x:c r="F295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96" ht="56" customHeight="1">
      <x:c r="A296" s="13" t="str">
        <x:v>QA-PDF-011</x:v>
      </x:c>
      <x:c r="B296" s="13" t="str">
        <x:v>Respuesta de negocio PDF inválida</x:v>
      </x:c>
      <x:c r="C296" s="13" t="str">
        <x:v>Factura digital confirmada; A4 HKA original; multipágina y URL consulta; plantillas locales ticket; simulación de archivos dañados.
HTTP2xx con código distinto 200, validaciones o archivo vacío</x:v>
      </x:c>
      <x:c r="D296" s="13" t="str">
        <x:v>1. Descargar por cada variante
2. Leer error
3. Comparar venta/emisión</x:v>
      </x:c>
      <x:c r="E296" s="13" t="str">
        <x:v>HTTP exitoso no suficiente; fallo PDF no degrada confirmación ni venta, habilita reintentos de descarga.</x:v>
      </x:c>
      <x:c r="F296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97" ht="56" customHeight="1">
      <x:c r="A297" s="13" t="str">
        <x:v>QA-PDF-012</x:v>
      </x:c>
      <x:c r="B297" s="13" t="str">
        <x:v>Límite y apertura del PDF</x:v>
      </x:c>
      <x:c r="C297" s="13" t="str">
        <x:v>Factura digital confirmada; A4 HKA original; multipágina y URL consulta; plantillas locales ticket; simulación de archivos dañados.
Base 64&gt;40 Mi B o PDF sin páginas legibles</x:v>
      </x:c>
      <x:c r="D297" s="13" t="str">
        <x:v>1. Descargar por doble
2. Leer error
3. Verificar almacenamiento</x:v>
      </x:c>
      <x:c r="E297" s="13" t="str">
        <x:v>Límite de la cadena y apertura FPDI impiden archivo inválido. No duplicar emisión para recuperarlo.</x:v>
      </x:c>
      <x:c r="F297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98" ht="56" customHeight="1">
      <x:c r="A298" s="13" t="str">
        <x:v>QA-PDF-013</x:v>
      </x:c>
      <x:c r="B298" s="13" t="str">
        <x:v>Reutilizar y recuperar copia privada</x:v>
      </x:c>
      <x:c r="C298" s="13" t="str">
        <x:v>Factura digital confirmada; A4 HKA original; multipágina y URL consulta; plantillas locales ticket; simulación de archivos dañados.
A4 HKA guardado, copia ausente y corrupta</x:v>
      </x:c>
      <x:c r="D298" s="13" t="str">
        <x:v>1. Descargar válida y contar HTTP
2. Quitar/dañar sólo copia fixture
3. Descargar de nuevo</x:v>
      </x:c>
      <x:c r="E298" s="13" t="str">
        <x:v>Copia válida reutilizada; ausente/dañada recuperada y escrita atómicamente. Copias locales antiguas no sustituyen original.</x:v>
      </x:c>
      <x:c r="F298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299" ht="56" customHeight="1">
      <x:c r="A299" s="13" t="str">
        <x:v>QA-PDF-014</x:v>
      </x:c>
      <x:c r="B299" s="13" t="str">
        <x:v>Descargas simultáneas</x:v>
      </x:c>
      <x:c r="C299" s="13" t="str">
        <x:v>Factura digital confirmada; A4 HKA original; multipágina y URL consulta; plantillas locales ticket; simulación de archivos dañados.
Mismo documento y dos usuarios autorizados</x:v>
      </x:c>
      <x:c r="D299" s="13" t="str">
        <x:v>1. Pe dir A4/A5 concurrentemente
2. Abrir ambos PDF
3. Buscar archivos parciales</x:v>
      </x:c>
      <x:c r="E299" s="13" t="str">
        <x:v>Bytes válidos y rutas por operación/formato; no archivos incompletos ni cruzados.</x:v>
      </x:c>
      <x:c r="F299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00" ht="56" customHeight="1">
      <x:c r="A300" s="13" t="str">
        <x:v>QA-PDF-015</x:v>
      </x:c>
      <x:c r="B300" s="13" t="str">
        <x:v>Nombres visibles y serie vacía</x:v>
      </x:c>
      <x:c r="C300" s="13" t="str">
        <x:v>Factura digital confirmada; A4 HKA original; multipágina y URL consulta; plantillas locales ticket; simulación de archivos dañados.
Facturas número 25 con/sin serie y serie con guiones</x:v>
      </x:c>
      <x:c r="D300" s="13" t="str">
        <x:v>1. Descargara4/a5/ticket
2. Leer Content-Disposition
3. Comparar clave privada</x:v>
      </x:c>
      <x:c r="E300" s="13" t="str">
        <x:v>Nombre visible con 00000025, sin SIN_SERIE_Sid/markers; ticket agrega 80 mm. El filename visible no autoriza lectura ni reemplaza identidad HKA.</x:v>
      </x:c>
      <x:c r="F300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01" ht="56" customHeight="1">
      <x:c r="A301" s="13" t="str">
        <x:v>QA-PDF-016</x:v>
      </x:c>
      <x:c r="B301" s="13" t="str">
        <x:v>Colisión de nombres en ZIP</x:v>
      </x:c>
      <x:c r="C301" s="13" t="str">
        <x:v>Factura digital confirmada; A4 HKA original; multipágina y URL consulta; plantillas locales ticket; simulación de archivos dañados.
Dos sucursales nombres visibles iguales y documents distintos</x:v>
      </x:c>
      <x:c r="D301" s="13" t="str">
        <x:v>1. Ejecutar descarga masiva ZIP permitida
2. Abrir entradas
3. Comparar bytes/identidades</x:v>
      </x:c>
      <x:c r="E301" s="13" t="str">
        <x:v>Se conservan ambos con sufijos(2) etc; ninguna entrada sobrescrita aunque nombres visibles coincidan.</x:v>
      </x:c>
      <x:c r="F301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02" ht="56" customHeight="1">
      <x:c r="A302" s="13" t="str">
        <x:v>QA-PDF-017</x:v>
      </x:c>
      <x:c r="B302" s="13" t="str">
        <x:v>Masiva de digitales y mixtas</x:v>
      </x:c>
      <x:c r="C302" s="13" t="str">
        <x:v>Factura digital confirmada; A4 HKA original; multipágina y URL consulta; plantillas locales ticket; simulación de archivos dañados.
Conjunto autorizado digital y nota venta local</x:v>
      </x:c>
      <x:c r="D302" s="13" t="str">
        <x:v>1. Descargar A4/A5 masivo
2. Revisar todas las páginas
3. Contar páginas por original</x:v>
      </x:c>
      <x:c r="E302" s="13" t="str">
        <x:v>Cada factura digital conserva HKA/conversión A5; comerciales conservan su PDF; notas locales no fingen emisión HKA.</x:v>
      </x:c>
      <x:c r="F302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03" ht="56" customHeight="1">
      <x:c r="A303" s="13" t="str">
        <x:v>QA-PDF-018</x:v>
      </x:c>
      <x:c r="B303" s="13" t="str">
        <x:v>Masiva falla completa</x:v>
      </x:c>
      <x:c r="C303" s="13" t="str">
        <x:v>Factura digital confirmada; A4 HKA original; multipágina y URL consulta; plantillas locales ticket; simulación de archivos dañados.
Un archivo del conjunto inválido</x:v>
      </x:c>
      <x:c r="D303" s="13" t="str">
        <x:v>1. Descargar con doble respuesta fallida
2. Leer error
3. Buscar PDF parcial/oficial alterno</x:v>
      </x:c>
      <x:c r="E303" s="13" t="str">
        <x:v>Conjunto falla sin fallback local ni archivo que aparente ser completo.</x:v>
      </x:c>
      <x:c r="F303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04" ht="56" customHeight="1">
      <x:c r="A304" s="13" t="str">
        <x:v>QA-PDF-019</x:v>
      </x:c>
      <x:c r="B304" s="13" t="str">
        <x:v>Impresión automática tras confirmar</x:v>
      </x:c>
      <x:c r="C304" s="13" t="str">
        <x:v>Factura digital confirmada; A4 HKA original; multipágina y URL consulta; plantillas locales ticket; simulación de archivos dañados.
Preferencia auto impresión y doble de impresora QA</x:v>
      </x:c>
      <x:c r="D304" s="13" t="str">
        <x:v>1. Guardar factura y retrasar confirmación
2. Contar órdenes antes/después
3. Simular fallo de impresora</x:v>
      </x:c>
      <x:c r="E304" s="13" t="str">
        <x:v>Espera confirmación antes de original fiscal; fallo impresión no anula venta/emisión. Registrar impresión física sólo si se ejecutó.</x:v>
      </x:c>
      <x:c r="F304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05" ht="56" customHeight="1">
      <x:c r="A305" s="13" t="str">
        <x:v>QA-PDF-020</x:v>
      </x:c>
      <x:c r="B305" s="13" t="str">
        <x:v>Impresión manual y QZ</x:v>
      </x:c>
      <x:c r="C305" s="13" t="str">
        <x:v>Factura digital confirmada; A4 HKA original; multipágina y URL consulta; plantillas locales ticket; simulación de archivos dañados.
Impresora QA/QZ configurado</x:v>
      </x:c>
      <x:c r="D305" s="13" t="str">
        <x:v>1. Imprimir formato disponible
2. Simular QZ ausente/desconectado
3. Leer reintento y material enviado</x:v>
      </x:c>
      <x:c r="E305" s="13" t="str">
        <x:v>Formato/identidad correctos; error dispone recuperación sin otra emisión. Clave privada QZ nunca enviada al navegador.</x:v>
      </x:c>
      <x:c r="F305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06" ht="56" customHeight="1">
      <x:c r="A306" s="13" t="str">
        <x:v>QA-PDF-021</x:v>
      </x:c>
      <x:c r="B306" s="13" t="str">
        <x:v>Accesos a PDF por cada entrada</x:v>
      </x:c>
      <x:c r="C306" s="13" t="str">
        <x:v>Factura digital confirmada; A4 HKA original; multipágina y URL consulta; plantillas locales ticket; simulación de archivos dañados.
Web/listado/POS/Garage/Finanzas/API/Mobile App</x:v>
      </x:c>
      <x:c r="D306" s="13" t="str">
        <x:v>1. Abrir documento en cada entrada
2. Descargar explícitamentea4/a5/ticket
3. Registrar request/evidencia individual</x:v>
      </x:c>
      <x:c r="E306" s="13" t="str">
        <x:v>Todas las entradas usan servicio autorizado y DTO pdf_downloads; provider local ticket no es permiso para PDF genérico.</x:v>
      </x:c>
      <x:c r="F306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07" ht="56" customHeight="1">
      <x:c r="A307" s="13" t="str">
        <x:v>QA-PDF-022</x:v>
      </x:c>
      <x:c r="B307" s="13" t="str">
        <x:v>Sin ID o carga incompleta</x:v>
      </x:c>
      <x:c r="C307" s="13" t="str">
        <x:v>Factura digital confirmada; A4 HKA original; multipágina y URL consulta; plantillas locales ticket; simulación de archivos dañados.
Diálogo antes de form.id y respuesta retrasada</x:v>
      </x:c>
      <x:c r="D307" s="13" t="str">
        <x:v>1. Intentar impresión/descarga temprano
2. Cambiar documento
3. Leer red</x:v>
      </x:c>
      <x:c r="E307" s="13" t="str">
        <x:v>Botones bloqueados y ninguna URL/print/document/null; respuestas ajenas descartadas.</x:v>
      </x:c>
      <x:c r="F307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08" ht="56" customHeight="1">
      <x:c r="A308" s="13" t="str">
        <x:v>QA-PDF-023</x:v>
      </x:c>
      <x:c r="B308" s="13" t="str">
        <x:v>Cabeceras y permisos PDF</x:v>
      </x:c>
      <x:c r="C308" s="13" t="str">
        <x:v>Factura digital confirmada; A4 HKA original; multipágina y URL consulta; plantillas locales ticket; simulación de archivos dañados.
Documento autorizado y otro tenant/sucursal</x:v>
      </x:c>
      <x:c r="D308" s="13" t="str">
        <x:v>1. Descargar legítimo
2. Probar visitante/token ajeno
3. Leer headers</x:v>
      </x:c>
      <x:c r="E308" s="13" t="str">
        <x:v>application/pdf, attachment, private/no-store/nosniff; autorización tenant/sucursal antes de HKA/render incluso ticket local.</x:v>
      </x:c>
      <x:c r="F308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09" ht="56" customHeight="1">
      <x:c r="A309" s="13" t="str">
        <x:v>QA-PDF-024</x:v>
      </x:c>
      <x:c r="B309" s="13" t="str">
        <x:v>Cambios de catálogo no reescriben original</x:v>
      </x:c>
      <x:c r="C309" s="13" t="str">
        <x:v>Factura digital confirmada; A4 HKA original; multipágina y URL consulta; plantillas locales ticket; simulación de archivos dañados.
Factura confirmada A4 guardado</x:v>
      </x:c>
      <x:c r="D309" s="13" t="str">
        <x:v>1. Cambiar contacto/logo/tasa ficha actual
2. Descargar otra vez
3. Comparar SHA 256</x:v>
      </x:c>
      <x:c r="E309" s="13" t="str">
        <x:v>Original A4 emitido conserva bytes; no reemitir para rellenar contactos ni corregir PDF del proveedor.</x:v>
      </x:c>
      <x:c r="F309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10" ht="56" customHeight="1">
      <x:c r="A310" s="13" t="str">
        <x:v>QA-PDF-025</x:v>
      </x:c>
      <x:c r="B310" s="13" t="str">
        <x:v>Plantillas de ticket y documentos extensos</x:v>
      </x:c>
      <x:c r="C310" s="13" t="str">
        <x:v>Factura digital confirmada; A4 HKA original; multipágina y URL consulta; plantillas locales ticket; simulación de archivos dañados.
Todas las plantillas de ticket configurables activas</x:v>
      </x:c>
      <x:c r="D310" s="13" t="str">
        <x:v>1. Ejecutar caso por plantilla contexto/200 líneas QAy pagos
2. Renderizar cada PDF
3. Revisar QR pie encabezados</x:v>
      </x:c>
      <x:c r="E310" s="13" t="str">
        <x:v>No cortes/superposiciones/duplicación QR; QR no sobrescribe plantilla 80MM. Cantidad 200 es volumen QA, no límite funcional asumido.</x:v>
      </x:c>
      <x:c r="F310" s="13" t="str">
        <x:v>Fuentes: app/Services/Fiscal/HkaPdf.php; app/Services/Fiscal/HkaPdfStore.php; app/Services/Fiscal/HkaA5Pdf.php; app/Services/Fiscal/HkaTicketPdf.php; .codex/skills/distribuir-documentos-hka/SKILL.md
Entrada: Vista previa formulario; Opciones/Detalle; GET /documents/{external_id}/download-pdf/{format}</x:v>
      </x:c>
    </x:row>
    <x:row r="311" ht="56" customHeight="1">
      <x:c r="A311" s="13" t="str">
        <x:v>QA-COR-001</x:v>
      </x:c>
      <x:c r="B311" s="13" t="str">
        <x:v>Solicitud manual de correo HKA</x:v>
      </x:c>
      <x:c r="C311" s="13" t="str">
        <x:v>Factura confirmed digital/demo; destinatarios QA controlados o doble; UUID request_id; no enviar a contactos históricos.
Factura confirmed y correo válido QA</x:v>
      </x:c>
      <x:c r="D311" s="13" t="str">
        <x:v>1. Enviar desde Opciones web/listado
2. Leer email_delivery
3. Comparar estado fiscal/caja</x:v>
      </x:c>
      <x:c r="E311" s="13" t="str">
        <x:v>Solicitud aceptada por HKA no implica Entregado; factura/pagos/stock/control conservados. No fallback SMTP.</x:v>
      </x:c>
      <x:c r="F311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12" ht="56" customHeight="1">
      <x:c r="A312" s="13" t="str">
        <x:v>QA-COR-002</x:v>
      </x:c>
      <x:c r="B312" s="13" t="str">
        <x:v>Correo desde POS y Garage</x:v>
      </x:c>
      <x:c r="C312" s="13" t="str">
        <x:v>Factura confirmed digital/demo; destinatarios QA controlados o doble; UUID request_id; no enviar a contactos históricos.
Facturas confirmed de ambos canales</x:v>
      </x:c>
      <x:c r="D312" s="13" t="str">
        <x:v>1. Abrir cada Opciones
2. Enviar con UUID propio
3. Contar llamadas y resultado individual</x:v>
      </x:c>
      <x:c r="E312" s="13" t="str">
        <x:v>Ambas entradas usan contrato compartido y cada una se verifica visualmente. Éxito web no acredita envío POS/Garage.</x:v>
      </x:c>
      <x:c r="F312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13" ht="56" customHeight="1">
      <x:c r="A313" s="13" t="str">
        <x:v>QA-COR-003</x:v>
      </x:c>
      <x:c r="B313" s="13" t="str">
        <x:v>Correo bloqueado sin confirmar</x:v>
      </x:c>
      <x:c r="C313" s="13" t="str">
        <x:v>Factura confirmed digital/demo; destinatarios QA controlados o doble; UUID request_id; no enviar a contactos históricos.
Factura digital prepared / rejected / pending / uncertain</x:v>
      </x:c>
      <x:c r="D313" s="13" t="str">
        <x:v>1. Intentar enviar en cada estado
2. Repetir POST directo
3. Leer diagnóstico</x:v>
      </x:c>
      <x:c r="E313" s="13" t="str">
        <x:v>Se exige confirmed /control/vigencia/contexto; no mensaje exitoso ni SMTP alternativo.</x:v>
      </x:c>
      <x:c r="F313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14" ht="56" customHeight="1">
      <x:c r="A314" s="13" t="str">
        <x:v>QA-COR-004</x:v>
      </x:c>
      <x:c r="B314" s="13" t="str">
        <x:v>Destinatarios inválidos</x:v>
      </x:c>
      <x:c r="C314" s="13" t="str">
        <x:v>Factura confirmed digital/demo; destinatarios QA controlados o doble; UUID request_id; no enviar a contactos históricos.
Factura elegible y correos malformados</x:v>
      </x:c>
      <x:c r="D314" s="13" t="str">
        <x:v>1. Enviar vacío,malformado,lista con inválido y exceso según request
2. Leer errores planos/en errors
3. Verificar botón</x:v>
      </x:c>
      <x:c r="E314" s="13" t="str">
        <x:v>Validación en campo y otros errores visibles; se libera estado ocupado sin perder documento ni generar correos inválidos.</x:v>
      </x:c>
      <x:c r="F314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15" ht="56" customHeight="1">
      <x:c r="A315" s="13" t="str">
        <x:v>QA-COR-005</x:v>
      </x:c>
      <x:c r="B315" s="13" t="str">
        <x:v>UUID y doble clic de correo</x:v>
      </x:c>
      <x:c r="C315" s="13" t="str">
        <x:v>Factura confirmed digital/demo; destinatarios QA controlados o doble; UUID request_id; no enviar a contactos históricos.
Solicitud K destinatarios D</x:v>
      </x:c>
      <x:c r="D315" s="13" t="str">
        <x:v>1. Hacer doble clic y repetir K/D
2. Reutilizar K con destinatario distinto
3. Leer contador</x:v>
      </x:c>
      <x:c r="E315" s="13" t="str">
        <x:v>Una solicitud lógica; clave con otros destinatarios rechazada; perder respuesta conserva UUID.</x:v>
      </x:c>
      <x:c r="F315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16" ht="56" customHeight="1">
      <x:c r="A316" s="13" t="str">
        <x:v>QA-COR-006</x:v>
      </x:c>
      <x:c r="B316" s="13" t="str">
        <x:v>Reenvío explícito</x:v>
      </x:c>
      <x:c r="C316" s="13" t="str">
        <x:v>Factura confirmed digital/demo; destinatarios QA controlados o doble; UUID request_id; no enviar a contactos históricos.
Solicitud previa aceptada</x:v>
      </x:c>
      <x:c r="D316" s="13" t="str">
        <x:v>1. Intentar envío de nuevo sin resend
2. Usar Enviar de nuevo con UUID nuevo
3. Leer intentos</x:v>
      </x:c>
      <x:c r="E316" s="13" t="str">
        <x:v>Otro envío requiere acción explícita; historia de intentos/distintos UUIDs auditable y no duplicado por refresh.</x:v>
      </x:c>
      <x:c r="F316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17" ht="56" customHeight="1">
      <x:c r="A317" s="13" t="str">
        <x:v>QA-COR-007</x:v>
      </x:c>
      <x:c r="B317" s="13" t="str">
        <x:v>Rechazo definitivo de correo</x:v>
      </x:c>
      <x:c r="C317" s="13" t="str">
        <x:v>Factura confirmed digital/demo; destinatarios QA controlados o doble; UUID request_id; no enviar a contactos históricos.
Doble Correo/Enviar con rechazo</x:v>
      </x:c>
      <x:c r="D317" s="13" t="str">
        <x:v>1. Enviar
2. Leer estado y limitaciones
3. Intentar nuevo envío permitido</x:v>
      </x:c>
      <x:c r="E317" s="13" t="str">
        <x:v>Correo rechazado independiente del fiscal confirmed; diagnóstico saneado y acciones coherentes.</x:v>
      </x:c>
      <x:c r="F317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18" ht="56" customHeight="1">
      <x:c r="A318" s="13" t="str">
        <x:v>QA-COR-008</x:v>
      </x:c>
      <x:c r="B318" s="13" t="str">
        <x:v>Timeout de correo</x:v>
      </x:c>
      <x:c r="C318" s="13" t="str">
        <x:v>Factura confirmed digital/demo; destinatarios QA controlados o doble; UUID request_id; no enviar a contactos históricos.
Doble posiblemente recibió correo</x:v>
      </x:c>
      <x:c r="D318" s="13" t="str">
        <x:v>1. Enviar y perder respuesta
2. Leer Por verificar
3. Intentar reenvío inmediato</x:v>
      </x:c>
      <x:c r="E318" s="13" t="str">
        <x:v>No reenvío automático ni otra UUID por incertidumbre; factura permanece confirmada.</x:v>
      </x:c>
      <x:c r="F318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19" ht="56" customHeight="1">
      <x:c r="A319" s="13" t="str">
        <x:v>QA-COR-009</x:v>
      </x:c>
      <x:c r="B319" s="13" t="str">
        <x:v>Recuperación pending 50 segundos</x:v>
      </x:c>
      <x:c r="C319" s="13" t="str">
        <x:v>Factura confirmed digital/demo; destinatarios QA controlados o doble; UUID request_id; no enviar a contactos históricos.
Intento correo interrumpido</x:v>
      </x:c>
      <x:c r="D319" s="13" t="str">
        <x:v>1. Consultar antes de 50 s
2. Avanzar reloj y consultar
3. Leer estado/contador</x:v>
      </x:c>
      <x:c r="E319" s="13" t="str">
        <x:v>Recuperación no prematura; umbral 50 s y reglas de atribución respetados.</x:v>
      </x:c>
      <x:c r="F319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20" ht="56" customHeight="1">
      <x:c r="A320" s="13" t="str">
        <x:v>QA-COR-010</x:v>
      </x:c>
      <x:c r="B320" s="13" t="str">
        <x:v>Rastreo por destinatario eintento</x:v>
      </x:c>
      <x:c r="C320" s="13" t="str">
        <x:v>Factura confirmed digital/demo; destinatarios QA controlados o doble; UUID request_id; no enviar a contactos históricos.
Eventos actuales y messageId previo</x:v>
      </x:c>
      <x:c r="D320" s="13" t="str">
        <x:v>1. Consultar Correo/Rastreo
2. Inyectar evento antiguo/ajeno
3. Comparar destinatarios</x:v>
      </x:c>
      <x:c r="E320" s="13" t="str">
        <x:v>Sólo eventos atribuibles al intento; email distinto/ messageId antiguo no confirma entrega de nuevo envío.</x:v>
      </x:c>
      <x:c r="F320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21" ht="56" customHeight="1">
      <x:c r="A321" s="13" t="str">
        <x:v>QA-COR-011</x:v>
      </x:c>
      <x:c r="B321" s="13" t="str">
        <x:v>Rastreo vacío no acredita entrega</x:v>
      </x:c>
      <x:c r="C321" s="13" t="str">
        <x:v>Factura confirmed digital/demo; destinatarios QA controlados o doble; UUID request_id; no enviar a contactos históricos.
Doble devuelve rastreo vacío/no atribuible</x:v>
      </x:c>
      <x:c r="D321" s="13" t="str">
        <x:v>1. Consultar
2. Leer estado/botones
3. Intentar reenviar</x:v>
      </x:c>
      <x:c r="E321" s="13" t="str">
        <x:v>No se declara Entregado ni ausencia por vacío; incertidumbre conservada sin duplicación.</x:v>
      </x:c>
      <x:c r="F321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22" ht="56" customHeight="1">
      <x:c r="A322" s="13" t="str">
        <x:v>QA-COR-012</x:v>
      </x:c>
      <x:c r="B322" s="13" t="str">
        <x:v>Correo automático después de confirmar</x:v>
      </x:c>
      <x:c r="C322" s="13" t="str">
        <x:v>Factura confirmed digital/demo; destinatarios QA controlados o doble; UUID request_id; no enviar a contactos históricos.
auto_send_pdf_email true o create action send_email true</x:v>
      </x:c>
      <x:c r="D322" s="13" t="str">
        <x:v>1. Guardar con correo válido
2. Retrasar confirmación y consultar luego
3. Repetir confirmación/POST compatibilidad</x:v>
      </x:c>
      <x:c r="E322" s="13" t="str">
        <x:v>Intención waiting registrada antes del commit; un envío después de confirmed con UUID estable; comprador.notificar No evita notificación duplicada.</x:v>
      </x:c>
      <x:c r="F322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23" ht="56" customHeight="1">
      <x:c r="A323" s="13" t="str">
        <x:v>QA-COR-013</x:v>
      </x:c>
      <x:c r="B323" s="13" t="str">
        <x:v>Correo automático sin contacto</x:v>
      </x:c>
      <x:c r="C323" s="13" t="str">
        <x:v>Factura confirmed digital/demo; destinatarios QA controlados o doble; UUID request_id; no enviar a contactos históricos.
Comprador sin email válido</x:v>
      </x:c>
      <x:c r="D323" s="13" t="str">
        <x:v>1. Guardar con autocorreo habilitado
2. Leer intención
3. Consultar confirmación</x:v>
      </x:c>
      <x:c r="E323" s="13" t="str">
        <x:v>Intención skipped con motivo; no inventa destinatario ni falla el guardado por carecer contacto.</x:v>
      </x:c>
      <x:c r="F323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24" ht="56" customHeight="1">
      <x:c r="A324" s="13" t="str">
        <x:v>QA-COR-014</x:v>
      </x:c>
      <x:c r="B324" s="13" t="str">
        <x:v>Fallo de correo auto no degrada factura</x:v>
      </x:c>
      <x:c r="C324" s="13" t="str">
        <x:v>Factura confirmed digital/demo; destinatarios QA controlados o doble; UUID request_id; no enviar a contactos históricos.
Emisión correcta y correo fallido</x:v>
      </x:c>
      <x:c r="D324" s="13" t="str">
        <x:v>1. Guardar
2. Leer estado de emisión y correo
3. Descargar PDF</x:v>
      </x:c>
      <x:c r="E324" s="13" t="str">
        <x:v>Fiscal confirmed /venta íntegra; fallo correo no se confunde con rechazo HKA de emisión.</x:v>
      </x:c>
      <x:c r="F324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25" ht="56" customHeight="1">
      <x:c r="A325" s="13" t="str">
        <x:v>QA-COR-015</x:v>
      </x:c>
      <x:c r="B325" s="13" t="str">
        <x:v>Abrir/cerrar diálogo y respuesta tardía</x:v>
      </x:c>
      <x:c r="C325" s="13" t="str">
        <x:v>Factura confirmed digital/demo; destinatarios QA controlados o doble; UUID request_id; no enviar a contactos históricos.
Dos facturas y request email retrasado</x:v>
      </x:c>
      <x:c r="D325" s="13" t="str">
        <x:v>1. Enviar Aycerrar
2. Abrir B
3. Completar respuesta A</x:v>
      </x:c>
      <x:c r="E325" s="13" t="str">
        <x:v>No muestra resultado/recipient de A en B; recarga/errores no borran venta y botón libera recursos.</x:v>
      </x:c>
      <x:c r="F325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26" ht="56" customHeight="1">
      <x:c r="A326" s="13" t="str">
        <x:v>QA-COR-016</x:v>
      </x:c>
      <x:c r="B326" s="13" t="str">
        <x:v>Configuración opcional y focus</x:v>
      </x:c>
      <x:c r="C326" s="13" t="str">
        <x:v>Factura confirmed digital/demo; destinatarios QA controlados o doble; UUID request_id; no enviar a contactos históricos.
Diálogos montándose y config parcial</x:v>
      </x:c>
      <x:c r="D326" s="13" t="str">
        <x:v>1. Abrir Opciones sin config opcional
2. Enviar con campo montado
3. Probar fallo generación UUID</x:v>
      </x:c>
      <x:c r="E326" s="13" t="str">
        <x:v>Sin error JS por focus/config y UUID fallido desbloquea botón; no otra solicitud sin identidad válida.</x:v>
      </x:c>
      <x:c r="F326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27" ht="56" customHeight="1">
      <x:c r="A327" s="13" t="str">
        <x:v>QA-COR-017</x:v>
      </x:c>
      <x:c r="B327" s="13" t="str">
        <x:v>WhatsApp y prefijo venezolano</x:v>
      </x:c>
      <x:c r="C327" s="13" t="str">
        <x:v>Factura confirmed digital/demo; destinatarios QA controlados o doble; UUID request_id; no enviar a contactos históricos.
Integración habilitada con receptor QA/doble</x:v>
      </x:c>
      <x:c r="D327" s="13" t="str">
        <x:v>1. Enviar PDF desde opción existente
2. Probar nacional/internacional validos
3. Verificar URL y formato</x:v>
      </x:c>
      <x:c r="E327" s="13" t="str">
        <x:v>Número+58 normalizado una vez; documento autorizado/archivo real disponible. No enviar contactos reales ni históricos por usarla guía.</x:v>
      </x:c>
      <x:c r="F327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28" ht="56" customHeight="1">
      <x:c r="A328" s="13" t="str">
        <x:v>QA-COR-018</x:v>
      </x:c>
      <x:c r="B328" s="13" t="str">
        <x:v>WhatsApp no habilitado/no PDF</x:v>
      </x:c>
      <x:c r="C328" s="13" t="str">
        <x:v>Factura confirmed digital/demo; destinatarios QA controlados o doble; UUID request_id; no enviar a contactos históricos.
Integración desactivada o digital no confirmada</x:v>
      </x:c>
      <x:c r="D328" s="13" t="str">
        <x:v>1. Abrir Opciones
2. Intentar POST directo de envío disponible
3. Leer respuesta</x:v>
      </x:c>
      <x:c r="E328" s="13" t="str">
        <x:v>Opción disponible según contrato; no adjunta PDF falso ni bypass de permisos. Si no existe flujo en modalidad actual, documentar exclusión sustentada.</x:v>
      </x:c>
      <x:c r="F328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29" ht="56" customHeight="1">
      <x:c r="A329" s="13" t="str">
        <x:v>QA-COR-019</x:v>
      </x:c>
      <x:c r="B329" s="13" t="str">
        <x:v>Distribución por orden fuera de etapa</x:v>
      </x:c>
      <x:c r="C329" s="13" t="str">
        <x:v>Factura confirmed digital/demo; destinatarios QA controlados o doble; UUID request_id; no enviar a contactos históricos.
Sólo acciones implementadas documentales</x:v>
      </x:c>
      <x:c r="D329" s="13" t="str">
        <x:v>1. Inventariar EnviaOrden / RastreoOrden y UI
2. Intentar uso únicamente con doble si hay ruta
3. Contar HTTP</x:v>
      </x:c>
      <x:c r="E329" s="13" t="str">
        <x:v>No se presume integración por orden consolidada; ausencia de implementación se documenta y no se fabrica resultado de correo del pedido.</x:v>
      </x:c>
      <x:c r="F329" s="13" t="str">
        <x:v>Fuentes: app/Services/Fiscal/HkaMail.php; resources/js/mixins/document-email.js; resources/js/views/tenant/documents/partials/options.vue; resources/js/views/tenant/pos/partials/options.vue
Entrada: POST /documents/email; query-hka-email; Opciones web/listado/POS/Garage</x:v>
      </x:c>
    </x:row>
    <x:row r="330" ht="56" customHeight="1">
      <x:c r="A330" s="13" t="str">
        <x:v>QA-LIS-001</x:v>
      </x:c>
      <x:c r="B330" s="13" t="str">
        <x:v>Listado de todos los tipos presentes</x:v>
      </x:c>
      <x:c r="C330" s="13" t="str">
        <x:v>Facturas de todos los estados, monedas, sucursales/canales; NC/ND y documentos comerciales.
Documentos 01/07/08 en QA</x:v>
      </x:c>
      <x:c r="D330" s="13" t="str">
        <x:v>1. Abrir listado
2. Leer Tipo de documento después de Cliente
3. Alternar visibilidad y recargar</x:v>
      </x:c>
      <x:c r="E330" s="13" t="str">
        <x:v>Cada tipo se identifica por descripción real; columna configurable sin confundir NC/ND con Factura.</x:v>
      </x:c>
      <x:c r="F330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31" ht="56" customHeight="1">
      <x:c r="A331" s="13" t="str">
        <x:v>QA-LIS-002</x:v>
      </x:c>
      <x:c r="B331" s="13" t="str">
        <x:v>Estados locales y fiscales</x:v>
      </x:c>
      <x:c r="C331" s="13" t="str">
        <x:v>Facturas de todos los estados, monedas, sucursales/canales; NC/ND y documentos comerciales.
Fixtures de estados HKA y estado local</x:v>
      </x:c>
      <x:c r="D331" s="13" t="str">
        <x:v>1. Leer Estado en tabla/detalle
2. Abrir popup
3. Comparar con persistencia</x:v>
      </x:c>
      <x:c r="E331" s="13" t="str">
        <x:v>Sin solicitar/Preparado/Enviando/Confirmado/Rechazado/Por conciliar/Cancelado coherentes; color y motivo no convierten guardado local en aceptación.</x:v>
      </x:c>
      <x:c r="F331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32" ht="56" customHeight="1">
      <x:c r="A332" s="13" t="str">
        <x:v>QA-LIS-003</x:v>
      </x:c>
      <x:c r="B332" s="13" t="str">
        <x:v>Prioridad de anulación/rechazo local</x:v>
      </x:c>
      <x:c r="C332" s="13" t="str">
        <x:v>Facturas de todos los estados, monedas, sucursales/canales; NC/ND y documentos comerciales.
Confirmed previo más estado 09/11/13 en fixtures separados</x:v>
      </x:c>
      <x:c r="D332" s="13" t="str">
        <x:v>1. Recargar tabla y detalle
2. Abrir popup
3. Comparar resultado fiscal anterior</x:v>
      </x:c>
      <x:c r="E332" s="13" t="str">
        <x:v>Rechazado local/Anulado/Por anular tienen prioridad visual. No se reutiliza diagnóstico de confirmación como rechazo local.</x:v>
      </x:c>
      <x:c r="F332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33" ht="56" customHeight="1">
      <x:c r="A333" s="13" t="str">
        <x:v>QA-LIS-004</x:v>
      </x:c>
      <x:c r="B333" s="13" t="str">
        <x:v>Control y motivo completos</x:v>
      </x:c>
      <x:c r="C333" s="13" t="str">
        <x:v>Facturas de todos los estados, monedas, sucursales/canales; NC/ND y documentos comerciales.
Control con ceros/prefijo; rechazo sin diagnóstico</x:v>
      </x:c>
      <x:c r="D333" s="13" t="str">
        <x:v>1. Abrir popup de ambos
2. Leer títulos y contenido
3. Buscar control ausente</x:v>
      </x:c>
      <x:c r="E333" s="13" t="str">
        <x:v>N° de control íntegro; Sin asignar si falta; Motivo de rechazo saneado o Motivo de rechazo no disponible; no se ejecuta HTML del diagnóstico.</x:v>
      </x:c>
      <x:c r="F333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34" ht="56" customHeight="1">
      <x:c r="A334" s="13" t="str">
        <x:v>QA-LIS-005</x:v>
      </x:c>
      <x:c r="B334" s="13" t="str">
        <x:v>Acciones de consulta y envío</x:v>
      </x:c>
      <x:c r="C334" s="13" t="str">
        <x:v>Facturas de todos los estados, monedas, sucursales/canales; NC/ND y documentos comerciales.
can_query / can_send true y false</x:v>
      </x:c>
      <x:c r="D334" s="13" t="str">
        <x:v>1. Abrir detalle/Opciones
2. Ubicar Consultar comprobante a izquierda de PDF y Enviar HKA en Opciones
3. Comparar con permisos</x:v>
      </x:c>
      <x:c r="E334" s="13" t="str">
        <x:v>Botones en entradas vigentes, carga y permisos correctos; no se reinstala columna Estado HKA/ hka_status retirada.</x:v>
      </x:c>
      <x:c r="F334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35" ht="56" customHeight="1">
      <x:c r="A335" s="13" t="str">
        <x:v>QA-LIS-006</x:v>
      </x:c>
      <x:c r="B335" s="13" t="str">
        <x:v>Columna PDF retirada y menú móvil</x:v>
      </x:c>
      <x:c r="C335" s="13" t="str">
        <x:v>Facturas de todos los estados, monedas, sucursales/canales; NC/ND y documentos comerciales.
Listado desktop/móvil</x:v>
      </x:c>
      <x:c r="D335" s="13" t="str">
        <x:v>1. Abrir personalizador de columnas
2. Leer acciones de fila
3. Abrir PDF desde detalle/Opciones/menú móvil</x:v>
      </x:c>
      <x:c r="E335" s="13" t="str">
        <x:v>Sin columna downloads ni botón PDF directo de tabla; accesos explícitos existentes conservados y autorizados.</x:v>
      </x:c>
      <x:c r="F335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36" ht="56" customHeight="1">
      <x:c r="A336" s="13" t="str">
        <x:v>QA-LIS-007</x:v>
      </x:c>
      <x:c r="B336" s="13" t="str">
        <x:v>Total permanente y columnas configurables</x:v>
      </x:c>
      <x:c r="C336" s="13" t="str">
        <x:v>Facturas de todos los estados, monedas, sucursales/canales; NC/ND y documentos comerciales.
Personalizador tenant y superadmin</x:v>
      </x:c>
      <x:c r="D336" s="13" t="str">
        <x:v>1. Intentar ocultar o retirar Total por ambas entradas
2. Alternar Tipo de documento e IVA
3. Recargar con preferencias antiguas de columnas retiradas</x:v>
      </x:c>
      <x:c r="E336" s="13" t="str">
        <x:v>Total permanece visible y no desactivable. Tipo de documento es configurable y conserva orden/visibilidad guardados; si no había configuración aparece después de Cliente. IVA se presenta dentro de Total según preferencia; hka_status /downloads se ignoran.</x:v>
      </x:c>
      <x:c r="F336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37" ht="56" customHeight="1">
      <x:c r="A337" s="13" t="str">
        <x:v>QA-LIS-008</x:v>
      </x:c>
      <x:c r="B337" s="13" t="str">
        <x:v>Filtros por número, serie y cliente</x:v>
      </x:c>
      <x:c r="C337" s="13" t="str">
        <x:v>Facturas de todos los estados, monedas, sucursales/canales; NC/ND y documentos comerciales.
Registros con series vacías/largas/guiones</x:v>
      </x:c>
      <x:c r="D337" s="13" t="str">
        <x:v>1. Buscar referencia mínima y de 8 dígitos
2. Filtrar por serie/cliente
3. Limpiar filtros</x:v>
      </x:c>
      <x:c r="E337" s="13" t="str">
        <x:v>Resultados exactos y autorización de sucursal; referencias con guiones no se separan por primer guion.</x:v>
      </x:c>
      <x:c r="F337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38" ht="56" customHeight="1">
      <x:c r="A338" s="13" t="str">
        <x:v>QA-LIS-009</x:v>
      </x:c>
      <x:c r="B338" s="13" t="str">
        <x:v>Filtros por fecha, moneda, estado y tipo</x:v>
      </x:c>
      <x:c r="C338" s="13" t="str">
        <x:v>Facturas de todos los estados, monedas, sucursales/canales; NC/ND y documentos comerciales.
Fixtures en fechas límites y monedas distintas</x:v>
      </x:c>
      <x:c r="D338" s="13" t="str">
        <x:v>1. Aplicar cada filtro solo y combinado
2. Probar intervalo sin resultados
3. Comparar records Total/kpis</x:v>
      </x:c>
      <x:c r="E338" s="13" t="str">
        <x:v>Tabla, paginación, totales y KPI corresponden a la misma población; importes no suman USD/VES sin conversión identificable.</x:v>
      </x:c>
      <x:c r="F338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39" ht="56" customHeight="1">
      <x:c r="A339" s="13" t="str">
        <x:v>QA-LIS-010</x:v>
      </x:c>
      <x:c r="B339" s="13" t="str">
        <x:v>Paginación, orden y selección masiva</x:v>
      </x:c>
      <x:c r="C339" s="13" t="str">
        <x:v>Facturas de todos los estados, monedas, sucursales/canales; NC/ND y documentos comerciales.
Más registros que tamaño de página</x:v>
      </x:c>
      <x:c r="D339" s="13" t="str">
        <x:v>1. Cambiar orden y página
2. Seleccionar filas y cambiar filtro
3. Ejecutar acción permitida sobre selección</x:v>
      </x:c>
      <x:c r="E339" s="13" t="str">
        <x:v>No actúa sobre documentos ocultos/ajenos por selección residual; cantidad y IDs claros.</x:v>
      </x:c>
      <x:c r="F339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40" ht="56" customHeight="1">
      <x:c r="A340" s="13" t="str">
        <x:v>QA-LIS-011</x:v>
      </x:c>
      <x:c r="B340" s="13" t="str">
        <x:v>Recarga después de acción fiscal</x:v>
      </x:c>
      <x:c r="C340" s="13" t="str">
        <x:v>Facturas de todos los estados, monedas, sucursales/canales; NC/ND y documentos comerciales.
Factura pendiente recuperable</x:v>
      </x:c>
      <x:c r="D340" s="13" t="str">
        <x:v>1. Consultar/enviar por doble
2. Esperar fiscal-updated
3. Leer detalle y tabla sin navegación completa</x:v>
      </x:c>
      <x:c r="E340" s="13" t="str">
        <x:v>Resultado vigente, popup/disponibilidad/estado actualizados; fallo de recarga no revierte una confirmación ya recibida.</x:v>
      </x:c>
      <x:c r="F340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41" ht="56" customHeight="1">
      <x:c r="A341" s="13" t="str">
        <x:v>QA-LIS-012</x:v>
      </x:c>
      <x:c r="B341" s="13" t="str">
        <x:v>Respuesta tardía en detalle</x:v>
      </x:c>
      <x:c r="C341" s="13" t="str">
        <x:v>Facturas de todos los estados, monedas, sucursales/canales; NC/ND y documentos comerciales.
A/B y request fiscal A retrasado</x:v>
      </x:c>
      <x:c r="D341" s="13" t="str">
        <x:v>1. Consultar A y cerrar/cambiar a B
2. Completar A
3. Leer ambos</x:v>
      </x:c>
      <x:c r="E341" s="13" t="str">
        <x:v>Resultado A no aparece en B; identidad de petición y ventana vigente respeta da.</x:v>
      </x:c>
      <x:c r="F341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42" ht="56" customHeight="1">
      <x:c r="A342" s="13" t="str">
        <x:v>QA-LIS-013</x:v>
      </x:c>
      <x:c r="B342" s="13" t="str">
        <x:v>Cache por tenant y actualización</x:v>
      </x:c>
      <x:c r="C342" s="13" t="str">
        <x:v>Facturas de todos los estados, monedas, sucursales/canales; NC/ND y documentos comerciales.
QA-A/QA-B con IDs iguales y cache activo</x:v>
      </x:c>
      <x:c r="D342" s="13" t="str">
        <x:v>1. Leer A/B
2. Modificar estado A por doble
3. Releer ambos</x:v>
      </x:c>
      <x:c r="E342" s="13" t="str">
        <x:v>Name spaces/versiones aislados; estado B intacto; cambios A visibles después del commit sin datos cruzados.</x:v>
      </x:c>
      <x:c r="F342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43" ht="56" customHeight="1">
      <x:c r="A343" s="13" t="str">
        <x:v>QA-LIS-014</x:v>
      </x:c>
      <x:c r="B343" s="13" t="str">
        <x:v>Campos personalizados</x:v>
      </x:c>
      <x:c r="C343" s="13" t="str">
        <x:v>Facturas de todos los estados, monedas, sucursales/canales; NC/ND y documentos comerciales.
Catálogo de texto/número/fecha/select/checkbox activo</x:v>
      </x:c>
      <x:c r="D343" s="13" t="str">
        <x:v>1. Editar cada tipo disponible
2. Guardar/recargar/exportar si soportado
3. Probar HTML e inválidos</x:v>
      </x:c>
      <x:c r="E343" s="13" t="str">
        <x:v>Valores del documento correcto, escape y validación; personalización no modifica totales ni estado fiscal.</x:v>
      </x:c>
      <x:c r="F343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44" ht="56" customHeight="1">
      <x:c r="A344" s="13" t="str">
        <x:v>QA-LIS-015</x:v>
      </x:c>
      <x:c r="B344" s="13" t="str">
        <x:v>Responsividad y teclado</x:v>
      </x:c>
      <x:c r="C344" s="13" t="str">
        <x:v>Facturas de todos los estados, monedas, sucursales/canales; NC/ND y documentos comerciales.
Resoluciones 360/768/1440 y zoom 200 %</x:v>
      </x:c>
      <x:c r="D344" s="13" t="str">
        <x:v>1. Abrir listado/formulario/detalle
2. Usar Tab/Enter/Escape en controles
3. Leer importes, errores y acciones</x:v>
      </x:c>
      <x:c r="E344" s="13" t="str">
        <x:v>Elementos esenciales accesibles sin superposición ni corte; cierre no dispara operación accidental.</x:v>
      </x:c>
      <x:c r="F344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45" ht="56" customHeight="1">
      <x:c r="A345" s="13" t="str">
        <x:v>QA-LIS-016</x:v>
      </x:c>
      <x:c r="B345" s="13" t="str">
        <x:v>Sin registros y fallo de red</x:v>
      </x:c>
      <x:c r="C345" s="13" t="str">
        <x:v>Facturas de todos los estados, monedas, sucursales/canales; NC/ND y documentos comerciales.
Filtro vacío y doble de records fallido</x:v>
      </x:c>
      <x:c r="D345" s="13" t="str">
        <x:v>1. Abrir sin resultados
2. Simular error de carga
3. Reintentar</x:v>
      </x:c>
      <x:c r="E345" s="13" t="str">
        <x:v>Estado vacío legible, error recuperable y sin datos de carga anterior presentados como actuales.</x:v>
      </x:c>
      <x:c r="F345" s="13" t="str">
        <x:v>Fuentes: resources/js/views/tenant/documents/index.vue; resources/js/views/tenant/documents/partials/detail-drawer.vue; resources/js/helpers/document-status.js; .codex/skills/mantener-operacion-local-fiscal-pro9/SKILL.md
Entrada: /documents; records/records Total/kpis; detalle y Opciones</x:v>
      </x:c>
    </x:row>
    <x:row r="346" ht="68" customHeight="1">
      <x:c r="A346" s="13" t="str">
        <x:v>QA-NVE-001</x:v>
      </x:c>
      <x:c r="B346" s="13" t="str">
        <x:v>Crear nota de venta 80 digital tenant</x:v>
      </x:c>
      <x:c r="C346" s="13" t="str">
        <x:v>NV 80 pagada/sin pagar; mismas y distintas identidades; stock de origen y destino documentado.
Caja/cliente/producto válidos</x:v>
      </x:c>
      <x:c r="D346" s="13" t="str">
        <x:v>1. Seleccionar Nota de venta
2. Guardar
3. Consultar PDF/stock/pagos/estado</x:v>
      </x:c>
      <x:c r="E346" s="13" t="str">
        <x:v>Documento comercial 80 independiente; tenant digital no convierte NV en factura HKA ni exige control fiscal de Factura.</x:v>
      </x:c>
      <x:c r="F346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47" ht="68" customHeight="1">
      <x:c r="A347" s="13" t="str">
        <x:v>QA-NVE-002</x:v>
      </x:c>
      <x:c r="B347" s="13" t="str">
        <x:v>Nota de venta contado y crédito</x:v>
      </x:c>
      <x:c r="C347" s="13" t="str">
        <x:v>NV 80 pagada/sin pagar; mismas y distintas identidades; stock de origen y destino documentado.
NV 80 total 116</x:v>
      </x:c>
      <x:c r="D347" s="13" t="str">
        <x:v>1. Crear contado pagado y crédito en fixtures separados
2. Registrar cobro posterior por su módulo
3. Consultar saldos</x:v>
      </x:c>
      <x:c r="E347" s="13" t="str">
        <x:v>Persistencia comercial propia, medios/moneda correctos; no se usa endpoint de cobro exclusivo Factura para NV.</x:v>
      </x:c>
      <x:c r="F347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48" ht="68" customHeight="1">
      <x:c r="A348" s="13" t="str">
        <x:v>QA-NVE-003</x:v>
      </x:c>
      <x:c r="B348" s="13" t="str">
        <x:v>Editar, duplicar y anular NV</x:v>
      </x:c>
      <x:c r="C348" s="13" t="str">
        <x:v>NV 80 pagada/sin pagar; mismas y distintas identidades; stock de origen y destino documentado.
NV vigente y permisos configurados</x:v>
      </x:c>
      <x:c r="D348" s="13" t="str">
        <x:v>1. Usar cada acción en subcaso independiente
2. Consultar relación/cobros/stock
3. Repetir acción</x:v>
      </x:c>
      <x:c r="E348" s="13" t="str">
        <x:v>Resultado comercial según política vigente, sin duplicar ingreso/stock ni transmitir NV como 01. Cada opción del menú se registra individualmente.</x:v>
      </x:c>
      <x:c r="F348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49" ht="68" customHeight="1">
      <x:c r="A349" s="13" t="str">
        <x:v>QA-NVE-004</x:v>
      </x:c>
      <x:c r="B349" s="13" t="str">
        <x:v>Convertir una NV a Factura</x:v>
      </x:c>
      <x:c r="C349" s="13" t="str">
        <x:v>NV 80 pagada/sin pagar; mismas y distintas identidades; stock de origen y destino documentado.
NV 80 con cliente activo y efecto de stock conocido</x:v>
      </x:c>
      <x:c r="D349" s="13" t="str">
        <x:v>1. Abrir Generar comprobante
2. Mantener cliente y elegir Factura 01
3. Generar y comparar vínculo/pagos/stock</x:v>
      </x:c>
      <x:c r="E349" s="13" t="str">
        <x:v>Factura correcta y NV vinculada sin cliente perdido; movimiento físico no se duplica por convertir un documento que ya descontó inventario.</x:v>
      </x:c>
      <x:c r="F349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50" ht="68" customHeight="1">
      <x:c r="A350" s="13" t="str">
        <x:v>QA-NVE-005</x:v>
      </x:c>
      <x:c r="B350" s="13" t="str">
        <x:v>Convertir varias NV mismo cliente</x:v>
      </x:c>
      <x:c r="C350" s="13" t="str">
        <x:v>NV 80 pagada/sin pagar; mismas y distintas identidades; stock de origen y destino documentado.
Dos NV compatibles moneda/sucursal</x:v>
      </x:c>
      <x:c r="D350" s="13" t="str">
        <x:v>1. Seleccionar ambas
2. Generar Factura
3. Leer líneas/referencias/stock/pagos</x:v>
      </x:c>
      <x:c r="E350" s="13" t="str">
        <x:v>Se consolidan importes y vínculos una vez; comprador original válido se conserva aunque buscador pagine.</x:v>
      </x:c>
      <x:c r="F350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51" ht="68" customHeight="1">
      <x:c r="A351" s="13" t="str">
        <x:v>QA-NVE-006</x:v>
      </x:c>
      <x:c r="B351" s="13" t="str">
        <x:v>Convertir NV incompatibles</x:v>
      </x:c>
      <x:c r="C351" s="13" t="str">
        <x:v>NV 80 pagada/sin pagar; mismas y distintas identidades; stock de origen y destino documentado.
NVde distintos clientes/monedas/sucursales</x:v>
      </x:c>
      <x:c r="D351" s="13" t="str">
        <x:v>1. Seleccionar combinaciones incompatibles
2. Generar por UI/HTTP
3. Leer referencias</x:v>
      </x:c>
      <x:c r="E351" s="13" t="str">
        <x:v>Rechazo coherente sin documento parcial ni mezclar aplicaciones/monedas. Si se admite combinación, exige contrato explícito y conciliación demostrada.</x:v>
      </x:c>
      <x:c r="F351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52" ht="68" customHeight="1">
      <x:c r="A352" s="13" t="str">
        <x:v>QA-NVE-007</x:v>
      </x:c>
      <x:c r="B352" s="13" t="str">
        <x:v>Cliente precargado paginado</x:v>
      </x:c>
      <x:c r="C352" s="13" t="str">
        <x:v>NV 80 pagada/sin pagar; mismas y distintas identidades; stock de origen y destino documentado.
NV con cliente fuera de primera página</x:v>
      </x:c>
      <x:c r="D352" s="13" t="str">
        <x:v>1. Abrir Generar
2. Esperar carga de clientes
3. Guardar Factura</x:v>
      </x:c>
      <x:c r="E352" s="13" t="str">
        <x:v>Cliente origen resuelto y seleccionado aunque no esté en primera página; no cambia a primer cliente de lista.</x:v>
      </x:c>
      <x:c r="F352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53" ht="68" customHeight="1">
      <x:c r="A353" s="13" t="str">
        <x:v>QA-NVE-008</x:v>
      </x:c>
      <x:c r="B353" s="13" t="str">
        <x:v>Conversión con identidad inactiva</x:v>
      </x:c>
      <x:c r="C353" s="13" t="str">
        <x:v>NV 80 pagada/sin pagar; mismas y distintas identidades; stock de origen y destino documentado.
NV válida cuando cliente estaba activo</x:v>
      </x:c>
      <x:c r="D353" s="13" t="str">
        <x:v>1. Desactivar tipo del fixture
2. Intentar Generar
3. Leer errores y stock</x:v>
      </x:c>
      <x:c r="E353" s="13" t="str">
        <x:v>Conversión bloqueada en servidor sin Factura; NV histórica intacta.</x:v>
      </x:c>
      <x:c r="F353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54" ht="68" customHeight="1">
      <x:c r="A354" s="13" t="str">
        <x:v>QA-NVE-009</x:v>
      </x:c>
      <x:c r="B354" s="13" t="str">
        <x:v>Conversión doble o concurrente</x:v>
      </x:c>
      <x:c r="C354" s="13" t="str">
        <x:v>NV 80 pagada/sin pagar; mismas y distintas identidades; stock de origen y destino documentado.
NV lista para facturar</x:v>
      </x:c>
      <x:c r="D354" s="13" t="str">
        <x:v>1. Generar dos veces/concurrentemente
2. Leer vínculos ydocs
3. Comparar stock/caja</x:v>
      </x:c>
      <x:c r="E354" s="13" t="str">
        <x:v>No factura origen dos veces sin autorización explícita de flujo; toda duplicación indebida reportada.</x:v>
      </x:c>
      <x:c r="F354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55" ht="68" customHeight="1">
      <x:c r="A355" s="13" t="str">
        <x:v>QA-NVE-010</x:v>
      </x:c>
      <x:c r="B355" s="13" t="str">
        <x:v>Cotización a Factura</x:v>
      </x:c>
      <x:c r="C355" s="13" t="str">
        <x:v>NV 80 pagada/sin pagar; mismas y distintas identidades; stock de origen y destino documentado.
Cotización vigente con productos/descuento</x:v>
      </x:c>
      <x:c r="D355" s="13" t="str">
        <x:v>1. Convertir a Factura 01
2. Guardar
3. Leer relación/importes/stock</x:v>
      </x:c>
      <x:c r="E355" s="13" t="str">
        <x:v>Cotización no descontaba stock físico; Factura lo hace una vez. Precio/descuento/cliente se conservan o se recalculan de manera explícita según contrato actual.</x:v>
      </x:c>
      <x:c r="F355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56" ht="68" customHeight="1">
      <x:c r="A356" s="13" t="str">
        <x:v>QA-NVE-011</x:v>
      </x:c>
      <x:c r="B356" s="13" t="str">
        <x:v>Pedido o Nota de pedido a venta</x:v>
      </x:c>
      <x:c r="C356" s="13" t="str">
        <x:v>NV 80 pagada/sin pagar; mismas y distintas identidades; stock de origen y destino documentado.
Pedido con estado facturable</x:v>
      </x:c>
      <x:c r="D356" s="13" t="str">
        <x:v>1. Generar Factura y NV en fixtures independientes
2. Repetir estado de generación
3. Comparar relación/pagos/stock</x:v>
      </x:c>
      <x:c r="E356" s="13" t="str">
        <x:v>Tipos 01/80 sólo según flujo; generación coherente con estado y pagos, sin duplicación de origen. Cada tipo tiene ejecución separada.</x:v>
      </x:c>
      <x:c r="F356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57" ht="68" customHeight="1">
      <x:c r="A357" s="13" t="str">
        <x:v>QA-NVE-012</x:v>
      </x:c>
      <x:c r="B357" s="13" t="str">
        <x:v>Orden de entrega a Factura sin doble inventario</x:v>
      </x:c>
      <x:c r="C357" s="13" t="str">
        <x:v>NV 80 pagada/sin pagar; mismas y distintas identidades; stock de origen y destino documentado.
Factura interna F1tipo01/0101 digital DEMO vigente confirmed/controlcoincidente, clienteC1/S1; G1dosUNDbase100/IVA16,total 232 VES; cobroreal 232. UUID nuevo, serie autorizada tipo/sucursal. Snapshot original y línea base disponibles. Orden 09 o derivación conmotivo/catálogos/direccionesautorizados; módulo /dispatches y ampliación esquema presentes.</x:v>
      </x:c>
      <x:c r="D357" s="13" t="str">
        <x:v>1. Identificarfixture/corrida y capturar originales de dinero, stock, referencia y UUID.
2. Abrir acción correspondiente a este caso; registrar petición con identidad/partidasoriginales, rol y sucursal autorizados.
3. Ejecutar creación/preparación/conversión o rechazo según el título, con los datos anteriores. Para varios motivos o valores generar variantes individuales; no agregar un único veredicto.
4. Comparar respuesta, guardado y estado fiscal con la expectativa; consultar misma operación si existe incertidumbre, sin duplicar envío.
5. Reabrir, cotejar snapshots/stock/saldo y conservar evidencia propia; separar emisión/distribución de efectos comerciales.</x:v>
      </x:c>
      <x:c r="E357" s="13" t="str">
        <x:v>Conserva cliente/sucursal/vínculos yreconocecantidadyatrasladada; sólo nueva cantidad mueve stock. Orden digital 09→HKA04 flag 1 con emisión propia; relación remota independiente espera ambos confirmed.
Cálculo independiente: Fbase 200+IVA32=232; NC07 por 1 UND=116 ystock+1; NC monetaria base 10+IVA1.60=11.60/stock0; ND base 10+IVA1.60=11.60/deudapropia; orden desde factura no repite 2 UND físicas. Negativoanteswrite tieneΔnota/stock/pagos/HTTP0.</x:v>
      </x:c>
      <x:c r="F357" s="13" t="str">
        <x:v>[resources/js/views/tenant/sale_notes](../../resources/js/views/tenant/sale_notes), [modules/Sale/Http/Controllers/GenerateDocumentController.php](../../modules/Sale/Http/Controllers/GenerateDocumentController.php), [tests/js/sale-note-invoice-submit.test.cjs](../../tests/js/sale-note-invoice-submit.test.cjs), [.codex/skills/mantener-facturas-notas-venta-sin-boleta/references/contrato.md](../../.codex/skills/mantener-facturas-notas-venta-sin-boleta/references/contrato.md)
Efectos posteriores: Conciliar efectos únicos; conservar payload/control/serie/número/snapshots; nocobros/egresosficticios.
Evidencia: UI/HTTPsaneado/lecturasantesdespués/cálculo y archivos/QRsiaplican; declarar Real DEMO o doble; nunca atribuir evidencia histórica al acorrida.</x:v>
      </x:c>
    </x:row>
    <x:row r="358" ht="68" customHeight="1">
      <x:c r="A358" s="13" t="str">
        <x:v>QA-NVE-013</x:v>
      </x:c>
      <x:c r="B358" s="13" t="str">
        <x:v>Factura a Orden de entrega digital</x:v>
      </x:c>
      <x:c r="C358" s="13" t="str">
        <x:v>NV 80 pagada/sin pagar; mismas y distintas identidades; stock de origen y destino documentado.
Factura interna F1tipo01/0101 digital DEMO vigente confirmed/controlcoincidente, clienteC1/S1; G1dosUNDbase100/IVA16,total 232 VES; cobroreal 232. UUID nuevo, serie autorizada tipo/sucursal. Snapshot original y línea base disponibles. Orden 09 o derivación conmotivo/catálogos/direccionesautorizados; módulo /dispatches y ampliación esquema presentes.</x:v>
      </x:c>
      <x:c r="D358" s="13" t="str">
        <x:v>1. Identificarfixture/corrida y capturar originales de dinero, stock, referencia y UUID.
2. Abrir acción correspondiente a este caso; registrar petición con identidad/partidasoriginales, rol y sucursal autorizados.
3. Ejecutar creación/preparación/conversión o rechazo según el título, con los datos anteriores. Para varios motivos o valores generar variantes individuales; no agregar un único veredicto.
4. Comparar respuesta, guardado y estado fiscal con la expectativa; consultar misma operación si existe incertidumbre, sin duplicar envío.
5. Reabrir, cotejar snapshots/stock/saldo y conservar evidencia propia; separar emisión/distribución de efectos comerciales.</x:v>
      </x:c>
      <x:c r="E358" s="13" t="str">
        <x:v>Orden 09 digital DEMO→HKA04 flag 1 después commit, congela autorizados, facturaGuia[]siF confirmed. No repetir inventario de la factura; originalA4 privado separado del PDF comercial.
Cálculo independiente: Fbase 200+IVA32=232; NC07 por 1 UND=116 ystock+1; NC monetaria base 10+IVA1.60=11.60/stock0; ND base 10+IVA1.60=11.60/deudapropia; orden desde factura no repite 2 UND físicas. Negativoanteswrite tieneΔnota/stock/pagos/HTTP0.</x:v>
      </x:c>
      <x:c r="F358" s="13" t="str">
        <x:v>[resources/js/views/tenant/sale_notes](../../resources/js/views/tenant/sale_notes), [modules/Sale/Http/Controllers/GenerateDocumentController.php](../../modules/Sale/Http/Controllers/GenerateDocumentController.php), [tests/js/sale-note-invoice-submit.test.cjs](../../tests/js/sale-note-invoice-submit.test.cjs), [.codex/skills/mantener-facturas-notas-venta-sin-boleta/references/contrato.md](../../.codex/skills/mantener-facturas-notas-venta-sin-boleta/references/contrato.md)
Efectos posteriores: Conciliar efectos únicos; conservar payload/control/serie/número/snapshots; nocobros/egresosficticios.
Evidencia: UI/HTTPsaneado/lecturasantesdespués/cálculo y archivos/QRsiaplican; declarar Real DEMO o doble; nunca atribuir evidencia histórica al acorrida.</x:v>
      </x:c>
    </x:row>
    <x:row r="359" ht="68" customHeight="1">
      <x:c r="A359" s="13" t="str">
        <x:v>QA-NVE-014</x:v>
      </x:c>
      <x:c r="B359" s="13" t="str">
        <x:v>Boleta y tipos ajenos en conversión</x:v>
      </x:c>
      <x:c r="C359" s="13" t="str">
        <x:v>NV 80 pagada/sin pagar; mismas y distintas identidades; stock de origen y destino documentado.
Orígenes de venta válidos</x:v>
      </x:c>
      <x:c r="D359" s="13" t="str">
        <x:v>1. Enviar 03/FE/80 en flujo exclusivo Factura
2. Probar tipos 09/20 en procesamiento fiscal común
3. Leer rechazo</x:v>
      </x:c>
      <x:c r="E359" s="13" t="str">
        <x:v>Conversión admite sólo Factura 01; fiscal común 01/07/08; tipos de otros módulos usan persistencia propia.</x:v>
      </x:c>
      <x:c r="F359" s="13" t="str">
        <x:v>Fuentes: resources/js/views/tenant/sale_notes; modules/Sale/Http/Controllers/GenerateDocumentController.php; tests/js/sale-note-invoice-submit.test.cjs; .codex/skills/mantener-facturas-notas-venta-sin-boleta/references/contrato.md
Entrada: /sale-not es; Generar comprobante; cotizaciones/pedidos/órdenes de entrega</x:v>
      </x:c>
    </x:row>
    <x:row r="360" ht="68" customHeight="1">
      <x:c r="A360" s="13" t="str">
        <x:v>QA-CAN-001</x:v>
      </x:c>
      <x:c r="B360" s="13" t="str">
        <x:v>Comprobantes web: venta Factura 01</x:v>
      </x:c>
      <x:c r="C360" s="13" t="str">
        <x:v>Módulos vigentes habilitados; facturas ordinarias 01/0101; NV 80/nv propia; caja, sucursal y mercancía QA. No envío WhatsApp real por matriz.
Módulo Comprobantes web habilitado y ruta identificada; cliente C 1; total 116; document_type_id 01.</x:v>
      </x:c>
      <x:c r="D360" s="13" t="str">
        <x:v>1. Abrir flujo real de Comprobantes web y preparar venta ordinaria
2. Elegir tipo 01, cliente, serie autorizada y pago 116
3. Finalizar por acción propia del canal y consultar venta/origen/stock/caja</x:v>
      </x:c>
      <x:c r="E360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60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61" ht="68" customHeight="1">
      <x:c r="A361" s="13" t="str">
        <x:v>QA-CAN-002</x:v>
      </x:c>
      <x:c r="B361" s="13" t="str">
        <x:v>Comprobantes web: venta Nota de venta 80</x:v>
      </x:c>
      <x:c r="C361" s="13" t="str">
        <x:v>Módulos vigentes habilitados; facturas ordinarias 01/0101; NV 80/nv propia; caja, sucursal y mercancía QA. No envío WhatsApp real por matriz.
Módulo Comprobantes web habilitado y ruta identificada; cliente C 1; total 116; document_type_id 80.</x:v>
      </x:c>
      <x:c r="D361" s="13" t="str">
        <x:v>1. Abrir flujo real de Comprobantes web y preparar venta ordinaria
2. Elegir tipo 80, cliente, serie autorizada y pago 116
3. Finalizar por acción propia del canal y consultar venta/origen/stock/caja</x:v>
      </x:c>
      <x:c r="E361" s="13" t="str">
        <x:v>Venta única 80,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61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62" ht="68" customHeight="1">
      <x:c r="A362" s="13" t="str">
        <x:v>QA-CAN-003</x:v>
      </x:c>
      <x:c r="B362" s="13" t="str">
        <x:v>POS: venta Factura 01</x:v>
      </x:c>
      <x:c r="C362" s="13" t="str">
        <x:v>Módulos vigentes habilitados; facturas ordinarias 01/0101; NV 80/nv propia; caja, sucursal y mercancía QA. No envío WhatsApp real por matriz.
Módulo POS habilitado y ruta identificada; cliente C 1; total 116; document_type_id 01.</x:v>
      </x:c>
      <x:c r="D362" s="13" t="str">
        <x:v>1. Abrir flujo real de POS y preparar venta ordinaria
2. Elegir tipo 01, cliente, serie autorizada y pago 116
3. Finalizar por acción propia del canal y consultar venta/origen/stock/caja</x:v>
      </x:c>
      <x:c r="E362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62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63" ht="68" customHeight="1">
      <x:c r="A363" s="13" t="str">
        <x:v>QA-CAN-004</x:v>
      </x:c>
      <x:c r="B363" s="13" t="str">
        <x:v>POS: venta Nota de venta 80</x:v>
      </x:c>
      <x:c r="C363" s="13" t="str">
        <x:v>Módulos vigentes habilitados; facturas ordinarias 01/0101; NV 80/nv propia; caja, sucursal y mercancía QA. No envío WhatsApp real por matriz.
Módulo POS habilitado y ruta identificada; cliente C 1; total 116; document_type_id 80.</x:v>
      </x:c>
      <x:c r="D363" s="13" t="str">
        <x:v>1. Abrir flujo real de POS y preparar venta ordinaria
2. Elegir tipo 80, cliente, serie autorizada y pago 116
3. Finalizar por acción propia del canal y consultar venta/origen/stock/caja</x:v>
      </x:c>
      <x:c r="E363" s="13" t="str">
        <x:v>Venta única 80,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63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64" ht="68" customHeight="1">
      <x:c r="A364" s="13" t="str">
        <x:v>QA-CAN-005</x:v>
      </x:c>
      <x:c r="B364" s="13" t="str">
        <x:v>Vende Ya / Garage: venta Factura 01</x:v>
      </x:c>
      <x:c r="C364" s="13" t="str">
        <x:v>Módulos vigentes habilitados; facturas ordinarias 01/0101; NV 80/nv propia; caja, sucursal y mercancía QA. No envío WhatsApp real por matriz.
Módulo Vende Ya / Garage habilitado y ruta identificada; cliente C 1; total 116; document_type_id 01.</x:v>
      </x:c>
      <x:c r="D364" s="13" t="str">
        <x:v>1. Abrir flujo real de Vende Ya / Garage y preparar venta ordinaria
2. Elegir tipo 01, cliente, serie autorizada y pago 116
3. Finalizar por acción propia del canal y consultar venta/origen/stock/caja</x:v>
      </x:c>
      <x:c r="E364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64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65" ht="68" customHeight="1">
      <x:c r="A365" s="13" t="str">
        <x:v>QA-CAN-006</x:v>
      </x:c>
      <x:c r="B365" s="13" t="str">
        <x:v>Vende Ya / Garage: venta Nota de venta 80</x:v>
      </x:c>
      <x:c r="C365" s="13" t="str">
        <x:v>Módulos vigentes habilitados; facturas ordinarias 01/0101; NV 80/nv propia; caja, sucursal y mercancía QA. No envío WhatsApp real por matriz.
Módulo Vende Ya / Garage habilitado y ruta identificada; cliente C 1; total 116; document_type_id 80.</x:v>
      </x:c>
      <x:c r="D365" s="13" t="str">
        <x:v>1. Abrir flujo real de Vende Ya / Garage y preparar venta ordinaria
2. Elegir tipo 80, cliente, serie autorizada y pago 116
3. Finalizar por acción propia del canal y consultar venta/origen/stock/caja</x:v>
      </x:c>
      <x:c r="E365" s="13" t="str">
        <x:v>Venta única 80,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65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66" ht="68" customHeight="1">
      <x:c r="A366" s="13" t="str">
        <x:v>QA-CAN-007</x:v>
      </x:c>
      <x:c r="B366" s="13" t="str">
        <x:v>Venta rápida: venta Factura 01</x:v>
      </x:c>
      <x:c r="C366" s="13" t="str">
        <x:v>Módulos vigentes habilitados; facturas ordinarias 01/0101; NV 80/nv propia; caja, sucursal y mercancía QA. No envío WhatsApp real por matriz.
Módulo Venta rápida habilitado y ruta identificada; cliente C 1; total 116; document_type_id 01.</x:v>
      </x:c>
      <x:c r="D366" s="13" t="str">
        <x:v>1. Abrir flujo real de Venta rápida y preparar venta ordinaria
2. Elegir tipo 01, cliente, serie autorizada y pago 116
3. Finalizar por acción propia del canal y consultar venta/origen/stock/caja</x:v>
      </x:c>
      <x:c r="E366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66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67" ht="68" customHeight="1">
      <x:c r="A367" s="13" t="str">
        <x:v>QA-CAN-008</x:v>
      </x:c>
      <x:c r="B367" s="13" t="str">
        <x:v>Venta rápida: venta Nota de venta 80</x:v>
      </x:c>
      <x:c r="C367" s="13" t="str">
        <x:v>Módulos vigentes habilitados; facturas ordinarias 01/0101; NV 80/nv propia; caja, sucursal y mercancía QA. No envío WhatsApp real por matriz.
Módulo Venta rápida habilitado y ruta identificada; cliente C 1; total 116; document_type_id 80.</x:v>
      </x:c>
      <x:c r="D367" s="13" t="str">
        <x:v>1. Abrir flujo real de Venta rápida y preparar venta ordinaria
2. Elegir tipo 80, cliente, serie autorizada y pago 116
3. Finalizar por acción propia del canal y consultar venta/origen/stock/caja</x:v>
      </x:c>
      <x:c r="E367" s="13" t="str">
        <x:v>Venta única 80,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67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68" ht="68" customHeight="1">
      <x:c r="A368" s="13" t="str">
        <x:v>QA-CAN-009</x:v>
      </x:c>
      <x:c r="B368" s="13" t="str">
        <x:v>API de venta: venta Factura 01</x:v>
      </x:c>
      <x:c r="C368" s="13" t="str">
        <x:v>Módulos vigentes habilitados; facturas ordinarias 01/0101; NV 80/nv propia; caja, sucursal y mercancía QA. No envío WhatsApp real por matriz.
Módulo API de venta habilitado y ruta identificada; cliente C 1; total 116; document_type_id 01.</x:v>
      </x:c>
      <x:c r="D368" s="13" t="str">
        <x:v>1. Abrir flujo real de API de venta y preparar venta ordinaria
2. Elegir tipo 01, cliente, serie autorizada y pago 116
3. Finalizar por acción propia del canal y consultar venta/origen/stock/caja</x:v>
      </x:c>
      <x:c r="E368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68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69" ht="68" customHeight="1">
      <x:c r="A369" s="13" t="str">
        <x:v>QA-CAN-010</x:v>
      </x:c>
      <x:c r="B369" s="13" t="str">
        <x:v>API de venta: venta Nota de venta 80</x:v>
      </x:c>
      <x:c r="C369" s="13" t="str">
        <x:v>Módulos vigentes habilitados; facturas ordinarias 01/0101; NV 80/nv propia; caja, sucursal y mercancía QA. No envío WhatsApp real por matriz.
Módulo API de venta habilitado y ruta identificada; cliente C 1; total 116; document_type_id 80.</x:v>
      </x:c>
      <x:c r="D369" s="13" t="str">
        <x:v>1. Abrir flujo real de API de venta y preparar venta ordinaria
2. Elegir tipo 80, cliente, serie autorizada y pago 116
3. Finalizar por acción propia del canal y consultar venta/origen/stock/caja</x:v>
      </x:c>
      <x:c r="E369" s="13" t="str">
        <x:v>Venta única 80,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69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70" ht="68" customHeight="1">
      <x:c r="A370" s="13" t="str">
        <x:v>QA-CAN-011</x:v>
      </x:c>
      <x:c r="B370" s="13" t="str">
        <x:v>Hotel: venta Factura 01</x:v>
      </x:c>
      <x:c r="C370" s="13" t="str">
        <x:v>Módulos vigentes habilitados; facturas ordinarias 01/0101; NV 80/nv propia; caja, sucursal y mercancía QA. No envío WhatsApp real por matriz.
Módulo Hotel habilitado y ruta identificada; cliente C 1; total 116; document_type_id 01.</x:v>
      </x:c>
      <x:c r="D370" s="13" t="str">
        <x:v>1. Abrir flujo real de Hotel y preparar venta ordinaria
2. Elegir tipo 01, cliente, serie autorizada y pago 116
3. Finalizar por acción propia del canal y consultar venta/origen/stock/caja</x:v>
      </x:c>
      <x:c r="E370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70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71" ht="68" customHeight="1">
      <x:c r="A371" s="13" t="str">
        <x:v>QA-CAN-012</x:v>
      </x:c>
      <x:c r="B371" s="13" t="str">
        <x:v>Hotel: venta Nota de venta 80</x:v>
      </x:c>
      <x:c r="C371" s="13" t="str">
        <x:v>Módulos vigentes habilitados; facturas ordinarias 01/0101; NV 80/nv propia; caja, sucursal y mercancía QA. No envío WhatsApp real por matriz.
Módulo Hotel habilitado y ruta identificada; cliente C 1; total 116; document_type_id 80.</x:v>
      </x:c>
      <x:c r="D371" s="13" t="str">
        <x:v>1. Abrir flujo real de Hotel y preparar venta ordinaria
2. Elegir tipo 80, cliente, serie autorizada y pago 116
3. Finalizar por acción propia del canal y consultar venta/origen/stock/caja</x:v>
      </x:c>
      <x:c r="E371" s="13" t="str">
        <x:v>Venta única 80,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71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72" ht="68" customHeight="1">
      <x:c r="A372" s="13" t="str">
        <x:v>QA-CAN-013</x:v>
      </x:c>
      <x:c r="B372" s="13" t="str">
        <x:v>Restaurante: venta Factura 01</x:v>
      </x:c>
      <x:c r="C372" s="13" t="str">
        <x:v>Módulos vigentes habilitados; facturas ordinarias 01/0101; NV 80/nv propia; caja, sucursal y mercancía QA. No envío WhatsApp real por matriz.
Módulo Restaurante habilitado y ruta identificada; cliente C 1; total 116; document_type_id 01.</x:v>
      </x:c>
      <x:c r="D372" s="13" t="str">
        <x:v>1. Abrir flujo real de Restaurante y preparar venta ordinaria
2. Elegir tipo 01, cliente, serie autorizada y pago 116
3. Finalizar por acción propia del canal y consultar venta/origen/stock/caja</x:v>
      </x:c>
      <x:c r="E372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72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73" ht="68" customHeight="1">
      <x:c r="A373" s="13" t="str">
        <x:v>QA-CAN-014</x:v>
      </x:c>
      <x:c r="B373" s="13" t="str">
        <x:v>Restaurante: venta Nota de venta 80</x:v>
      </x:c>
      <x:c r="C373" s="13" t="str">
        <x:v>Módulos vigentes habilitados; facturas ordinarias 01/0101; NV 80/nv propia; caja, sucursal y mercancía QA. No envío WhatsApp real por matriz.
Módulo Restaurante habilitado y ruta identificada; cliente C 1; total 116; document_type_id 80.</x:v>
      </x:c>
      <x:c r="D373" s="13" t="str">
        <x:v>1. Abrir flujo real de Restaurante y preparar venta ordinaria
2. Elegir tipo 80, cliente, serie autorizada y pago 116
3. Finalizar por acción propia del canal y consultar venta/origen/stock/caja</x:v>
      </x:c>
      <x:c r="E373" s="13" t="str">
        <x:v>Venta única 80,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73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74" ht="68" customHeight="1">
      <x:c r="A374" s="13" t="str">
        <x:v>QA-CAN-015</x:v>
      </x:c>
      <x:c r="B374" s="13" t="str">
        <x:v>Ecommerce: venta Factura 01</x:v>
      </x:c>
      <x:c r="C374" s="13" t="str">
        <x:v>Módulos vigentes habilitados; facturas ordinarias 01/0101; NV 80/nv propia; caja, sucursal y mercancía QA. No envío WhatsApp real por matriz.
Módulo Ecommerce habilitado y ruta identificada; cliente C 1; total 116; document_type_id 01.</x:v>
      </x:c>
      <x:c r="D374" s="13" t="str">
        <x:v>1. Abrir flujo real de Ecommerce y preparar venta ordinaria
2. Elegir tipo 01, cliente, serie autorizada y pago 116
3. Finalizar por acción propia del canal y consultar venta/origen/stock/caja</x:v>
      </x:c>
      <x:c r="E374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74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75" ht="68" customHeight="1">
      <x:c r="A375" s="13" t="str">
        <x:v>QA-CAN-016</x:v>
      </x:c>
      <x:c r="B375" s="13" t="str">
        <x:v>Ecommerce: venta Nota de venta 80</x:v>
      </x:c>
      <x:c r="C375" s="13" t="str">
        <x:v>Módulos vigentes habilitados; facturas ordinarias 01/0101; NV 80/nv propia; caja, sucursal y mercancía QA. No envío WhatsApp real por matriz.
Módulo Ecommerce habilitado y ruta identificada; cliente C 1; total 116; document_type_id 80.</x:v>
      </x:c>
      <x:c r="D375" s="13" t="str">
        <x:v>1. Abrir flujo real de Ecommerce y preparar venta ordinaria
2. Elegir tipo 80, cliente, serie autorizada y pago 116
3. Finalizar por acción propia del canal y consultar venta/origen/stock/caja</x:v>
      </x:c>
      <x:c r="E375" s="13" t="str">
        <x:v>Venta única 80,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75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76" ht="68" customHeight="1">
      <x:c r="A376" s="13" t="str">
        <x:v>QA-CAN-017</x:v>
      </x:c>
      <x:c r="B376" s="13" t="str">
        <x:v>Mi Tienda / Store: venta Factura 01</x:v>
      </x:c>
      <x:c r="C376" s="13" t="str">
        <x:v>Módulos vigentes habilitados; facturas ordinarias 01/0101; NV 80/nv propia; caja, sucursal y mercancía QA. No envío WhatsApp real por matriz.
Módulo Mi Tienda / Store habilitado y ruta identificada; cliente C 1; total 116; document_type_id 01.</x:v>
      </x:c>
      <x:c r="D376" s="13" t="str">
        <x:v>1. Abrir flujo real de Mi Tienda / Store y preparar venta ordinaria
2. Elegir tipo 01, cliente, serie autorizada y pago 116
3. Finalizar por acción propia del canal y consultar venta/origen/stock/caja</x:v>
      </x:c>
      <x:c r="E376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76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77" ht="68" customHeight="1">
      <x:c r="A377" s="13" t="str">
        <x:v>QA-CAN-018</x:v>
      </x:c>
      <x:c r="B377" s="13" t="str">
        <x:v>Mi Tienda / Store: venta Nota de venta 80</x:v>
      </x:c>
      <x:c r="C377" s="13" t="str">
        <x:v>Módulos vigentes habilitados; facturas ordinarias 01/0101; NV 80/nv propia; caja, sucursal y mercancía QA. No envío WhatsApp real por matriz.
Módulo Mi Tienda / Store habilitado y ruta identificada; cliente C 1; total 116; document_type_id 80.</x:v>
      </x:c>
      <x:c r="D377" s="13" t="str">
        <x:v>1. Abrir flujo real de Mi Tienda / Store y preparar venta ordinaria
2. Elegir tipo 80, cliente, serie autorizada y pago 116
3. Finalizar por acción propia del canal y consultar venta/origen/stock/caja</x:v>
      </x:c>
      <x:c r="E377" s="13" t="str">
        <x:v>Venta única 80,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77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78" ht="68" customHeight="1">
      <x:c r="A378" s="13" t="str">
        <x:v>QA-CAN-019</x:v>
      </x:c>
      <x:c r="B378" s="13" t="str">
        <x:v>Pedidos: venta Factura 01</x:v>
      </x:c>
      <x:c r="C378" s="13" t="str">
        <x:v>Módulos vigentes habilitados; facturas ordinarias 01/0101; NV 80/nv propia; caja, sucursal y mercancía QA. No envío WhatsApp real por matriz.
Módulo Pedidos habilitado y ruta identificada; cliente C 1; total 116; document_type_id 01.</x:v>
      </x:c>
      <x:c r="D378" s="13" t="str">
        <x:v>1. Abrir flujo real de Pedidos y preparar venta ordinaria
2. Elegir tipo 01, cliente, serie autorizada y pago 116
3. Finalizar por acción propia del canal y consultar venta/origen/stock/caja</x:v>
      </x:c>
      <x:c r="E378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78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79" ht="68" customHeight="1">
      <x:c r="A379" s="13" t="str">
        <x:v>QA-CAN-020</x:v>
      </x:c>
      <x:c r="B379" s="13" t="str">
        <x:v>Pedidos: venta Nota de venta 80</x:v>
      </x:c>
      <x:c r="C379" s="13" t="str">
        <x:v>Módulos vigentes habilitados; facturas ordinarias 01/0101; NV 80/nv propia; caja, sucursal y mercancía QA. No envío WhatsApp real por matriz.
Módulo Pedidos habilitado y ruta identificada; cliente C 1; total 116; document_type_id 80.</x:v>
      </x:c>
      <x:c r="D379" s="13" t="str">
        <x:v>1. Abrir flujo real de Pedidos y preparar venta ordinaria
2. Elegir tipo 80, cliente, serie autorizada y pago 116
3. Finalizar por acción propia del canal y consultar venta/origen/stock/caja</x:v>
      </x:c>
      <x:c r="E379" s="13" t="str">
        <x:v>Venta única 80,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79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80" ht="68" customHeight="1">
      <x:c r="A380" s="13" t="str">
        <x:v>QA-CAN-021</x:v>
      </x:c>
      <x:c r="B380" s="13" t="str">
        <x:v>Servicio técnico: venta Factura 01</x:v>
      </x:c>
      <x:c r="C380" s="13" t="str">
        <x:v>Módulos vigentes habilitados; facturas ordinarias 01/0101; NV 80/nv propia; caja, sucursal y mercancía QA. No envío WhatsApp real por matriz.
Módulo Servicio técnico habilitado y ruta identificada; cliente C 1; total 116; document_type_id 01.</x:v>
      </x:c>
      <x:c r="D380" s="13" t="str">
        <x:v>1. Abrir flujo real de Servicio técnico y preparar venta ordinaria
2. Elegir tipo 01, cliente, serie autorizada y pago 116
3. Finalizar por acción propia del canal y consultar venta/origen/stock/caja</x:v>
      </x:c>
      <x:c r="E380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80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81" ht="68" customHeight="1">
      <x:c r="A381" s="13" t="str">
        <x:v>QA-CAN-022</x:v>
      </x:c>
      <x:c r="B381" s="13" t="str">
        <x:v>Servicio técnico: venta Nota de venta nv</x:v>
      </x:c>
      <x:c r="C381" s="13" t="str">
        <x:v>Módulos vigentes habilitados; facturas ordinarias 01/0101; NV 80/nv propia; caja, sucursal y mercancía QA. No envío WhatsApp real por matriz.
Módulo Servicio técnico habilitado y ruta identificada; cliente C 1; total 116; document_type_idnv.</x:v>
      </x:c>
      <x:c r="D381" s="13" t="str">
        <x:v>1. Abrir flujo real de Servicio técnico y preparar venta ordinaria
2. Elegir tipo nv, cliente, serie autorizada y pago 116
3. Finalizar por acción propia del canal y consultar venta/origen/stock/caja</x:v>
      </x:c>
      <x:c r="E381" s="13" t="str">
        <x:v>Venta única nv,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81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82" ht="68" customHeight="1">
      <x:c r="A382" s="13" t="str">
        <x:v>QA-CAN-023</x:v>
      </x:c>
      <x:c r="B382" s="13" t="str">
        <x:v>WhatsApp Bot: venta Factura 01</x:v>
      </x:c>
      <x:c r="C382" s="13" t="str">
        <x:v>Módulos vigentes habilitados; facturas ordinarias 01/0101; NV 80/nv propia; caja, sucursal y mercancía QA. No envío WhatsApp real por matriz.
Módulo WhatsApp Bot habilitado y ruta identificada; cliente C 1; total 116; document_type_id 01.</x:v>
      </x:c>
      <x:c r="D382" s="13" t="str">
        <x:v>1. Abrir flujo real de WhatsApp Bot y preparar venta ordinaria
2. Elegir tipo 01, cliente, serie autorizada y pago 116
3. Finalizar por acción propia del canal y consultar venta/origen/stock/caja</x:v>
      </x:c>
      <x:c r="E382" s="13" t="str">
        <x:v>Venta única 01, identidad vigente, moneda/IVA/sucursal/serie correctos y efectos reconciliados. Si usa guardado común, factura digital DEMO produce resultado fiscal separado después del commit; registrar si hay otro escritor y el límite encontrado. Si no existe selector/tipo en este canal concreto, sustentar capacidad del código y registrar discrepancia o exclusión; no inventar UI.</x:v>
      </x:c>
      <x:c r="F382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83" ht="68" customHeight="1">
      <x:c r="A383" s="13" t="str">
        <x:v>QA-CAN-024</x:v>
      </x:c>
      <x:c r="B383" s="13" t="str">
        <x:v>WhatsApp Bot: venta Nota de venta 80</x:v>
      </x:c>
      <x:c r="C383" s="13" t="str">
        <x:v>Módulos vigentes habilitados; facturas ordinarias 01/0101; NV 80/nv propia; caja, sucursal y mercancía QA. No envío WhatsApp real por matriz.
Módulo WhatsApp Bot habilitado y ruta identificada; cliente C 1; total 116; document_type_id 80.</x:v>
      </x:c>
      <x:c r="D383" s="13" t="str">
        <x:v>1. Abrir flujo real de WhatsApp Bot y preparar venta ordinaria
2. Elegir tipo 80, cliente, serie autorizada y pago 116
3. Finalizar por acción propia del canal y consultar venta/origen/stock/caja</x:v>
      </x:c>
      <x:c r="E383" s="13" t="str">
        <x:v>Venta única 80, identidad vigente, moneda/IVA/sucursal/serie correctos y efectos reconciliados. Documento comercial no se transmite como Factura HKA; persistencia/pagos/estado propios. Si no existe selector/tipo en este canal concreto, sustentar capacidad del código y registrar discrepancia o exclusión; no inventar UI.</x:v>
      </x:c>
      <x:c r="F383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84" ht="68" customHeight="1">
      <x:c r="A384" s="13" t="str">
        <x:v>QA-CAN-025</x:v>
      </x:c>
      <x:c r="B384" s="13" t="str">
        <x:v>POS cambio de moneda</x:v>
      </x:c>
      <x:c r="C384" s="13" t="str">
        <x:v>Módulos vigentes habilitados; facturas ordinarias 01/0101; NV 80/nv propia; caja, sucursal y mercancía QA. No envío WhatsApp real por matriz.
POS con P-G y VES/USD activos</x:v>
      </x:c>
      <x:c r="D384" s="13" t="str">
        <x:v>1. Alternar moneda varias veces
2. Cobrar en moneda elegida
3. Leer tasa/símbolo/payload/caja</x:v>
      </x:c>
      <x:c r="E384" s="13" t="str">
        <x:v>Sólo VES/USD; monto correcto sin conversiones acumuladas; cada entrada monetaria conserva su moneda.</x:v>
      </x:c>
      <x:c r="F384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85" ht="68" customHeight="1">
      <x:c r="A385" s="13" t="str">
        <x:v>QA-CAN-026</x:v>
      </x:c>
      <x:c r="B385" s="13" t="str">
        <x:v>POS efectivo sin denominaciones</x:v>
      </x:c>
      <x:c r="C385" s="13" t="str">
        <x:v>Módulos vigentes habilitados; facturas ordinarias 01/0101; NV 80/nv propia; caja, sucursal y mercancía QA. No envío WhatsApp real por matriz.
POS pago efectivo</x:v>
      </x:c>
      <x:c r="D385" s="13" t="str">
        <x:v>1. Abrir pantalla pago
2. Buscar accesos rápidos billetes
3. Ingresar manualmente entrega/vuelto</x:v>
      </x:c>
      <x:c r="E385" s="13" t="str">
        <x:v>Denominaciones ocultas según contrato; entrada manual/cálculo vuelto/otros medios activos.</x:v>
      </x:c>
      <x:c r="F385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86" ht="68" customHeight="1">
      <x:c r="A386" s="13" t="str">
        <x:v>QA-CAN-027</x:v>
      </x:c>
      <x:c r="B386" s="13" t="str">
        <x:v>POS descuento con permiso</x:v>
      </x:c>
      <x:c r="C386" s="13" t="str">
        <x:v>Módulos vigentes habilitados; facturas ordinarias 01/0101; NV 80/nv propia; caja, sucursal y mercancía QA. No envío WhatsApp real por matriz.
Administrador/vendedor restringido</x:v>
      </x:c>
      <x:c r="D386" s="13" t="str">
        <x:v>1. Aplicar descuento con usuario permitido
2. Repetir con usuario restringido
3. Intentar request directo</x:v>
      </x:c>
      <x:c r="E386" s="13" t="str">
        <x:v>Permiso efectivo incluso backend;descuento negativo/excesivo no elude IVA/total.</x:v>
      </x:c>
      <x:c r="F386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87" ht="68" customHeight="1">
      <x:c r="A387" s="13" t="str">
        <x:v>QA-CAN-028</x:v>
      </x:c>
      <x:c r="B387" s="13" t="str">
        <x:v>Garage conserva serie seleccionada</x:v>
      </x:c>
      <x:c r="C387" s="13" t="str">
        <x:v>Módulos vigentes habilitados; facturas ordinarias 01/0101; NV 80/nv propia; caja, sucursal y mercancía QA. No envío WhatsApp real por matriz.
Dos series autorizadas yuna seleccionada</x:v>
      </x:c>
      <x:c r="D387" s="13" t="str">
        <x:v>1. Cambiar cliente
2. Recargar opciones de pago/tipo documental
3. Guardar</x:v>
      </x:c>
      <x:c r="E387" s="13" t="str">
        <x:v>series_id válido sigue igual; sólo selecciona primera serie si la anterior dejó de estar autorizada; no forzar FF 01.</x:v>
      </x:c>
      <x:c r="F387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88" ht="68" customHeight="1">
      <x:c r="A388" s="13" t="str">
        <x:v>QA-CAN-029</x:v>
      </x:c>
      <x:c r="B388" s="13" t="str">
        <x:v>POS sus pe nd id o y recuperado</x:v>
      </x:c>
      <x:c r="C388" s="13" t="str">
        <x:v>Módulos vigentes habilitados; facturas ordinarias 01/0101; NV 80/nv propia; caja, sucursal y mercancía QA. No envío WhatsApp real por matriz.
Opción de suspender/recuperar visible</x:v>
      </x:c>
      <x:c r="D388" s="13" t="str">
        <x:v>1. Suspender venta con líneas
2. Recuperar con mismo usuario
3. Finalizar una vez</x:v>
      </x:c>
      <x:c r="E388" s="13" t="str">
        <x:v>Borrador recuperado sin otra venta/cobro previo; no se consume serie al suspender.</x:v>
      </x:c>
      <x:c r="F388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89" ht="68" customHeight="1">
      <x:c r="A389" s="13" t="str">
        <x:v>QA-CAN-030</x:v>
      </x:c>
      <x:c r="B389" s="13" t="str">
        <x:v>Hotel factura y NV presentación</x:v>
      </x:c>
      <x:c r="C389" s="13" t="str">
        <x:v>Módulos vigentes habilitados; facturas ordinarias 01/0101; NV 80/nv propia; caja, sucursal y mercancía QA. No envío WhatsApp real por matriz.
Consumo habitación con productos/servicios</x:v>
      </x:c>
      <x:c r="D389" s="13" t="str">
        <x:v>1. Liquidar en Factura y NV en fixtures distintos
2. Leer resumen/PDF
3. Comparar total/fiscal</x:v>
      </x:c>
      <x:c r="E389" s="13" t="str">
        <x:v>Factura sigue IVA normal; resumen NVde Hotel muestra Subtotal/Total sin IVA separado, conservando cálculos/datos. Modal Producto Hotel no ofrece sección eespecial retirada.</x:v>
      </x:c>
      <x:c r="F389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90" ht="68" customHeight="1">
      <x:c r="A390" s="13" t="str">
        <x:v>QA-CAN-031</x:v>
      </x:c>
      <x:c r="B390" s="13" t="str">
        <x:v>Restaurante consumos y propina</x:v>
      </x:c>
      <x:c r="C390" s="13" t="str">
        <x:v>Módulos vigentes habilitados; facturas ordinarias 01/0101; NV 80/nv propia; caja, sucursal y mercancía QA. No envío WhatsApp real por matriz.
Mesa/pedido con consumos y servicio configurado</x:v>
      </x:c>
      <x:c r="D390" s="13" t="str">
        <x:v>1. Cerrar en Factura
2. Cerrar otro en NV
3. Separar propina/recargo del precio autorizado</x:v>
      </x:c>
      <x:c r="E390" s="13" t="str">
        <x:v>Comprobante vinculado y total correcto; cierre no duplica consumo/inventario/caja. Probar división/unión de mesas sólo si están disponibles.</x:v>
      </x:c>
      <x:c r="F390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91" ht="68" customHeight="1">
      <x:c r="A391" s="13" t="str">
        <x:v>QA-CAN-032</x:v>
      </x:c>
      <x:c r="B391" s="13" t="str">
        <x:v>Ecommerce precio manipulado</x:v>
      </x:c>
      <x:c r="C391" s="13" t="str">
        <x:v>Módulos vigentes habilitados; facturas ordinarias 01/0101; NV 80/nv propia; caja, sucursal y mercancía QA. No envío WhatsApp real por matriz.
Pedido QAy pasarela en doble/sandbox</x:v>
      </x:c>
      <x:c r="D391" s="13" t="str">
        <x:v>1. Alterar precio/total/descuento/envío en request
2. Finalizar pedido
3. Comparar cálculo servidor/documento</x:v>
      </x:c>
      <x:c r="E391" s="13" t="str">
        <x:v>Servidor valida líneas y recalcula total autorizado; request cliente no decide monto del cobro ni Factura.</x:v>
      </x:c>
      <x:c r="F391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92" ht="68" customHeight="1">
      <x:c r="A392" s="13" t="str">
        <x:v>QA-CAN-033</x:v>
      </x:c>
      <x:c r="B392" s="13" t="str">
        <x:v>Ecommerce pago atribuido e idempotente</x:v>
      </x:c>
      <x:c r="C392" s="13" t="str">
        <x:v>Módulos vigentes habilitados; facturas ordinarias 01/0101; NV 80/nv propia; caja, sucursal y mercancía QA. No envío WhatsApp real por matriz.
Evento de pago sandbox</x:v>
      </x:c>
      <x:c r="D392" s="13" t="str">
        <x:v>1. Enviar evento con otra orden/importe/moneda
2. Enviar legítimo dos veces
3. Leer pedido/pago/factura</x:v>
      </x:c>
      <x:c r="E392" s="13" t="str">
        <x:v>Se vincula transacción al pedido/comercio/importe/moneda correctos una vez; PAID no basta y external_id del cliente no sustituye orden confirmada.</x:v>
      </x:c>
      <x:c r="F392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93" ht="68" customHeight="1">
      <x:c r="A393" s="13" t="str">
        <x:v>QA-CAN-034</x:v>
      </x:c>
      <x:c r="B393" s="13" t="str">
        <x:v>Mi Tienda sin serie de Boleta</x:v>
      </x:c>
      <x:c r="C393" s="13" t="str">
        <x:v>Módulos vigentes habilitados; facturas ordinarias 01/0101; NV 80/nv propia; caja, sucursal y mercancía QA. No envío WhatsApp real por matriz.
Configuración Mi Tienda y serie Factura</x:v>
      </x:c>
      <x:c r="D393" s="13" t="str">
        <x:v>1. Abrir configuración eimportación
2. Procesar factura QA válida
3. Revisar dependencias/campos retirados</x:v>
      </x:c>
      <x:c r="E393" s="13" t="str">
        <x:v>Procesar sólo exige sucursal/serie Factura; no exige series_document_bt_idni Boleta; importación describe Factura.</x:v>
      </x:c>
      <x:c r="F393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94" ht="68" customHeight="1">
      <x:c r="A394" s="13" t="str">
        <x:v>QA-CAN-035</x:v>
      </x:c>
      <x:c r="B394" s="13" t="str">
        <x:v>Servicio técnico alias nv</x:v>
      </x:c>
      <x:c r="C394" s="13" t="str">
        <x:v>Módulos vigentes habilitados; facturas ordinarias 01/0101; NV 80/nv propia; caja, sucursal y mercancía QA. No envío WhatsApp real por matriz.
Orden de servicio con piezas y mano deobra</x:v>
      </x:c>
      <x:c r="D394" s="13" t="str">
        <x:v>1. Generar Factura 01 y NVnv en fixtures
2. Consultar orden/PDF/pagos
3. Verificar stock de piezas</x:v>
      </x:c>
      <x:c r="E394" s="13" t="str">
        <x:v>Alias nv conservado donde se usa; mano de obra no mueve bienes; no se usa 03 por número identidad.</x:v>
      </x:c>
      <x:c r="F394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95" ht="68" customHeight="1">
      <x:c r="A395" s="13" t="str">
        <x:v>QA-CAN-036</x:v>
      </x:c>
      <x:c r="B395" s="13" t="str">
        <x:v>Bot sin mensajes reales</x:v>
      </x:c>
      <x:c r="C395" s="13" t="str">
        <x:v>Módulos vigentes habilitados; facturas ordinarias 01/0101; NV 80/nv propia; caja, sucursal y mercancía QA. No envío WhatsApp real por matriz.
Doble de tool CreateDocument y canal habilitado QA</x:v>
      </x:c>
      <x:c r="D395" s="13" t="str">
        <x:v>1. Crear venta 01/80 por eventos controlados
2. Repetir evento
3. Consultar local_state</x:v>
      </x:c>
      <x:c r="E395" s="13" t="str">
        <x:v>Herramienta valida tipo/cliente/precios, respuesta describe operación local; no se envían mensajes reales ni promete aceptación SUNAT.</x:v>
      </x:c>
      <x:c r="F395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96" ht="68" customHeight="1">
      <x:c r="A396" s="13" t="str">
        <x:v>QA-CAN-037</x:v>
      </x:c>
      <x:c r="B396" s="13" t="str">
        <x:v>API/móvil DTO de documento</x:v>
      </x:c>
      <x:c r="C396" s="13" t="str">
        <x:v>Módulos vigentes habilitados; facturas ordinarias 01/0101; NV 80/nv propia; caja, sucursal y mercancía QA. No envío WhatsApp real por matriz.
Token autorizado y Factura</x:v>
      </x:c>
      <x:c r="D396" s="13" t="str">
        <x:v>1. Consultar create/find/lists/record de la ruta real
2. Leer fiscal_emission / email_delivery / pdf_downloads
3. Descargar ticket autenticado</x:v>
      </x:c>
      <x:c r="E396" s="13" t="str">
        <x:v>DTO saneados y disponibilidad coherente; el proveedor local ticket no permite ruta insegura; contratos Mobile App no se suponen equivalentes aotrasrutas sin comprobarlos.</x:v>
      </x:c>
      <x:c r="F396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97" ht="68" customHeight="1">
      <x:c r="A397" s="13" t="str">
        <x:v>QA-CAN-038</x:v>
      </x:c>
      <x:c r="B397" s="13" t="str">
        <x:v>Offline y sincronización</x:v>
      </x:c>
      <x:c r="C397" s="13" t="str">
        <x:v>Módulos vigentes habilitados; facturas ordinarias 01/0101; NV 80/nv propia; caja, sucursal y mercancía QA. No envío WhatsApp real por matriz.
Módulo Offline vigente y dobles de red</x:v>
      </x:c>
      <x:c r="D397" s="13" t="str">
        <x:v>1. Preparar venta ordinaria sin red según capacidad actual
2. Sincronizar y reintentar
3. Conciliar documentos/stock/pagos</x:v>
      </x:c>
      <x:c r="E397" s="13" t="str">
        <x:v>No se afirma emisión HKA sin red. Sincronización respeta tipos vigentes y no duplica venta; documentar límite si hay escritor local fuera del guardado común.</x:v>
      </x:c>
      <x:c r="F397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398" ht="68" customHeight="1">
      <x:c r="A398" s="13" t="str">
        <x:v>QA-CAN-039</x:v>
      </x:c>
      <x:c r="B398" s="13" t="str">
        <x:v>Suscripciones y ventas periódicas</x:v>
      </x:c>
      <x:c r="C398" s="13" t="str">
        <x:v>Módulos vigentes habilitados; facturas ordinarias 01/0101; NV 80/nv propia; caja, sucursal y mercancía QA. No envío WhatsApp real por matriz.
Módulos Suscription / FullSuscription activos</x:v>
      </x:c>
      <x:c r="D398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Generar venta Factura/NV según tipos reales.
4. Repetir ciclo por fixture.
5. Leer vínculos/pagos.
6. Recargar/reabrir o consultar desde una segunda lectura autorizada; contrastar resultado inmediato y persistido con los criterios siguientes. No repetir creación/envío con resultado desconocido sin conciliar primero.</x:v>
      </x:c>
      <x:c r="E398" s="13" t="str">
        <x:v>Período/origen y tipo vigente correctos; no duplicar recepción ni usar tipos retirados. Cada modalidad de suscripción observable exige QA-EXT propio.</x:v>
      </x:c>
      <x:c r="F398" s="13" t="str">
        <x:v>[routes/web.php](../../routes/web.php), [routes/api.php](../../routes/api.php), [modules/Hotel/Routes/web.php](../../modules/Hotel/Routes/web.php), [modules/Restaurant/Routes](../../modules/Restaurant/Routes), [modules/Ecommerce/Routes](../../modules/Ecommerce/Routes), [modules/Store/Routes](../../modules/Store/Routes), [modules/WhatsAppBot/Services/Tools/CreateDocumentTool.php](../../modules/WhatsAppBot/Services/Tools/CreateDocumentTool.php), [.codex/skills/mantener-facturas-notas-venta-sin-boleta/references/contrato.md](../../.codex/skills/mantener-facturas-notas-venta-sin-boleta/references/contrato.md)
Efectos posteriores: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
Contrato actualizado: La incorporación de notas/órdenes no amplía canales públicos por analogía: probar escritor real y capacidad existente. No ofrecer rutas web como nueva API pública ni notas de entrega indicador0.</x:v>
      </x:c>
    </x:row>
    <x:row r="399" ht="68" customHeight="1">
      <x:c r="A399" s="13" t="str">
        <x:v>QA-CAN-040</x:v>
      </x:c>
      <x:c r="B399" s="13" t="str">
        <x:v>Consignación y anticipos de otros módulos</x:v>
      </x:c>
      <x:c r="C399" s="13" t="str">
        <x:v>Módulos vigentes habilitados; facturas ordinarias 01/0101; NV 80/nv propia; caja, sucursal y mercancía QA. No envío WhatsApp real por matriz.
Módulo Consigned /anticipo vigente</x:v>
      </x:c>
      <x:c r="D399" s="13" t="str">
        <x:v>1. Facturar origen autorizado
2. Consultar consignado/vínculo y movimientos
3. Repetir generación</x:v>
      </x:c>
      <x:c r="E399" s="13" t="str">
        <x:v>Movimiento por conversión conciliado y cliente/serie autorizados; no emitir factura física por duplicado ni usar origin o de otro tenant.</x:v>
      </x:c>
      <x:c r="F399" s="13" t="str">
        <x:v>Fuentes: routes/web.php; routes/api.php; modules/Hotel/Routes/web.php; modules/Restaurant/Routes; modules/Ecommerce/Routes; modules/Store/Routes; modules/WhatsAppBot/Services/Tools/CreateDocumentTool.php; .codex/skills/mantener-facturas-notas-venta-sin-boleta/references/contrato.md
Entrada: Ruta real de cada módulo inventariada en QA; /pos y/pos/garage; API</x:v>
      </x:c>
    </x:row>
    <x:row r="400" ht="44" customHeight="1">
      <x:c r="A400" s="13" t="str">
        <x:v>QA-API-001</x:v>
      </x:c>
      <x:c r="B400" s="13" t="str">
        <x:v>Creación externa de Factura</x:v>
      </x:c>
      <x:c r="C400" s="13" t="str">
        <x:v>Token admin/vendedor/inválido; payload externo del transform actual; fixtures 01/07/08; adaptador HKA doble.
Payload según transform actual</x:v>
      </x:c>
      <x:c r="D400" s="13" t="str">
        <x:v>1. Enviar venta 01/0101 VES contado
2. Consultar por ruta find/lists real
3. Comparar respuesta y persistencia</x:v>
      </x:c>
      <x:c r="E400" s="13" t="str">
        <x:v>Contrato externo traducido sin mezclar clave web/API; venta única, resultado fiscal/descargas saneados.</x:v>
      </x:c>
      <x:c r="F400" s="13" t="str">
        <x:v>Fuentes: routes/api.php; app/Http/Controllers/Tenant/Api/DocumentController.php; app/CoreFacturalo/Requests/Api/Transform/DocumentTransform.php
Entrada: POST /api/documents y contratos actuales de consulta/cobro</x:v>
      </x:c>
    </x:row>
    <x:row r="401" ht="44" customHeight="1">
      <x:c r="A401" s="13" t="str">
        <x:v>QA-API-002</x:v>
      </x:c>
      <x:c r="B401" s="13" t="str">
        <x:v>Creación NC/ND por API</x:v>
      </x:c>
      <x:c r="C401" s="13" t="str">
        <x:v>Token admin/vendedor/inválido; payload externo del transform actual; fixtures 01/07/08; adaptador HKA doble.
Factura referencia compatible</x:v>
      </x:c>
      <x:c r="D401" s="13" t="str">
        <x:v>1. Enviar NC 07 y ND 08 con motivos vigentes en fixtures
2. Consultar relación
3. Preparar por servicio autorizado</x:v>
      </x:c>
      <x:c r="E401" s="13" t="str">
        <x:v>Tipos vigentes/referencia/IVA/moneda correctos; envío remoto notas no acreditado por creación API.</x:v>
      </x:c>
      <x:c r="F401" s="13" t="str">
        <x:v>Fuentes: routes/api.php; app/Http/Controllers/Tenant/Api/DocumentController.php; app/CoreFacturalo/Requests/Api/Transform/DocumentTransform.php
Entrada: POST /api/documents y contratos actuales de consulta/cobro</x:v>
      </x:c>
    </x:row>
    <x:row r="402" ht="44" customHeight="1">
      <x:c r="A402" s="13" t="str">
        <x:v>QA-API-003</x:v>
      </x:c>
      <x:c r="B402" s="13" t="str">
        <x:v>Payload incompleto o JSON inválido</x:v>
      </x:c>
      <x:c r="C402" s="13" t="str">
        <x:v>Token admin/vendedor/inválido; payload externo del transform actual; fixtures 01/07/08; adaptador HKA doble.
API autenticada</x:v>
      </x:c>
      <x:c r="D402" s="13" t="str">
        <x:v>1. Omitir cliente tipo artículo fecha serie obligatoria en variantes
2. Enviar JSON malformado
3. Leer códigos respuesta y efectos</x:v>
      </x:c>
      <x:c r="E402" s="13" t="str">
        <x:v>Errores identificables sin stacktrace/secretos y sin efectos parciales; serie vacía configurada no se trata como ausente inválida.</x:v>
      </x:c>
      <x:c r="F402" s="13" t="str">
        <x:v>Fuentes: routes/api.php; app/Http/Controllers/Tenant/Api/DocumentController.php; app/CoreFacturalo/Requests/Api/Transform/DocumentTransform.php
Entrada: POST /api/documents y contratos actuales de consulta/cobro</x:v>
      </x:c>
    </x:row>
    <x:row r="403" ht="44" customHeight="1">
      <x:c r="A403" s="13" t="str">
        <x:v>QA-API-004</x:v>
      </x:c>
      <x:c r="B403" s="13" t="str">
        <x:v>Campos desconocidos y retirados</x:v>
      </x:c>
      <x:c r="C403" s="13" t="str">
        <x:v>Token admin/vendedor/inválido; payload externo del transform actual; fixtures 01/07/08; adaptador HKA doble.
Payload válido con claves retiradas</x:v>
      </x:c>
      <x:c r="D403" s="13" t="str">
        <x:v>1. Añadir XML/SOAP/ISC/bolsas/UBL/retention antiguo
2. Enviar
3. Leer datos guardados</x:v>
      </x:c>
      <x:c r="E403" s="13" t="str">
        <x:v>No restaura contratos retirados ni cambia efectos fiscales; documentar rechazo/descartes conforme al request real.</x:v>
      </x:c>
      <x:c r="F403" s="13" t="str">
        <x:v>Fuentes: routes/api.php; app/Http/Controllers/Tenant/Api/DocumentController.php; app/CoreFacturalo/Requests/Api/Transform/DocumentTransform.php
Entrada: POST /api/documents y contratos actuales de consulta/cobro</x:v>
      </x:c>
    </x:row>
    <x:row r="404" ht="44" customHeight="1">
      <x:c r="A404" s="13" t="str">
        <x:v>QA-API-005</x:v>
      </x:c>
      <x:c r="B404" s="13" t="str">
        <x:v>Token sin alcance o inválido</x:v>
      </x:c>
      <x:c r="C404" s="13" t="str">
        <x:v>Token admin/vendedor/inválido; payload externo del transform actual; fixtures 01/07/08; adaptador HKA doble.
Token vendedor/expirado/otro tenant</x:v>
      </x:c>
      <x:c r="D404" s="13" t="str">
        <x:v>1. Crear/consultar/cobrar/descargar en diferentes rutas
2. Comparar permisos
3. Contar red</x:v>
      </x:c>
      <x:c r="E404" s="13" t="str">
        <x:v>Autorización en server antes de persistencia/proveedor; no se filtran datos por ID conocido.</x:v>
      </x:c>
      <x:c r="F404" s="13" t="str">
        <x:v>Fuentes: routes/api.php; app/Http/Controllers/Tenant/Api/DocumentController.php; app/CoreFacturalo/Requests/Api/Transform/DocumentTransform.php
Entrada: POST /api/documents y contratos actuales de consulta/cobro</x:v>
      </x:c>
    </x:row>
    <x:row r="405" ht="44" customHeight="1">
      <x:c r="A405" s="13" t="str">
        <x:v>QA-API-006</x:v>
      </x:c>
      <x:c r="B405" s="13" t="str">
        <x:v>Repetir misma creación HTTP</x:v>
      </x:c>
      <x:c r="C405" s="13" t="str">
        <x:v>Token admin/vendedor/inválido; payload externo del transform actual; fixtures 01/07/08; adaptador HKA doble.
Mismo payload de venta sin clave de idempotencia de venta confirmada</x:v>
      </x:c>
      <x:c r="D405" s="13" t="str">
        <x:v>1. Enviar una vez
2. Repetir idéntico tras resultado conocido
3. Comparar facturas y efectos</x:v>
      </x:c>
      <x:c r="E405" s="13" t="str">
        <x:v>Se registra capacidad real de idempotencia de creación; si duplica una operación que el canal requiere única, reportar defecto. UUID de pago no acredita idempotencia de Factura.</x:v>
      </x:c>
      <x:c r="F405" s="13" t="str">
        <x:v>Fuentes: routes/api.php; app/Http/Controllers/Tenant/Api/DocumentController.php; app/CoreFacturalo/Requests/Api/Transform/DocumentTransform.php
Entrada: POST /api/documents y contratos actuales de consulta/cobro</x:v>
      </x:c>
    </x:row>
    <x:row r="406" ht="44" customHeight="1">
      <x:c r="A406" s="13" t="str">
        <x:v>QA-API-007</x:v>
      </x:c>
      <x:c r="B406" s="13" t="str">
        <x:v>API rechaza exportación/terceros</x:v>
      </x:c>
      <x:c r="C406" s="13" t="str">
        <x:v>Token admin/vendedor/inválido; payload externo del transform actual; fixtures 01/07/08; adaptador HKA doble.
Payload ordinario y bandera WEB manipulada</x:v>
      </x:c>
      <x:c r="D406" s="13" t="str">
        <x:v>1. Enviar 0201/0202/0203 y third_party_id por separado
2. Enviar fiscal_data 99 directo
3. Leer efectos</x:v>
      </x:c>
      <x:c r="E406" s="13" t="str">
        <x:v>Capacidad reservada web no se habilita por flag; cada intento rechazado sin venta/stock/pago.</x:v>
      </x:c>
      <x:c r="F406" s="13" t="str">
        <x:v>Fuentes: routes/api.php; app/Http/Controllers/Tenant/Api/DocumentController.php; app/CoreFacturalo/Requests/Api/Transform/DocumentTransform.php
Entrada: POST /api/documents y contratos actuales de consulta/cobro</x:v>
      </x:c>
    </x:row>
    <x:row r="407" ht="44" customHeight="1">
      <x:c r="A407" s="13" t="str">
        <x:v>QA-API-008</x:v>
      </x:c>
      <x:c r="B407" s="13" t="str">
        <x:v>Datos sensibles anidados</x:v>
      </x:c>
      <x:c r="C407" s="13" t="str">
        <x:v>Token admin/vendedor/inválido; payload externo del transform actual; fixtures 01/07/08; adaptador HKA doble.
fiscal_data /conditional_data de QA</x:v>
      </x:c>
      <x:c r="D407" s="13" t="str">
        <x:v>1. Enviar claves password/token/jwt/secret anidadas
2. Guardar por endpoint soportado
3. Leer error/persistencia</x:v>
      </x:c>
      <x:c r="E407" s="13" t="str">
        <x:v>No almacena credenciales en snapshots/emisiones/datos fiscales; error saneado.</x:v>
      </x:c>
      <x:c r="F407" s="13" t="str">
        <x:v>Fuentes: routes/api.php; app/Http/Controllers/Tenant/Api/DocumentController.php; app/CoreFacturalo/Requests/Api/Transform/DocumentTransform.php
Entrada: POST /api/documents y contratos actuales de consulta/cobro</x:v>
      </x:c>
    </x:row>
    <x:row r="408" ht="56" customHeight="1">
      <x:c r="A408" s="13" t="str">
        <x:v>QA-IMP-001</x:v>
      </x:c>
      <x:c r="B408" s="13" t="str">
        <x:v>Descargar plantillas actuales</x:v>
      </x:c>
      <x:c r="C408" s="13" t="str">
        <x:v>Archivos generados de las plantillas actuales; tenant QA/token QA; filas válidas y erróneas; HKA en doble.
Permiso de importación/superadmin</x:v>
      </x:c>
      <x:c r="D408" s="13" t="str">
        <x:v>1. Descargar cada formato de documentos/segundo/Excel/masiva
2. Abrir encabezados
3. Mapear columnas tenant/moneda/serie/tipo</x:v>
      </x:c>
      <x:c r="E408" s="13" t="str">
        <x:v>Plantillas y contrato vigentes identificados; no se con fund en con Excel de productos ni inventa columna obligatoria.</x:v>
      </x:c>
      <x:c r="F408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09" ht="56" customHeight="1">
      <x:c r="A409" s="13" t="str">
        <x:v>QA-IMP-002</x:v>
      </x:c>
      <x:c r="B409" s="13" t="str">
        <x:v>Importación documento válido</x:v>
      </x:c>
      <x:c r="C409" s="13" t="str">
        <x:v>Archivos generados de las plantillas actuales; tenant QA/token QA; filas válidas y erróneas; HKA en doble.
Un archivo con una Factura 01 válida</x:v>
      </x:c>
      <x:c r="D409" s="13" t="str">
        <x:v>1. Importar formato actual
2. Consultar documento/número
3. Conciliar cliente/líneas/pagos/stock/emisión</x:v>
      </x:c>
      <x:c r="E409" s="13" t="str">
        <x:v>Venta local íntegra según contrato de importador; resultado real HKA registrado aparte si usa escritorcomún.</x:v>
      </x:c>
      <x:c r="F409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10" ht="56" customHeight="1">
      <x:c r="A410" s="13" t="str">
        <x:v>QA-IMP-003</x:v>
      </x:c>
      <x:c r="B410" s="13" t="str">
        <x:v>Segundo formato válido</x:v>
      </x:c>
      <x:c r="C410" s="13" t="str">
        <x:v>Archivos generados de las plantillas actuales; tenant QA/token QA; filas válidas y erróneas; HKA en doble.
Plantilla de segundo formato del despliegue</x:v>
      </x:c>
      <x:c r="D410" s="13" t="str">
        <x:v>1. Rellenar una Factura 01
2. Importar
3. Comparar campos con plantilla</x:v>
      </x:c>
      <x:c r="E410" s="13" t="str">
        <x:v>Cada formato tiene ejecución propia y mismo contrato doméstico vigente; éxito de un formato no acredita otro.</x:v>
      </x:c>
      <x:c r="F410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11" ht="56" customHeight="1">
      <x:c r="A411" s="13" t="str">
        <x:v>QA-IMP-004</x:v>
      </x:c>
      <x:c r="B411" s="13" t="str">
        <x:v>Importación Excel de comprobantes</x:v>
      </x:c>
      <x:c r="C411" s="13" t="str">
        <x:v>Archivos generados de las plantillas actuales; tenant QA/token QA; filas válidas y erróneas; HKA en doble.
Formato ImportExcel vigente</x:v>
      </x:c>
      <x:c r="D411" s="13" t="str">
        <x:v>1. Cargar archivo con varias líneas de una factura
2. Importar
3. Leer documentos/pagos/stock</x:v>
      </x:c>
      <x:c r="E411" s="13" t="str">
        <x:v>Agrupación de filas respeta identidad documental; no factura cada línea como venta separada.</x:v>
      </x:c>
      <x:c r="F411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12" ht="56" customHeight="1">
      <x:c r="A412" s="13" t="str">
        <x:v>QA-IMP-005</x:v>
      </x:c>
      <x:c r="B412" s="13" t="str">
        <x:v>Fila inválida y archivo mixto</x:v>
      </x:c>
      <x:c r="C412" s="13" t="str">
        <x:v>Archivos generados de las plantillas actuales; tenant QA/token QA; filas válidas y erróneas; HKA en doble.
Archivos con cliente faltante/moneda retirada/tipo 03/serie ajena</x:v>
      </x:c>
      <x:c r="D412" s="13" t="str">
        <x:v>1. Importar cada variante y archivo válido inválido mixto
2. Leer reporte/atomicidad real
3. Contar documentos</x:v>
      </x:c>
      <x:c r="E412" s="13" t="str">
        <x:v>Errores por fila recuperables; atomicidad real documentada sin ventas fantasma; los registros válidos no se cuentan como rechazados ni duplican al corregir.</x:v>
      </x:c>
      <x:c r="F412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13" ht="56" customHeight="1">
      <x:c r="A413" s="13" t="str">
        <x:v>QA-IMP-006</x:v>
      </x:c>
      <x:c r="B413" s="13" t="str">
        <x:v>Reimportación y duplicado</x:v>
      </x:c>
      <x:c r="C413" s="13" t="str">
        <x:v>Archivos generados de las plantillas actuales; tenant QA/token QA; filas válidas y erróneas; HKA en doble.
Archivo que ya importó una Factura</x:v>
      </x:c>
      <x:c r="D413" s="13" t="str">
        <x:v>1. Reimportar
2. Corregir una fila y reintentar
3. Comparar IDs/números/stock</x:v>
      </x:c>
      <x:c r="E413" s="13" t="str">
        <x:v>No se duplica identidad documental ya usa da; filas reprocesadas auditablemente. Si no hay de duplicación de flujo requerido, reportar defecto.</x:v>
      </x:c>
      <x:c r="F413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14" ht="56" customHeight="1">
      <x:c r="A414" s="13" t="str">
        <x:v>QA-IMP-007</x:v>
      </x:c>
      <x:c r="B414" s="13" t="str">
        <x:v>Serie vacía y con guiones en importación</x:v>
      </x:c>
      <x:c r="C414" s="13" t="str">
        <x:v>Archivos generados de las plantillas actuales; tenant QA/token QA; filas válidas y erróneas; HKA en doble.
Plantilla con referencias 25/QA-FF-01-25</x:v>
      </x:c>
      <x:c r="D414" s="13" t="str">
        <x:v>1. Importar ambas en sucursales controladas
2. Consultar por referencia
3. Leer HKA/número original</x:v>
      </x:c>
      <x:c r="E414" s="13" t="str">
        <x:v>Descomposición por último guion y alcance correctos; no persiste marcador ni relleno como nueva serie.</x:v>
      </x:c>
      <x:c r="F414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15" ht="56" customHeight="1">
      <x:c r="A415" s="13" t="str">
        <x:v>QA-IMP-008</x:v>
      </x:c>
      <x:c r="B415" s="13" t="str">
        <x:v>Exportación/terceros importados no habilitados</x:v>
      </x:c>
      <x:c r="C415" s="13" t="str">
        <x:v>Archivos generados de las plantillas actuales; tenant QA/token QA; filas válidas y erróneas; HKA en doble.
Importador no web o sin capacidad explícita</x:v>
      </x:c>
      <x:c r="D415" s="13" t="str">
        <x:v>1. Intentar operación 0201 y tercero desde archivo
2. Leer rechazo
3. Comparar efectos</x:v>
      </x:c>
      <x:c r="E415" s="13" t="str">
        <x:v>No se habilitan flujos reservados web por columnas/flags; alcance real de importador verificado.</x:v>
      </x:c>
      <x:c r="F415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16" ht="56" customHeight="1">
      <x:c r="A416" s="13" t="str">
        <x:v>QA-IMP-009</x:v>
      </x:c>
      <x:c r="B416" s="13" t="str">
        <x:v>Masiva superadmin carga y proceso</x:v>
      </x:c>
      <x:c r="C416" s="13" t="str">
        <x:v>Archivos generados de las plantillas actuales; tenant QA/token QA; filas válidas y erróneas; HKA en doble.
Superadmin QA y token acceso tenant QA</x:v>
      </x:c>
      <x:c r="D416" s="13" t="str">
        <x:v>1. Descargar formato y subir 2 ventas válidas
2. Procesar
3. Consultar registros y exportar</x:v>
      </x:c>
      <x:c r="E416" s="13" t="str">
        <x:v>Filas/ruta de emisión local trazables; estado_emision/mensaje_emision, sin estado_sunat ni enlaces XML/CDR. Guardado local no afirma confirmación HKA.</x:v>
      </x:c>
      <x:c r="F416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17" ht="56" customHeight="1">
      <x:c r="A417" s="13" t="str">
        <x:v>QA-IMP-010</x:v>
      </x:c>
      <x:c r="B417" s="13" t="str">
        <x:v>Masiva errores parciales y acceso</x:v>
      </x:c>
      <x:c r="C417" s="13" t="str">
        <x:v>Archivos generados de las plantillas actuales; tenant QA/token QA; filas válidas y erróneas; HKA en doble.
Lote válido/inválido y usuario sinpermiso</x:v>
      </x:c>
      <x:c r="D417" s="13" t="str">
        <x:v>1. Procesar mixto
2. Reprocesar sólo errores
3. Intentar listado/descarga por sinpermiso</x:v>
      </x:c>
      <x:c r="E417" s="13" t="str">
        <x:v>Éxitos/errores por fila estructurados y acceso correctos; operación no emitida no se presenta aprobada.</x:v>
      </x:c>
      <x:c r="F417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18" ht="56" customHeight="1">
      <x:c r="A418" s="13" t="str">
        <x:v>QA-IMP-011</x:v>
      </x:c>
      <x:c r="B418" s="13" t="str">
        <x:v>Masiva PDF y exportación de resultados</x:v>
      </x:c>
      <x:c r="C418" s="13" t="str">
        <x:v>Archivos generados de las plantillas actuales; tenant QA/token QA; filas válidas y erróneas; HKA en doble.
Lote procesado con PDF disponible</x:v>
      </x:c>
      <x:c r="D418" s="13" t="str">
        <x:v>1. Descargar PDF por identidad
2. Exportar listado
3. Comparar filas/estado/documento</x:v>
      </x:c>
      <x:c r="E418" s="13" t="str">
        <x:v>Resultado correspondeaventaautorizada; sólo original HKA par as digital cuando aplique; no evidencia deprod por archivo existente.</x:v>
      </x:c>
      <x:c r="F418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19" ht="56" customHeight="1">
      <x:c r="A419" s="13" t="str">
        <x:v>QA-IMP-012</x:v>
      </x:c>
      <x:c r="B419" s="13" t="str">
        <x:v>Archivo indebido y volumen</x:v>
      </x:c>
      <x:c r="C419" s="13" t="str">
        <x:v>Archivos generados de las plantillas actuales; tenant QA/token QA; filas válidas y erróneas; HKA en doble.
Uploads de extensión/tamaño erróneo y 100 filas QA</x:v>
      </x:c>
      <x:c r="D419" s="13" t="str">
        <x:v>1. Subir cada variante
2. Medir tiempo/errores
3. Comparar contadores</x:v>
      </x:c>
      <x:c r="E419" s="13" t="str">
        <x:v>Validación según límites reales; volumen 100 es fixture,no máximo asumido; sin lectura de ruta externa ni fallos parciales ocultos.</x:v>
      </x:c>
      <x:c r="F419" s="13" t="str">
        <x:v>Fuentes: app/Http/Controllers/Tenant/DocumentController.php; app/Services/MassiveInvoiceService.php; app/Http/Controllers/System/MassiveInvoiceController.php; public/formats/documents_second_format.xlsx; public/formats/formato_facturas_masivas.xlsx
Entrada: Importar en Comprobantes; /massive-invoice de superadmin</x:v>
      </x:c>
    </x:row>
    <x:row r="420" ht="56" customHeight="1">
      <x:c r="A420" s="13" t="str">
        <x:v>QA-ANU-001</x:v>
      </x:c>
      <x:c r="B420" s="13" t="str">
        <x:v>Anulación local y estado</x:v>
      </x:c>
      <x:c r="C420" s="13" t="str">
        <x:v>Fixtures comercialmente anulables y digitales confirmed; permisos/admin; bases QA desechables. No ejecutar limpieza masiva ajena a corrida.
Factura QA permitida para anular</x:v>
      </x:c>
      <x:c r="D420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Usar Anular y registrar motivo.
4. Consultar listado detalle/registros.
5. Conciliar stock/pagos/saldo.
6. Recargar/reabrir o consultar desde una segunda lectura autorizada; contrastar resultado inmediato y persistido con los criterios siguientes. No repetir creación/envío con resultado desconocido sin conciliar primero.</x:v>
      </x:c>
      <x:c r="E420" s="13" t="str">
        <x:v>Estado local y efectos según política se conservan auditables; no se afirma anulación HKA remota que no está implementada.</x:v>
      </x:c>
      <x:c r="F420" s="13" t="str">
        <x:v>[app/Http/Controllers/Tenant/VoidedController.php](../../app/Http/Controllers/Tenant/VoidedController.php), [app/Http/Controllers/Tenant/DocumentController.php](../../app/Http/Controllers/Tenant/DocumentController.php), [tests/Unit/TestDocumentsDeletionBehaviorTest.php](../../tests/Unit/TestDocumentsDeletionBehaviorTest.php), [tests/Unit/TestDocumentsDeletionContractTest.php](../../tests/Unit/TestDocumentsDeletionContractTest.php)
Efectos posteriores: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
Contrato actualizado: La restricción de anulación remota de este caso corresponde a facturas. Notas ordinarias sí admiten flujo auditado DEMO en NAN; órdenes no admiten anulación remota positiva.</x:v>
      </x:c>
    </x:row>
    <x:row r="421" ht="56" customHeight="1">
      <x:c r="A421" s="13" t="str">
        <x:v>QA-ANU-002</x:v>
      </x:c>
      <x:c r="B421" s="13" t="str">
        <x:v>Anulado prevalece sobre confirmed</x:v>
      </x:c>
      <x:c r="C421" s="13" t="str">
        <x:v>Fixtures comercialmente anulables y digitales confirmed; permisos/admin; bases QA desechables. No ejecutar limpieza masiva ajena a corrida.
Factura con confirmed previo y fixture anulado</x:v>
      </x:c>
      <x:c r="D421" s="13" t="str">
        <x:v>1. Abrir listado y Opciones
2. Intentar Editar/Cobrar/Correo/PDF fiscal
3. Leer resultados</x:v>
      </x:c>
      <x:c r="E421" s="13" t="str">
        <x:v>Estado/anulación priorizados y acciones fiscales de documento no vigente bloqueadas; no se borra aceptación histórica para disfrazar el estado.</x:v>
      </x:c>
      <x:c r="F421" s="13" t="str">
        <x:v>Fuentes: app/Http/Controllers/Tenant/VoidedController.php; app/Http/Controllers/Tenant/DocumentController.php; tests/Unit/TestDocumentsDeletionBehaviorTest.php; tests/Unit/TestDocumentsDeletionContractTest.php
Entrada: Acciones reales Anular/Recrear/Registrar; herramientas de datos de prueba del entorno</x:v>
      </x:c>
    </x:row>
    <x:row r="422" ht="56" customHeight="1">
      <x:c r="A422" s="13" t="str">
        <x:v>QA-ANU-003</x:v>
      </x:c>
      <x:c r="B422" s="13" t="str">
        <x:v>Restricción por fecha de anulación</x:v>
      </x:c>
      <x:c r="C422" s="13" t="str">
        <x:v>Fixtures comercialmente anulables y digitales confirmed; permisos/admin; bases QA desechables. No ejecutar limpieza masiva ajena a corrida.
Flag restrict_voided_send y plazo de fixture</x:v>
      </x:c>
      <x:c r="D422" s="13" t="str">
        <x:v>1. Anular justo en el límite
2. Intentar un día después
3. Leer respuesta</x:v>
      </x:c>
      <x:c r="E422" s="13" t="str">
        <x:v>Frontera del plazo configurada correcta; error legible y sin operación parcial.</x:v>
      </x:c>
      <x:c r="F422" s="13" t="str">
        <x:v>Fuentes: app/Http/Controllers/Tenant/VoidedController.php; app/Http/Controllers/Tenant/DocumentController.php; tests/Unit/TestDocumentsDeletionBehaviorTest.php; tests/Unit/TestDocumentsDeletionContractTest.php
Entrada: Acciones reales Anular/Recrear/Registrar; herramientas de datos de prueba del entorno</x:v>
      </x:c>
    </x:row>
    <x:row r="423" ht="56" customHeight="1">
      <x:c r="A423" s="13" t="str">
        <x:v>QA-ANU-004</x:v>
      </x:c>
      <x:c r="B423" s="13" t="str">
        <x:v>Solicitud por anular y cancelación local</x:v>
      </x:c>
      <x:c r="C423" s="13" t="str">
        <x:v>Fixtures comercialmente anulables y digitales confirmed; permisos/admin; bases QA desechables. No ejecutar limpieza masiva ajena a corrida.
Flujo voided real vigente</x:v>
      </x:c>
      <x:c r="D423" s="13" t="str">
        <x:v>1. Crear solicitud
2. Consultar estado
3. Eliminar/cancelar solicitud en fixture permitido</x:v>
      </x:c>
      <x:c r="E423" s="13" t="str">
        <x:v>Vínculos y estado comercial coherentes; la acción de local no se presenta como cancelar registro remoto HKA.</x:v>
      </x:c>
      <x:c r="F423" s="13" t="str">
        <x:v>Fuentes: app/Http/Controllers/Tenant/VoidedController.php; app/Http/Controllers/Tenant/DocumentController.php; tests/Unit/TestDocumentsDeletionBehaviorTest.php; tests/Unit/TestDocumentsDeletionContractTest.php
Entrada: Acciones reales Anular/Recrear/Registrar; herramientas de datos de prueba del entorno</x:v>
      </x:c>
    </x:row>
    <x:row r="424" ht="56" customHeight="1">
      <x:c r="A424" s="13" t="str">
        <x:v>QA-ANU-005</x:v>
      </x:c>
      <x:c r="B424" s="13" t="str">
        <x:v>Anulación repetida/concurrente</x:v>
      </x:c>
      <x:c r="C424" s="13" t="str">
        <x:v>Fixtures comercialmente anulables y digitales confirmed; permisos/admin; bases QA desechables. No ejecutar limpieza masiva ajena a corrida.
Factura anulable</x:v>
      </x:c>
      <x:c r="D424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Solicitar dos veces y concurrentemente.
4. Leer registros.
5. Comparar stock y pagos.
6. Recargar/reabrir o consultar desde una segunda lectura autorizada; contrastar resultado inmediato y persistido con los criterios siguientes. No repetir creación/envío con resultado desconocido sin conciliar primero.</x:v>
      </x:c>
      <x:c r="E424" s="13" t="str">
        <x:v>No reaplica restitución/recepción ni duplica vínculo de anulación; violación se reporta.</x:v>
      </x:c>
      <x:c r="F424" s="13" t="str">
        <x:v>[app/Http/Controllers/Tenant/VoidedController.php](../../app/Http/Controllers/Tenant/VoidedController.php), [app/Http/Controllers/Tenant/DocumentController.php](../../app/Http/Controllers/Tenant/DocumentController.php), [tests/Unit/TestDocumentsDeletionBehaviorTest.php](../../tests/Unit/TestDocumentsDeletionBehaviorTest.php), [tests/Unit/TestDocumentsDeletionContractTest.php](../../tests/Unit/TestDocumentsDeletionContractTest.php)
Efectos posteriores: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
Contrato actualizado: No aplicar rutas antiguas ni reversión genérica a notas ordinarias: usar journal y flujo NAN con reservas, confirmación fiscal y una reversión local. Para facturas preservar alcance local permitido.</x:v>
      </x:c>
    </x:row>
    <x:row r="425" ht="56" customHeight="1">
      <x:c r="A425" s="13" t="str">
        <x:v>QA-ANU-006</x:v>
      </x:c>
      <x:c r="B425" s="13" t="str">
        <x:v>Recrear o registrar estado</x:v>
      </x:c>
      <x:c r="C425" s="13" t="str">
        <x:v>Fixtures comercialmente anulables y digitales confirmed; permisos/admin; bases QA desechables. No ejecutar limpieza masiva ajena a corrida.
Botones btn_recreate_document/registered sólo en fixture elegible</x:v>
      </x:c>
      <x:c r="D425" s="13" t="str">
        <x:v>1. Ejecutar cada acción permitida
2. Leer identidad/nueva venta/vínculos
3. Comprobar HKA y comercio</x:v>
      </x:c>
      <x:c r="E425" s="13" t="str">
        <x:v>No se duplica factura confirmada ni se usa registro local para fingir confirmed; alcance y permiso reales documentados.</x:v>
      </x:c>
      <x:c r="F425" s="13" t="str">
        <x:v>Fuentes: app/Http/Controllers/Tenant/VoidedController.php; app/Http/Controllers/Tenant/DocumentController.php; tests/Unit/TestDocumentsDeletionBehaviorTest.php; tests/Unit/TestDocumentsDeletionContractTest.php
Entrada: Acciones reales Anular/Recrear/Registrar; herramientas de datos de prueba del entorno</x:v>
      </x:c>
    </x:row>
    <x:row r="426" ht="56" customHeight="1">
      <x:c r="A426" s="13" t="str">
        <x:v>QA-ANU-007</x:v>
      </x:c>
      <x:c r="B426" s="13" t="str">
        <x:v>Eliminar documento con relaciones</x:v>
      </x:c>
      <x:c r="C426" s="13" t="str">
        <x:v>Fixtures comercialmente anulables y digitales confirmed; permisos/admin; bases QA desechables. No ejecutar limpieza masiva ajena a corrida.
Factura con pagos/notas/control o referencias</x:v>
      </x:c>
      <x:c r="D426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Intentar borrado a través de ruta existente.
4. Leer rechazo/atomicidad.
5. Consultar relaciones y stock.
6. Recargar/reabrir o consultar desde una segunda lectura autorizada; contrastar resultado inmediato y persistido con los criterios siguientes. No repetir creación/envío con resultado desconocido sin conciliar primero.</x:v>
      </x:c>
      <x:c r="E426" s="13" t="str">
        <x:v>No queda eliminación parcial ni referencia huérfana. Operación con control no se borra para evadir trazabilidad fiscal.</x:v>
      </x:c>
      <x:c r="F426" s="13" t="str">
        <x:v>[app/Http/Controllers/Tenant/VoidedController.php](../../app/Http/Controllers/Tenant/VoidedController.php), [app/Http/Controllers/Tenant/DocumentController.php](../../app/Http/Controllers/Tenant/DocumentController.php), [tests/Unit/TestDocumentsDeletionBehaviorTest.php](../../tests/Unit/TestDocumentsDeletionBehaviorTest.php), [tests/Unit/TestDocumentsDeletionContractTest.php](../../tests/Unit/TestDocumentsDeletionContractTest.php)
Efectos posteriores: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
Contrato actualizado: La eliminación directa de una nota ordinaria o factura con notas está bloqueada; no eludir devoluciones/ajustes/journal. Conservar historial, control y numeración.</x:v>
      </x:c>
    </x:row>
    <x:row r="427" ht="56" customHeight="1">
      <x:c r="A427" s="13" t="str">
        <x:v>QA-ANU-008</x:v>
      </x:c>
      <x:c r="B427" s="13" t="str">
        <x:v>Herramienta de eliminación de datos DEMO</x:v>
      </x:c>
      <x:c r="C427" s="13" t="str">
        <x:v>Fixtures comercialmente anulables y digitales confirmed; permisos/admin; bases QA desechables. No ejecutar limpieza masiva ajena a corrida.
Tenant QA desechable exclusivo y contrato DeleteTestDocuments</x:v>
      </x:c>
      <x:c r="D427" s="13" t="str">
        <x:v>1. Leer alcance real y contar documentos/relaciones afectados antes de ejecutar
2. Comprobar usuario administrador y confirmación literal ELIMINAR
3. Ejecutar al final de la corrida y verificar relaciones/caja/stock</x:v>
      </x:c>
      <x:c r="E427" s="13" t="str">
        <x:v>Purga cumple su alcance DEMO y transacción; conserva evidencia antes de borrar y no afecta tenants operativos. No se usa como anulación remota ni elimina el bloqueo de ambiente tras operar.</x:v>
      </x:c>
      <x:c r="F427" s="13" t="str">
        <x:v>Fuentes: app/Http/Controllers/Tenant/VoidedController.php; app/Http/Controllers/Tenant/DocumentController.php; tests/Unit/TestDocumentsDeletionBehaviorTest.php; tests/Unit/TestDocumentsDeletionContractTest.php
Entrada: Acciones reales Anular/Recrear/Registrar; herramientas de datos de prueba del entorno</x:v>
      </x:c>
    </x:row>
    <x:row r="428" ht="56" customHeight="1">
      <x:c r="A428" s="13" t="str">
        <x:v>QA-ANU-009</x:v>
      </x:c>
      <x:c r="B428" s="13" t="str">
        <x:v>Permisos de anular/recrear/eliminar</x:v>
      </x:c>
      <x:c r="C428" s="13" t="str">
        <x:v>Fixtures comercialmente anulables y digitales confirmed; permisos/admin; bases QA desechables. No ejecutar limpieza masiva ajena a corrida.
Vendedor con/sinpermiso y otro tenant/sucursal</x:v>
      </x:c>
      <x:c r="D428" s="13" t="str">
        <x:v>1. Intentar UI y request directo para cada acción
2. Comparar efectos
3. Leer respuesta</x:v>
      </x:c>
      <x:c r="E428" s="13" t="str">
        <x:v>Servidor autoriza tenant/sucursal/capacidad antes de mutar. Un menú oculto no prueba seguridad.</x:v>
      </x:c>
      <x:c r="F428" s="13" t="str">
        <x:v>Fuentes: app/Http/Controllers/Tenant/VoidedController.php; app/Http/Controllers/Tenant/DocumentController.php; tests/Unit/TestDocumentsDeletionBehaviorTest.php; tests/Unit/TestDocumentsDeletionContractTest.php
Entrada: Acciones reales Anular/Recrear/Registrar; herramientas de datos de prueba del entorno</x:v>
      </x:c>
    </x:row>
    <x:row r="429" ht="144" customHeight="1">
      <x:c r="A429" s="13" t="str">
        <x:v>QA-FIN-001</x:v>
      </x:c>
      <x:c r="B429" s="13" t="str">
        <x:v>Conciliar venta, cobro y saldo</x:v>
      </x:c>
      <x:c r="C429" s="13" t="str">
        <x:v>Libro independiente: venta 116 VES, pago real 30, IVA aplicada válida 12 y fondo 10: saldo 64/caja 30. Confirmación/control/referencia coincidentes y perfil/soporte/UUID para retención; fixtureUSD+IGTF con emisor SPE vigente y moneda recibida USD/none explícita. Si IVA sólo prevista/pendiente saldo 76; no usar previsión como aplicación.
Fixture 116/30/12/10</x:v>
      </x:c>
      <x:c r="D429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Leer listado/detalle/Pagos/Finanzas.
4. Comparar control independiente.
5. Exportar PDF/Excel.
6. Recargar/reabrir o consultar desde una segunda lectura autorizada; contrastar resultado inmediato y persistido con los criterios siguientes. No repetir creación/envío con resultado desconocido sin conciliar primero.</x:v>
      </x:c>
      <x:c r="E429" s="13" t="str">
        <x:v>Venta 116, efectivo 30, retención 12, fondo 10 y saldo 64 en todas las vistas; no se confunde aplicado con recibido.</x:v>
      </x:c>
      <x:c r="F429" s="13" t="str">
        <x:v>[modules/Finance/Routes/web.php](../../modules/Finance/Routes/web.php), [modules/Report/Routes/web.php](../../modules/Report/Routes/web.php), [modules/Dashboard](../../modules/Dashboard), [resources/views/pdf/partials/document_fiscal_totals.blade.php](../../resources/views/pdf/partials/document_fiscal_totals.blade.php)
Efectos posteriores: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
Contrato actualizado: Saldo F=total−NC activas−pagos activos−IVA/ISLR aplicadas−fondo ajustado+devoluciones principales activas. ND deuda/cobros propios; NC cobrable0. No contar previsiones ni declaraciones99 como cash.</x:v>
      </x:c>
    </x:row>
    <x:row r="430" ht="144" customHeight="1">
      <x:c r="A430" s="13" t="str">
        <x:v>QA-FIN-002</x:v>
      </x:c>
      <x:c r="B430" s="13" t="str">
        <x:v>Cierre de caja y bancos</x:v>
      </x:c>
      <x:c r="C430" s="13" t="str">
        <x:v>Libro independiente: venta 116 VES, pago real 30, IVA aplicada válida 12 y fondo 10: saldo 64/caja 30. Confirmación/control/referencia coincidentes y perfil/soporte/UUID para retención; fixtureUSD+IGTF con emisor SPE vigente y moneda recibida USD/none explícita. Si IVA sólo prevista/pendiente saldo 76; no usar previsión como aplicación.
Pagos en efectivo/banco/monedas distintas</x:v>
      </x:c>
      <x:c r="D430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Leer resumen caja,banco,movimientos.
4. Cerrar caja QA.
5. Exportar ticket/A4/Excel.
6. Recargar/reabrir o consultar desde una segunda lectura autorizada; contrastar resultado inmediato y persistido con los criterios siguientes. No repetir creación/envío con resultado desconocido sin conciliar primero.</x:v>
      </x:c>
      <x:c r="E430" s="13" t="str">
        <x:v>Totales por destino/moneda y recepción neta; no cuenta Facturaa crédito como efectivo ni suma USD/VES nominalmente.</x:v>
      </x:c>
      <x:c r="F430" s="13" t="str">
        <x:v>[modules/Finance/Routes/web.php](../../modules/Finance/Routes/web.php), [modules/Report/Routes/web.php](../../modules/Report/Routes/web.php), [modules/Dashboard](../../modules/Dashboard), [resources/views/pdf/partials/document_fiscal_totals.blade.php](../../resources/views/pdf/partials/document_fiscal_totals.blade.php)
Efectos posteriores: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
Contrato actualizado: Incluir devoluciones reales activas como egresos, excluir revertidas y recibos IGTF derivados duplicados. NC sola no modifica caja/banco; ND cobradas ingresan en su propia operación.</x:v>
      </x:c>
    </x:row>
    <x:row r="431" ht="144" customHeight="1">
      <x:c r="A431" s="13" t="str">
        <x:v>QA-FIN-003</x:v>
      </x:c>
      <x:c r="B431" s="13" t="str">
        <x:v>Recibos IGTF no duplican ingreso</x:v>
      </x:c>
      <x:c r="C431" s="13" t="str">
        <x:v>Libro independiente: venta 116 VES, pago real 30, IVA aplicada válida 12 y fondo 10: saldo 64/caja 30. Confirmación/control/referencia coincidentes y perfil/soporte/UUID para retención; fixtureUSD+IGTF con emisor SPE vigente y moneda recibida USD/none explícita. Si IVA sólo prevista/pendiente saldo 76; no usar previsión como aplicación.
Pago USD 20+IGTF 0.60 y recibo derivado</x:v>
      </x:c>
      <x:c r="D431" s="13" t="str">
        <x:v>1. Leer movimientos/caja/global-payments/dashboard
2. Contar transacciones efectivas
3. Comparar total</x:v>
      </x:c>
      <x:c r="E431" s="13" t="str">
        <x:v>Recepción 20.60 USD una vez; principal/IGTF desglosados y derivado excluido de nueva entrada.</x:v>
      </x:c>
      <x:c r="F431" s="13" t="str">
        <x:v>Fuentes: modules/Finance/Routes/web.php; modules/Report/Routes/web.php; modules/Dashboard; resources/views/pdf/partials/document_fiscal_totals.blade.php
Entrada: Caja; Finanzas → cuentas por cobrar/pagos/global/balance; Reportes/Dashboard</x:v>
      </x:c>
    </x:row>
    <x:row r="432" ht="144" customHeight="1">
      <x:c r="A432" s="13" t="str">
        <x:v>QA-FIN-004</x:v>
      </x:c>
      <x:c r="B432" s="13" t="str">
        <x:v>Reversión cambia reportes</x:v>
      </x:c>
      <x:c r="C432" s="13" t="str">
        <x:v>Libro independiente: venta 116 VES, pago real 30, IVA aplicada válida 12 y fondo 10: saldo 64/caja 30. Confirmación/control/referencia coincidentes y perfil/soporte/UUID para retención; fixtureUSD+IGTF con emisor SPE vigente y moneda recibida USD/none explícita. Si IVA sólo prevista/pendiente saldo 76; no usar previsión como aplicación.
Pago 30 VES revertido en fixture</x:v>
      </x:c>
      <x:c r="D432" s="13" t="str">
        <x:v>1. Exportar antes/después
2. Comparar saldo/caja/bancos
3. Leer historia pago</x:v>
      </x:c>
      <x:c r="E432" s="13" t="str">
        <x:v>Pago permanece auditado pero excluido de saldo/ingreso activo; reportes no siguen mostrándolo como cobro vigente.</x:v>
      </x:c>
      <x:c r="F432" s="13" t="str">
        <x:v>Fuentes: modules/Finance/Routes/web.php; modules/Report/Routes/web.php; modules/Dashboard; resources/views/pdf/partials/document_fiscal_totals.blade.php
Entrada: Caja; Finanzas → cuentas por cobrar/pagos/global/balance; Reportes/Dashboard</x:v>
      </x:c>
    </x:row>
    <x:row r="433" ht="144" customHeight="1">
      <x:c r="A433" s="13" t="str">
        <x:v>QA-FIN-005</x:v>
      </x:c>
      <x:c r="B433" s="13" t="str">
        <x:v>Facturas crédito y vencimientos</x:v>
      </x:c>
      <x:c r="C433" s="13" t="str">
        <x:v>Libro independiente: venta 116 VES, pago real 30, IVA aplicada válida 12 y fondo 10: saldo 64/caja 30. Confirmación/control/referencia coincidentes y perfil/soporte/UUID para retención; fixtureUSD+IGTF con emisor SPE vigente y moneda recibida USD/none explícita. Si IVA sólo prevista/pendiente saldo 76; no usar previsión como aplicación.
Cuotas 58/58 y fecha actual controlada</x:v>
      </x:c>
      <x:c r="D433" s="13" t="str">
        <x:v>1. Consultar pendientes/vencidos
2. Cobrar parcial
3. Leer evolución cuotas/saldo</x:v>
      </x:c>
      <x:c r="E433" s="13" t="str">
        <x:v>Importes y fecha corte Caracas correctos; pago/retención/fondo aplicados sin duplicación y sin presumir cuota pagada por crear Factura.</x:v>
      </x:c>
      <x:c r="F433" s="13" t="str">
        <x:v>Fuentes: modules/Finance/Routes/web.php; modules/Report/Routes/web.php; modules/Dashboard; resources/views/pdf/partials/document_fiscal_totals.blade.php
Entrada: Caja; Finanzas → cuentas por cobrar/pagos/global/balance; Reportes/Dashboard</x:v>
      </x:c>
    </x:row>
    <x:row r="434" ht="144" customHeight="1">
      <x:c r="A434" s="13" t="str">
        <x:v>QA-FIN-006</x:v>
      </x:c>
      <x:c r="B434" s="13" t="str">
        <x:v>Filtrar sucursal, usuario y moneda</x:v>
      </x:c>
      <x:c r="C434" s="13" t="str">
        <x:v>Libro independiente: venta 116 VES, pago real 30, IVA aplicada válida 12 y fondo 10: saldo 64/caja 30. Confirmación/control/referencia coincidentes y perfil/soporte/UUID para retención; fixtureUSD+IGTF con emisor SPE vigente y moneda recibida USD/none explícita. Si IVA sólo prevista/pendiente saldo 76; no usar previsión como aplicación.
Fixtures S 1/S 2,U 1/U 2,VES/USD</x:v>
      </x:c>
      <x:c r="D434" s="13" t="str">
        <x:v>1. Aplicar cada filtro y combinaciones
2. Exportar
3. Comparar listado/total/conteos</x:v>
      </x:c>
      <x:c r="E434" s="13" t="str">
        <x:v>Exportación y pantalla misma población; usuario no obtiene otra sucursal sinpermiso; equivalentes identificados.</x:v>
      </x:c>
      <x:c r="F434" s="13" t="str">
        <x:v>Fuentes: modules/Finance/Routes/web.php; modules/Report/Routes/web.php; modules/Dashboard; resources/views/pdf/partials/document_fiscal_totals.blade.php
Entrada: Caja; Finanzas → cuentas por cobrar/pagos/global/balance; Reportes/Dashboard</x:v>
      </x:c>
    </x:row>
    <x:row r="435" ht="144" customHeight="1">
      <x:c r="A435" s="13" t="str">
        <x:v>QA-FIN-007</x:v>
      </x:c>
      <x:c r="B435" s="13" t="str">
        <x:v>Todos los reportes de ventas</x:v>
      </x:c>
      <x:c r="C435" s="13" t="str">
        <x:v>Libro independiente: venta 116 VES, pago real 30, IVA aplicada válida 12 y fondo 10: saldo 64/caja 30. Confirmación/control/referencia coincidentes y perfil/soporte/UUID para retención; fixtureUSD+IGTF con emisor SPE vigente y moneda recibida USD/none explícita. Si IVA sólo prevista/pendiente saldo 76; no usar previsión como aplicación.
Menú Reportes relacionado con facturación inventariado</x:v>
      </x:c>
      <x:c r="D435" s="13" t="str">
        <x:v>1. Crear QA-EXT por reporte y formato disponible
2. Usar control independiente de corrida
3. Validar filtros/tipos/estados/símbolos</x:v>
      </x:c>
      <x:c r="E435" s="13" t="str">
        <x:v>Ningún reporte se omite por probar otro; no presenta Boleta, impuestos retirados ni aceptación SUNAT. Reporte externo con encabezado contractual IGV se documenta.</x:v>
      </x:c>
      <x:c r="F435" s="13" t="str">
        <x:v>Fuentes: modules/Finance/Routes/web.php; modules/Report/Routes/web.php; modules/Dashboard; resources/views/pdf/partials/document_fiscal_totals.blade.php
Entrada: Caja; Finanzas → cuentas por cobrar/pagos/global/balance; Reportes/Dashboard</x:v>
      </x:c>
    </x:row>
    <x:row r="436" ht="144" customHeight="1">
      <x:c r="A436" s="13" t="str">
        <x:v>QA-FIN-008</x:v>
      </x:c>
      <x:c r="B436" s="13" t="str">
        <x:v>Histórico con tasa actual distinta</x:v>
      </x:c>
      <x:c r="C436" s="13" t="str">
        <x:v>Libro independiente: venta 116 VES, pago real 30, IVA aplicada válida 12 y fondo 10: saldo 64/caja 30. Confirmación/control/referencia coincidentes y perfil/soporte/UUID para retención; fixtureUSD+IGTF con emisor SPE vigente y moneda recibida USD/none explícita. Si IVA sólo prevista/pendiente saldo 76; no usar previsión como aplicación.
Factura USD y pago tasa propia congelados</x:v>
      </x:c>
      <x:c r="D436" s="13" t="str">
        <x:v>1. Cambiar catálogo tasa en QA
2. Reimprimir/exportar
3. Comparar equivalentes guardados</x:v>
      </x:c>
      <x:c r="E436" s="13" t="str">
        <x:v>Histórico usa tasas documento/pago congeladas, no catálogo vigente; conversión se muestra con moneda/fuente trazable.</x:v>
      </x:c>
      <x:c r="F436" s="13" t="str">
        <x:v>Fuentes: modules/Finance/Routes/web.php; modules/Report/Routes/web.php; modules/Dashboard; resources/views/pdf/partials/document_fiscal_totals.blade.php
Entrada: Caja; Finanzas → cuentas por cobrar/pagos/global/balance; Reportes/Dashboard</x:v>
      </x:c>
    </x:row>
    <x:row r="437" ht="144" customHeight="1">
      <x:c r="A437" s="13" t="str">
        <x:v>QA-FIN-009</x:v>
      </x:c>
      <x:c r="B437" s="13" t="str">
        <x:v>Estados anulados y notas en reportes</x:v>
      </x:c>
      <x:c r="C437" s="13" t="str">
        <x:v>Libro independiente: venta 116 VES, pago real 30, IVA aplicada válida 12 y fondo 10: saldo 64/caja 30. Confirmación/control/referencia coincidentes y perfil/soporte/UUID para retención; fixtureUSD+IGTF con emisor SPE vigente y moneda recibida USD/none explícita. Si IVA sólo prevista/pendiente saldo 76; no usar previsión como aplicación.
Factura original/NC/ND/anulado fixtures</x:v>
      </x:c>
      <x:c r="D437" s="13" t="str">
        <x:v>1. Registrar corrida, tenant/sucursal/usuario y los IDs concretos de los fixtures del grupo. Verificar precondiciones específicas; anotar bloqueos antes de actuar.
2. Capturar línea base y esperado independiente: documentos/identidad/emisión y efectos de pagos, aplicaciones, inventario, archivos o red que esta prueba pueda cambiar.
3. Leer reporte de ventas,saldos y Kardex.
4. Exportar.
5. Conciliar ajustes contra referencia.
6. Recargar/reabrir o consultar desde una segunda lectura autorizada; contrastar resultado inmediato y persistido con los criterios siguientes. No repetir creación/envío con resultado desconocido sin conciliar primero.</x:v>
      </x:c>
      <x:c r="E437" s="13" t="str">
        <x:v>Tratamiento correcto del estado/ajuste y política de cada reporte, sin contar nota como otra Factura ordinaria ni devolución física por ajustes monetarios.</x:v>
      </x:c>
      <x:c r="F437" s="13" t="str">
        <x:v>[modules/Finance/Routes/web.php](../../modules/Finance/Routes/web.php), [modules/Report/Routes/web.php](../../modules/Report/Routes/web.php), [modules/Dashboard](../../modules/Dashboard), [resources/views/pdf/partials/document_fiscal_totals.blade.php](../../resources/views/pdf/partials/document_fiscal_totals.blade.php)
Efectos posteriores: comprobar la identidad y relaciones del fixture, la población de registros y diferencias respecto a la línea base. En mutaciones negativas, acreditar cero efectos indebidos; en concurrencia, conservar ambas respuestas y conteos finales. En pruebas fiscales, separar guardado comercial, estado HKA, PDF y correo. Aplicar únicamente los controles pertinentes al alcance de este caso.
Evidencia: captura de la acción/resultado si hay UI; petición/respuesta saneadas si hay HTTP; lectura antes/después y cálculo independiente cuando afecta dinero/stock; archivo/render/QR cuando el caso trata PDF; log y contador del proveedor si usa doble. Identificar expresamente si hubo Real DEMO. Registrar rutas recuperables por variante.
Contrato actualizado: ND anulada saldo0 modelo/SQL; NC/ND siguen estado vigente según journal. Durante anulación uncertain/comercial13 conservar crédito/stock; completed libera una sola vez.</x:v>
      </x:c>
    </x:row>
    <x:row r="438" ht="144" customHeight="1">
      <x:c r="A438" s="13" t="str">
        <x:v>QA-FIN-010</x:v>
      </x:c>
      <x:c r="B438" s="13" t="str">
        <x:v>Límites de fechas y zona horaria</x:v>
      </x:c>
      <x:c r="C438" s="13" t="str">
        <x:v>Libro independiente: venta 116 VES, pago real 30, IVA aplicada válida 12 y fondo 10: saldo 64/caja 30. Confirmación/control/referencia coincidentes y perfil/soporte/UUID para retención; fixtureUSD+IGTF con emisor SPE vigente y moneda recibida USD/none explícita. Si IVA sólo prevista/pendiente saldo 76; no usar previsión como aplicación.
Movimientos QA antes/después medianoche Caracas</x:v>
      </x:c>
      <x:c r="D438" s="13" t="str">
        <x:v>1. Filtrar día/mes extremos
2. Exportar
3. Leer fechas en respuesta/DB</x:v>
      </x:c>
      <x:c r="E438" s="13" t="str">
        <x:v>Cortecorrespondeazona Caracas y fecha contractual; no se usa UTC sin convertir para excluir movimientos locales.</x:v>
      </x:c>
      <x:c r="F438" s="13" t="str">
        <x:v>Fuentes: modules/Finance/Routes/web.php; modules/Report/Routes/web.php; modules/Dashboard; resources/views/pdf/partials/document_fiscal_totals.blade.php
Entrada: Caja; Finanzas → cuentas por cobrar/pagos/global/balance; Reportes/Dashboard</x:v>
      </x:c>
    </x:row>
    <x:row r="439" ht="56" customHeight="1">
      <x:c r="A439" s="13" t="str">
        <x:v>QA-SEG-001</x:v>
      </x:c>
      <x:c r="B439" s="13" t="str">
        <x:v>Dos tenants con IDs iguales</x:v>
      </x:c>
      <x:c r="C439" s="13" t="str">
        <x:v>QA-A/QA-B con ID scoincidentes; S 1/S 2; visitante,vendedor,administrador,integrador. Pruebas controladas en QA.
Documento ID 25 en A/B con datos distintos</x:v>
      </x:c>
      <x:c r="D439" s="13" t="str">
        <x:v>1. Acceder con usuario A
2. Cambiar hostname/ID/external_id a B
3. Repetir PDF/cobro/consulta</x:v>
      </x:c>
      <x:c r="E439" s="13" t="str">
        <x:v>No accede Bni muta B; ninguna autenticación HKA ajena. Medir base/HTTP, no sólo código 403.</x:v>
      </x:c>
      <x:c r="F439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40" ht="56" customHeight="1">
      <x:c r="A440" s="13" t="str">
        <x:v>QA-SEG-002</x:v>
      </x:c>
      <x:c r="B440" s="13" t="str">
        <x:v>Sucursal ajena</x:v>
      </x:c>
      <x:c r="C440" s="13" t="str">
        <x:v>QA-A/QA-B con ID scoincidentes; S 1/S 2; visitante,vendedor,administrador,integrador. Pruebas controladas en QA.
Vendedor S 1 y documento S 2</x:v>
      </x:c>
      <x:c r="D440" s="13" t="str">
        <x:v>1. Consultar/editar/cobrar/retener/enviar/descargar S 2
2. Repetir AJAX
3. Comparar red y datos</x:v>
      </x:c>
      <x:c r="E440" s="13" t="str">
        <x:v>Alcance vigente se aplica en cada endpoint; administrador tiene alcance permitido. Rechazo antes de HKA/persistencia.</x:v>
      </x:c>
      <x:c r="F440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41" ht="56" customHeight="1">
      <x:c r="A441" s="13" t="str">
        <x:v>QA-SEG-003</x:v>
      </x:c>
      <x:c r="B441" s="13" t="str">
        <x:v>Visitante y sesión expirada</x:v>
      </x:c>
      <x:c r="C441" s="13" t="str">
        <x:v>QA-A/QA-B con ID scoincidentes; S 1/S 2; visitante,vendedor,administrador,integrador. Pruebas controladas en QA.
Documentos QA existentes</x:v>
      </x:c>
      <x:c r="D441" s="13" t="str">
        <x:v>1. Abrir rutas web/API privadas sin sesión/token
2. Expirar sesión con borrador
3. Intentar mutación</x:v>
      </x:c>
      <x:c r="E441" s="13" t="str">
        <x:v>Sin escrituras ni autenticar HKA; sesión expirada permite recuperación controlada del borrador sin duplicar venta.</x:v>
      </x:c>
      <x:c r="F441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42" ht="56" customHeight="1">
      <x:c r="A442" s="13" t="str">
        <x:v>QA-SEG-004</x:v>
      </x:c>
      <x:c r="B442" s="13" t="str">
        <x:v>CSRF y verbos de HKA</x:v>
      </x:c>
      <x:c r="C442" s="13" t="str">
        <x:v>QA-A/QA-B con ID scoincidentes; S 1/S 2; visitante,vendedor,administrador,integrador. Pruebas controladas en QA.
Sesión QA y doble HKA</x:v>
      </x:c>
      <x:c r="D442" s="13" t="str">
        <x:v>1. Enviar POST sin sesión/token CSRF válido
2. Intentar GET send/query donde mutación POST
3. Medir red</x:v>
      </x:c>
      <x:c r="E442" s="13" t="str">
        <x:v>Mutaciones web requieren contrato CSRF/autenticación; no se ejecutan por GET accidental.</x:v>
      </x:c>
      <x:c r="F442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43" ht="56" customHeight="1">
      <x:c r="A443" s="13" t="str">
        <x:v>QA-SEG-005</x:v>
      </x:c>
      <x:c r="B443" s="13" t="str">
        <x:v>Integrador y permisos de usuario</x:v>
      </x:c>
      <x:c r="C443" s="13" t="str">
        <x:v>QA-A/QA-B con ID scoincidentes; S 1/S 2; visitante,vendedor,administrador,integrador. Pruebas controladas en QA.
Usuario de tipo integrador y vendedor restringido</x:v>
      </x:c>
      <x:c r="D443" s="13" t="str">
        <x:v>1. Abrir creación/listado
2. Intentar acciones directas fuera de alcance
3. Leer resultado</x:v>
      </x:c>
      <x:c r="E443" s="13" t="str">
        <x:v>Integrador respeta su capacidad; restricciones actuales no se ve nc en por URL directa o atributos type/establishment en payload.</x:v>
      </x:c>
      <x:c r="F443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44" ht="56" customHeight="1">
      <x:c r="A444" s="13" t="str">
        <x:v>QA-SEG-006</x:v>
      </x:c>
      <x:c r="B444" s="13" t="str">
        <x:v>Enlace público digital con UUID</x:v>
      </x:c>
      <x:c r="C444" s="13" t="str">
        <x:v>QA-A/QA-B con ID scoincidentes; S 1/S 2; visitante,vendedor,administrador,integrador. Pruebas controladas en QA.
PDF HKA guardado o ausente</x:v>
      </x:c>
      <x:c r="D444" s="13" t="str">
        <x:v>1. Abrir enlace público A4/A5 legítimo
2. Probar UUID ajeno/inexistente
3. Contar HTTP HKA</x:v>
      </x:c>
      <x:c r="E444" s="13" t="str">
        <x:v>Enlace público sólo entrega copia HKA validada/disponible según capacidad real; nunca autentica y descarga HKA sin sesión autorizada.</x:v>
      </x:c>
      <x:c r="F444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45" ht="56" customHeight="1">
      <x:c r="A445" s="13" t="str">
        <x:v>QA-SEG-007</x:v>
      </x:c>
      <x:c r="B445" s="13" t="str">
        <x:v>Nombre de archivo no es acceso</x:v>
      </x:c>
      <x:c r="C445" s="13" t="str">
        <x:v>QA-A/QA-B con ID scoincidentes; S 1/S 2; visitante,vendedor,administrador,integrador. Pruebas controladas en QA.
Nombre visible duplicado en S 1/S 2</x:v>
      </x:c>
      <x:c r="D445" s="13" t="str">
        <x:v>1. Intentar descarga por archivo/ID de otra sucursal
2. Comparar bytes devueltos
3. Leer autorización</x:v>
      </x:c>
      <x:c r="E445" s="13" t="str">
        <x:v>Servicio resuelve documento/contexto antes de nombre; filename visible no cambia alcance.</x:v>
      </x:c>
      <x:c r="F445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46" ht="56" customHeight="1">
      <x:c r="A446" s="13" t="str">
        <x:v>QA-SEG-008</x:v>
      </x:c>
      <x:c r="B446" s="13" t="str">
        <x:v>XSS en textos y diagnósticos</x:v>
      </x:c>
      <x:c r="C446" s="13" t="str">
        <x:v>QA-A/QA-B con ID scoincidentes; S 1/S 2; visitante,vendedor,administrador,integrador. Pruebas controladas en QA.
Textos QA con etiquetas inocuas demarcación</x:v>
      </x:c>
      <x:c r="D446" s="13" t="str">
        <x:v>1. Guardar nombre/observación/desc/diagnóstico simulados
2. Abrir listado/detalle/PDF
3. Observar DOM</x:v>
      </x:c>
      <x:c r="E446" s="13" t="str">
        <x:v>Texto escapado/sanitizado según campo; sin ejecución script o HTML en motivos. No afecta otros usuarios reales.</x:v>
      </x:c>
      <x:c r="F446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47" ht="56" customHeight="1">
      <x:c r="A447" s="13" t="str">
        <x:v>QA-SEG-009</x:v>
      </x:c>
      <x:c r="B447" s="13" t="str">
        <x:v>Archivos y URLs no autorizadas</x:v>
      </x:c>
      <x:c r="C447" s="13" t="str">
        <x:v>QA-A/QA-B con ID scoincidentes; S 1/S 2; visitante,vendedor,administrador,integrador. Pruebas controladas en QA.
Uploads/adjuntos del flujo</x:v>
      </x:c>
      <x:c r="D447" s="13" t="str">
        <x:v>1. Enviar referencia externa/ruta absoluta/../
2. Repetir archivo ajeno
3. Medir lectura de red/disco controlada</x:v>
      </x:c>
      <x:c r="E447" s="13" t="str">
        <x:v>No se lee URL/ruta libre ni archivo de otro tenant; validación antes de abrir recurso prohibido.</x:v>
      </x:c>
      <x:c r="F447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48" ht="56" customHeight="1">
      <x:c r="A448" s="13" t="str">
        <x:v>QA-SEG-010</x:v>
      </x:c>
      <x:c r="B448" s="13" t="str">
        <x:v>Datos sanitizados en informes/logs</x:v>
      </x:c>
      <x:c r="C448" s="13" t="str">
        <x:v>QA-A/QA-B con ID scoincidentes; S 1/S 2; visitante,vendedor,administrador,integrador. Pruebas controladas en QA.
Fixture token secreto distingible</x:v>
      </x:c>
      <x:c r="D448" s="13" t="str">
        <x:v>1. Recorrer respuestas/logs/capturas propuestas
2. Buscar secreto literal localmente sin publicarlo
3. Sanear evidencias</x:v>
      </x:c>
      <x:c r="E448" s="13" t="str">
        <x:v>Informe no expone JWT/clave/credenciales/datos ajenos; diagnósticos funcionales conservados.</x:v>
      </x:c>
      <x:c r="F448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49" ht="56" customHeight="1">
      <x:c r="A449" s="13" t="str">
        <x:v>QA-SEG-011</x:v>
      </x:c>
      <x:c r="B449" s="13" t="str">
        <x:v>Carrera de autorización antes/después PDF</x:v>
      </x:c>
      <x:c r="C449" s="13" t="str">
        <x:v>QA-A/QA-B con ID scoincidentes; S 1/S 2; visitante,vendedor,administrador,integrador. Pruebas controladas en QA.
Usuario autorizado al iniciar y contexto invalidado en doble</x:v>
      </x:c>
      <x:c r="D449" s="13" t="str">
        <x:v>1. Retrasar descarga HTTP
2. Invalidar contexto/operación según fixture autorizado
3. Entregar PDF</x:v>
      </x:c>
      <x:c r="E449" s="13" t="str">
        <x:v>Servicio revalida contexto vigente antes y después de HTTP; no entrega archivo de operación invalidada.</x:v>
      </x:c>
      <x:c r="F449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50" ht="56" customHeight="1">
      <x:c r="A450" s="13" t="str">
        <x:v>QA-SEG-012</x:v>
      </x:c>
      <x:c r="B450" s="13" t="str">
        <x:v>Permisos de precios,descuentos y pagos</x:v>
      </x:c>
      <x:c r="C450" s="13" t="str">
        <x:v>QA-A/QA-B con ID scoincidentes; S 1/S 2; visitante,vendedor,administrador,integrador. Pruebas controladas en QA.
Vendedor con restricciones</x:v>
      </x:c>
      <x:c r="D450" s="13" t="str">
        <x:v>1. Enviar precio/descuento/created_payment/delete_payment manipulado
2. Consultar resultado
3. Comparar configuración efectiva</x:v>
      </x:c>
      <x:c r="E450" s="13" t="str">
        <x:v>Backend impone permisos vigentes; ausencia de guardia se reporta como defecto, no se admite por éxito de UI.</x:v>
      </x:c>
      <x:c r="F450" s="13" t="str">
        <x:v>Fuentes: app/Http/Controllers/Tenant/DocumentFiscalController.php; app/Http/Controllers/Tenant/DocumentPdfController.php; .codex/skills/mantener-seguridad-pro9/SKILL.md; informes/auditoria_seguridad_pro9.md
Entrada: Todas las rutas de creación/consulta/edición/cobro/retención/envío/descarga</x:v>
      </x:c>
    </x:row>
    <x:row r="451" ht="44" customHeight="1">
      <x:c r="A451" s="13" t="str">
        <x:v>QA-ROB-001</x:v>
      </x:c>
      <x:c r="B451" s="13" t="str">
        <x:v>Interrupción y recuperación de aplicación</x:v>
      </x:c>
      <x:c r="C451" s="13" t="str">
        <x:v>Volúmenes 1/20/100/200 QA, reloj controlado, dos procesos, assets actuales y registro completo.
Factura uncertain / pending y pago con UUID</x:v>
      </x:c>
      <x:c r="D451" s="13" t="str">
        <x:v>1. Reiniciar sólo proceso QA en fixture
2. Reabrir venta y consultar
3. Reintentar pago con misma clave</x:v>
      </x:c>
      <x:c r="E451" s="13" t="str">
        <x:v>Identidad y estado recuperables; no otra venta/pago/emisión por reinicio.</x:v>
      </x:c>
      <x:c r="F451" s="13" t="str">
        <x:v>Fuentes: tests/Unit/FiscalEmissionSchemaTest.php; tests/Support/fiscal_payment_concurrency_worker.php; tests/js; flujo completo de facturación
Entrada: Corrida integral QA yejecuciones independientes con proveedor simulado</x:v>
      </x:c>
    </x:row>
    <x:row r="452" ht="44" customHeight="1">
      <x:c r="A452" s="13" t="str">
        <x:v>QA-ROB-002</x:v>
      </x:c>
      <x:c r="B452" s="13" t="str">
        <x:v>Volumen y tiempos de listado</x:v>
      </x:c>
      <x:c r="C452" s="13" t="str">
        <x:v>Volúmenes 1/20/100/200 QA, reloj controlado, dos procesos, assets actuales y registro completo.
100/200 documentos QA, caché fría/caliente</x:v>
      </x:c>
      <x:c r="D452" s="13" t="str">
        <x:v>1. Medir carga/paginación/filtros y detalle
2. Contar consultas/calls HTTP
3. Comparar resultados</x:v>
      </x:c>
      <x:c r="E452" s="13" t="str">
        <x:v>Sin error/omisiones/mezcla datos; métricas p50/p95 consignadas frente al umbral acordado. No inventar SLA ni declararlo aprobado sin umbral.</x:v>
      </x:c>
      <x:c r="F452" s="13" t="str">
        <x:v>Fuentes: tests/Unit/FiscalEmissionSchemaTest.php; tests/Support/fiscal_payment_concurrency_worker.php; tests/js; flujo completo de facturación
Entrada: Corrida integral QA yejecuciones independientes con proveedor simulado</x:v>
      </x:c>
    </x:row>
    <x:row r="453" ht="44" customHeight="1">
      <x:c r="A453" s="13" t="str">
        <x:v>QA-ROB-003</x:v>
      </x:c>
      <x:c r="B453" s="13" t="str">
        <x:v>Documento extenso</x:v>
      </x:c>
      <x:c r="C453" s="13" t="str">
        <x:v>Volúmenes 1/20/100/200 QA, reloj controlado, dos procesos, assets actuales y registro completo.
200 líneas QA y descripciones largas</x:v>
      </x:c>
      <x:c r="D453" s="13" t="str">
        <x:v>1. Guardar con doble
2. Generar PDF multipágina
3. Conciliar todos importes y stock</x:v>
      </x:c>
      <x:c r="E453" s="13" t="str">
        <x:v>No se pierden líneas/decimales; cada página legible y totales únicos; si límite real menor, probar frontera registrada.</x:v>
      </x:c>
      <x:c r="F453" s="13" t="str">
        <x:v>Fuentes: tests/Unit/FiscalEmissionSchemaTest.php; tests/Support/fiscal_payment_concurrency_worker.php; tests/js; flujo completo de facturación
Entrada: Corrida integral QA yejecuciones independientes con proveedor simulado</x:v>
      </x:c>
    </x:row>
    <x:row r="454" ht="44" customHeight="1">
      <x:c r="A454" s="13" t="str">
        <x:v>QA-ROB-004</x:v>
      </x:c>
      <x:c r="B454" s="13" t="str">
        <x:v>Pruebas automatizadas aisladas</x:v>
      </x:c>
      <x:c r="C454" s="13" t="str">
        <x:v>Volúmenes 1/20/100/200 QA, reloj controlado, dos procesos, assets actuales y registro completo.
DB temporal/colas/mail/red seguros</x:v>
      </x:c>
      <x:c r="D454" s="13" t="str">
        <x:v>1. Seleccionar suites del anexo por caso
2. Ejecutar comandos verificados existentes
3. Guardar log resumido/versión/resultado</x:v>
      </x:c>
      <x:c r="E454" s="13" t="str">
        <x:v>Resultado automatizado está etiquetado por capas; test fuente/método no acreditan HTTP/navegador/DEMO real.</x:v>
      </x:c>
      <x:c r="F454" s="13" t="str">
        <x:v>Fuentes: tests/Unit/FiscalEmissionSchemaTest.php; tests/Support/fiscal_payment_concurrency_worker.php; tests/js; flujo completo de facturación
Entrada: Corrida integral QA yejecuciones independientes con proveedor simulado</x:v>
      </x:c>
    </x:row>
    <x:row r="455" ht="44" customHeight="1">
      <x:c r="A455" s="13" t="str">
        <x:v>QA-ROB-005</x:v>
      </x:c>
      <x:c r="B455" s="13" t="str">
        <x:v>Retest de defectos y regresión</x:v>
      </x:c>
      <x:c r="C455" s="13" t="str">
        <x:v>Volúmenes 1/20/100/200 QA, reloj controlado, dos procesos, assets actuales y registro completo.
Defecto corregido en commit nuevo</x:v>
      </x:c>
      <x:c r="D455" s="13" t="str">
        <x:v>1. Repetir el mismo caso/datos o clon documentado
2. Conservar resultado anterior
3. Ejecutar dependencias afectadas</x:v>
      </x:c>
      <x:c r="E455" s="13" t="str">
        <x:v>Historial Reprobó conservado y retest identificado; corrección aceptada con evidencia nueva, sin borrar fracaso previo.</x:v>
      </x:c>
      <x:c r="F455" s="13" t="str">
        <x:v>Fuentes: tests/Unit/FiscalEmissionSchemaTest.php; tests/Support/fiscal_payment_concurrency_worker.php; tests/js; flujo completo de facturación
Entrada: Corrida integral QA yejecuciones independientes con proveedor simulado</x:v>
      </x:c>
    </x:row>
    <x:row r="456" ht="44" customHeight="1">
      <x:c r="A456" s="13" t="str">
        <x:v>QA-ROB-006</x:v>
      </x:c>
      <x:c r="B456" s="13" t="str">
        <x:v>Informe final y conteos</x:v>
      </x:c>
      <x:c r="C456" s="13" t="str">
        <x:v>Volúmenes 1/20/100/200 QA, reloj controlado, dos procesos, assets actuales y registro completo.
Fin de corrida con resultados actualizados</x:v>
      </x:c>
      <x:c r="D456" s="13" t="str">
        <x:v>1. Validar filas pasadas/fallidas/bloqueadas/no aplica
2. Reconciliar conteos y matrices/opciones
3. Completar todas las secciones del informe</x:v>
      </x:c>
      <x:c r="E456" s="13" t="str">
        <x:v>Informe autónomo, estructurado, con evidencias/defectos/limitaciones/conclusión; cada resultado ejecutado dice Aprobó o Reprobó. No se declara sistema aprobado con P0 fallido o pendiente.</x:v>
      </x:c>
      <x:c r="F456" s="13" t="str">
        <x:v>Fuentes: tests/Unit/FiscalEmissionSchemaTest.php; tests/Support/fiscal_payment_concurrency_worker.php; tests/js; flujo completo de facturación
Entrada: Corrida integral QA yejecuciones independientes con proveedor simulado</x:v>
      </x:c>
    </x:row>
    <x:row r="457" ht="68" customHeight="1">
      <x:c r="A457" s="13" t="str">
        <x:v>QA-MAT-001</x:v>
      </x:c>
      <x:c r="B457" s="13" t="str">
        <x:v>Comprobantes web / 01 / identidad 0 Doc.sin.rif</x:v>
      </x:c>
      <x:c r="C457" s="13" t="str">
        <x:v>Un fixture por identidad doméstica activa, comprador autorizado, factura ordinaria 01/0101 o NV 80/nv. HKA en doble durante matriz comercial.
Cliente QA-0 activo; Comprobantes web habilitado; total 116; tipo 01; modo digital/demo del tenant.</x:v>
      </x:c>
      <x:c r="D457" s="13" t="str">
        <x:v>1. Abrir Comprobantes web; buscar y seleccionar cliente de identidad 0
2. Crear venta 01 ordinaria con P-G, serie autorizada y pago 116
3. Consultar número, cliente, moneda, total, saldo, pagos, inventario y estado fiscal</x:v>
      </x:c>
      <x:c r="E457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5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58" ht="68" customHeight="1">
      <x:c r="A458" s="13" t="str">
        <x:v>QA-MAT-002</x:v>
      </x:c>
      <x:c r="B458" s="13" t="str">
        <x:v>Comprobantes web / 01 / identidad 1 Venezolano</x:v>
      </x:c>
      <x:c r="C458" s="13" t="str">
        <x:v>Un fixture por identidad doméstica activa, comprador autorizado, factura ordinaria 01/0101 o NV 80/nv. HKA en doble durante matriz comercial.
Cliente QA-1 activo; Comprobantes web habilitado; total 116; tipo 01; modo digital/demo del tenant.</x:v>
      </x:c>
      <x:c r="D458" s="13" t="str">
        <x:v>1. Abrir Comprobantes web; buscar y seleccionar cliente de identidad 1
2. Crear venta 01 ordinaria con P-G, serie autorizada y pago 116
3. Consultar número, cliente, moneda, total, saldo, pagos, inventario y estado fiscal</x:v>
      </x:c>
      <x:c r="E458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5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59" ht="68" customHeight="1">
      <x:c r="A459" s="13" t="str">
        <x:v>QA-MAT-003</x:v>
      </x:c>
      <x:c r="B459" s="13" t="str">
        <x:v>Comprobantes web / 01 / identidad 6 Juridico</x:v>
      </x:c>
      <x:c r="C459" s="13" t="str">
        <x:v>Un fixture por identidad doméstica activa, comprador autorizado, factura ordinaria 01/0101 o NV 80/nv. HKA en doble durante matriz comercial.
Cliente QA-6 activo; Comprobantes web habilitado; total 116; tipo 01; modo digital/demo del tenant.</x:v>
      </x:c>
      <x:c r="D459" s="13" t="str">
        <x:v>1. Abrir Comprobantes web; buscar y seleccionar cliente de identidad 6
2. Crear venta 01 ordinaria con P-G, serie autorizada y pago 116
3. Consultar número, cliente, moneda, total, saldo, pagos, inventario y estado fiscal</x:v>
      </x:c>
      <x:c r="E459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5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60" ht="68" customHeight="1">
      <x:c r="A460" s="13" t="str">
        <x:v>QA-MAT-004</x:v>
      </x:c>
      <x:c r="B460" s="13" t="str">
        <x:v>Comprobantes web / 01 / identidad 7 Pasaporte</x:v>
      </x:c>
      <x:c r="C460" s="13" t="str">
        <x:v>Un fixture por identidad doméstica activa, comprador autorizado, factura ordinaria 01/0101 o NV 80/nv. HKA en doble durante matriz comercial.
Cliente QA-7 activo; Comprobantes web habilitado; total 116; tipo 01; modo digital/demo del tenant.</x:v>
      </x:c>
      <x:c r="D460" s="13" t="str">
        <x:v>1. Abrir Comprobantes web; buscar y seleccionar cliente de identidad 7
2. Crear venta 01 ordinaria con P-G, serie autorizada y pago 116
3. Consultar número, cliente, moneda, total, saldo, pagos, inventario y estado fiscal</x:v>
      </x:c>
      <x:c r="E460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6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61" ht="68" customHeight="1">
      <x:c r="A461" s="13" t="str">
        <x:v>QA-MAT-005</x:v>
      </x:c>
      <x:c r="B461" s="13" t="str">
        <x:v>Comprobantes web / 01 / identidad E Extranjero</x:v>
      </x:c>
      <x:c r="C461" s="13" t="str">
        <x:v>Un fixture por identidad doméstica activa, comprador autorizado, factura ordinaria 01/0101 o NV 80/nv. HKA en doble durante matriz comercial.
Cliente QA-E activo; Comprobantes web habilitado; total 116; tipo 01; modo digital/demo del tenant.</x:v>
      </x:c>
      <x:c r="D461" s="13" t="str">
        <x:v>1. Abrir Comprobantes web; buscar y seleccionar cliente de identidad E
2. Crear venta 01 ordinaria con P-G, serie autorizada y pago 116
3. Consultar número, cliente, moneda, total, saldo, pagos, inventario y estado fiscal</x:v>
      </x:c>
      <x:c r="E461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6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62" ht="68" customHeight="1">
      <x:c r="A462" s="13" t="str">
        <x:v>QA-MAT-006</x:v>
      </x:c>
      <x:c r="B462" s="13" t="str">
        <x:v>Comprobantes web / 01 / identidad C Comuna</x:v>
      </x:c>
      <x:c r="C462" s="13" t="str">
        <x:v>Un fixture por identidad doméstica activa, comprador autorizado, factura ordinaria 01/0101 o NV 80/nv. HKA en doble durante matriz comercial.
Cliente QA-C activo; Comprobantes web habilitado; total 116; tipo 01; modo digital/demo del tenant.</x:v>
      </x:c>
      <x:c r="D462" s="13" t="str">
        <x:v>1. Abrir Comprobantes web; buscar y seleccionar cliente de identidad C
2. Crear venta 01 ordinaria con P-G, serie autorizada y pago 116
3. Consultar número, cliente, moneda, total, saldo, pagos, inventario y estado fiscal</x:v>
      </x:c>
      <x:c r="E462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6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63" ht="68" customHeight="1">
      <x:c r="A463" s="13" t="str">
        <x:v>QA-MAT-007</x:v>
      </x:c>
      <x:c r="B463" s="13" t="str">
        <x:v>Comprobantes web / 01 / identidad G Gubernamental</x:v>
      </x:c>
      <x:c r="C463" s="13" t="str">
        <x:v>Un fixture por identidad doméstica activa, comprador autorizado, factura ordinaria 01/0101 o NV 80/nv. HKA en doble durante matriz comercial.
Cliente QA-G activo; Comprobantes web habilitado; total 116; tipo 01; modo digital/demo del tenant.</x:v>
      </x:c>
      <x:c r="D463" s="13" t="str">
        <x:v>1. Abrir Comprobantes web; buscar y seleccionar cliente de identidad G
2. Crear venta 01 ordinaria con P-G, serie autorizada y pago 116
3. Consultar número, cliente, moneda, total, saldo, pagos, inventario y estado fiscal</x:v>
      </x:c>
      <x:c r="E463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6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64" ht="68" customHeight="1">
      <x:c r="A464" s="13" t="str">
        <x:v>QA-MAT-008</x:v>
      </x:c>
      <x:c r="B464" s="13" t="str">
        <x:v>Comprobantes web / 01 / identidad R Firma Personal</x:v>
      </x:c>
      <x:c r="C464" s="13" t="str">
        <x:v>Un fixture por identidad doméstica activa, comprador autorizado, factura ordinaria 01/0101 o NV 80/nv. HKA en doble durante matriz comercial.
Cliente QA-R activo; Comprobantes web habilitado; total 116; tipo 01; modo digital/demo del tenant.</x:v>
      </x:c>
      <x:c r="D464" s="13" t="str">
        <x:v>1. Abrir Comprobantes web; buscar y seleccionar cliente de identidad R
2. Crear venta 01 ordinaria con P-G, serie autorizada y pago 116
3. Consultar número, cliente, moneda, total, saldo, pagos, inventario y estado fiscal</x:v>
      </x:c>
      <x:c r="E464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6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65" ht="68" customHeight="1">
      <x:c r="A465" s="13" t="str">
        <x:v>QA-MAT-009</x:v>
      </x:c>
      <x:c r="B465" s="13" t="str">
        <x:v>Comprobantes web / 80 / identidad 0 Doc.sin.rif</x:v>
      </x:c>
      <x:c r="C465" s="13" t="str">
        <x:v>Un fixture por identidad doméstica activa, comprador autorizado, factura ordinaria 01/0101 o NV 80/nv. HKA en doble durante matriz comercial.
Cliente QA-0 activo; Comprobantes web habilitado; total 116; tipo 80; modo digital/demo del tenant.</x:v>
      </x:c>
      <x:c r="D465" s="13" t="str">
        <x:v>1. Abrir Comprobantes web; buscar y seleccionar cliente de identidad 0
2. Crear venta 80 ordinaria con P-G, serie autorizada y pago 116
3. Consultar número, cliente, moneda, total, saldo, pagos, inventario y estado fiscal</x:v>
      </x:c>
      <x:c r="E465" s="13" t="str">
        <x:v>No existe restricción comercial por identidad 0 contra tipo 80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6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66" ht="68" customHeight="1">
      <x:c r="A466" s="13" t="str">
        <x:v>QA-MAT-010</x:v>
      </x:c>
      <x:c r="B466" s="13" t="str">
        <x:v>Comprobantes web / 80 / identidad 1 Venezolano</x:v>
      </x:c>
      <x:c r="C466" s="13" t="str">
        <x:v>Un fixture por identidad doméstica activa, comprador autorizado, factura ordinaria 01/0101 o NV 80/nv. HKA en doble durante matriz comercial.
Cliente QA-1 activo; Comprobantes web habilitado; total 116; tipo 80; modo digital/demo del tenant.</x:v>
      </x:c>
      <x:c r="D466" s="13" t="str">
        <x:v>1. Abrir Comprobantes web; buscar y seleccionar cliente de identidad 1
2. Crear venta 80 ordinaria con P-G, serie autorizada y pago 116
3. Consultar número, cliente, moneda, total, saldo, pagos, inventario y estado fiscal</x:v>
      </x:c>
      <x:c r="E466" s="13" t="str">
        <x:v>No existe restricción comercial por identidad 1 contra tipo 80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6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67" ht="68" customHeight="1">
      <x:c r="A467" s="13" t="str">
        <x:v>QA-MAT-011</x:v>
      </x:c>
      <x:c r="B467" s="13" t="str">
        <x:v>Comprobantes web / 80 / identidad 6 Juridico</x:v>
      </x:c>
      <x:c r="C467" s="13" t="str">
        <x:v>Un fixture por identidad doméstica activa, comprador autorizado, factura ordinaria 01/0101 o NV 80/nv. HKA en doble durante matriz comercial.
Cliente QA-6 activo; Comprobantes web habilitado; total 116; tipo 80; modo digital/demo del tenant.</x:v>
      </x:c>
      <x:c r="D467" s="13" t="str">
        <x:v>1. Abrir Comprobantes web; buscar y seleccionar cliente de identidad 6
2. Crear venta 80 ordinaria con P-G, serie autorizada y pago 116
3. Consultar número, cliente, moneda, total, saldo, pagos, inventario y estado fiscal</x:v>
      </x:c>
      <x:c r="E467" s="13" t="str">
        <x:v>No existe restricción comercial por identidad 6 contra tipo 80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6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68" ht="68" customHeight="1">
      <x:c r="A468" s="13" t="str">
        <x:v>QA-MAT-012</x:v>
      </x:c>
      <x:c r="B468" s="13" t="str">
        <x:v>Comprobantes web / 80 / identidad 7 Pasaporte</x:v>
      </x:c>
      <x:c r="C468" s="13" t="str">
        <x:v>Un fixture por identidad doméstica activa, comprador autorizado, factura ordinaria 01/0101 o NV 80/nv. HKA en doble durante matriz comercial.
Cliente QA-7 activo; Comprobantes web habilitado; total 116; tipo 80; modo digital/demo del tenant.</x:v>
      </x:c>
      <x:c r="D468" s="13" t="str">
        <x:v>1. Abrir Comprobantes web; buscar y seleccionar cliente de identidad 7
2. Crear venta 80 ordinaria con P-G, serie autorizada y pago 116
3. Consultar número, cliente, moneda, total, saldo, pagos, inventario y estado fiscal</x:v>
      </x:c>
      <x:c r="E468" s="13" t="str">
        <x:v>No existe restricción comercial por identidad 7 contra tipo 80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6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69" ht="68" customHeight="1">
      <x:c r="A469" s="13" t="str">
        <x:v>QA-MAT-013</x:v>
      </x:c>
      <x:c r="B469" s="13" t="str">
        <x:v>Comprobantes web / 80 / identidad E Extranjero</x:v>
      </x:c>
      <x:c r="C469" s="13" t="str">
        <x:v>Un fixture por identidad doméstica activa, comprador autorizado, factura ordinaria 01/0101 o NV 80/nv. HKA en doble durante matriz comercial.
Cliente QA-E activo; Comprobantes web habilitado; total 116; tipo 80; modo digital/demo del tenant.</x:v>
      </x:c>
      <x:c r="D469" s="13" t="str">
        <x:v>1. Abrir Comprobantes web; buscar y seleccionar cliente de identidad E
2. Crear venta 80 ordinaria con P-G, serie autorizada y pago 116
3. Consultar número, cliente, moneda, total, saldo, pagos, inventario y estado fiscal</x:v>
      </x:c>
      <x:c r="E469" s="13" t="str">
        <x:v>No existe restricción comercial por identidad E contra tipo 80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6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70" ht="68" customHeight="1">
      <x:c r="A470" s="13" t="str">
        <x:v>QA-MAT-014</x:v>
      </x:c>
      <x:c r="B470" s="13" t="str">
        <x:v>Comprobantes web / 80 / identidad C Comuna</x:v>
      </x:c>
      <x:c r="C470" s="13" t="str">
        <x:v>Un fixture por identidad doméstica activa, comprador autorizado, factura ordinaria 01/0101 o NV 80/nv. HKA en doble durante matriz comercial.
Cliente QA-C activo; Comprobantes web habilitado; total 116; tipo 80; modo digital/demo del tenant.</x:v>
      </x:c>
      <x:c r="D470" s="13" t="str">
        <x:v>1. Abrir Comprobantes web; buscar y seleccionar cliente de identidad C
2. Crear venta 80 ordinaria con P-G, serie autorizada y pago 116
3. Consultar número, cliente, moneda, total, saldo, pagos, inventario y estado fiscal</x:v>
      </x:c>
      <x:c r="E470" s="13" t="str">
        <x:v>No existe restricción comercial por identidad C contra tipo 80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7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71" ht="68" customHeight="1">
      <x:c r="A471" s="13" t="str">
        <x:v>QA-MAT-015</x:v>
      </x:c>
      <x:c r="B471" s="13" t="str">
        <x:v>Comprobantes web / 80 / identidad G Gubernamental</x:v>
      </x:c>
      <x:c r="C471" s="13" t="str">
        <x:v>Un fixture por identidad doméstica activa, comprador autorizado, factura ordinaria 01/0101 o NV 80/nv. HKA en doble durante matriz comercial.
Cliente QA-G activo; Comprobantes web habilitado; total 116; tipo 80; modo digital/demo del tenant.</x:v>
      </x:c>
      <x:c r="D471" s="13" t="str">
        <x:v>1. Abrir Comprobantes web; buscar y seleccionar cliente de identidad G
2. Crear venta 80 ordinaria con P-G, serie autorizada y pago 116
3. Consultar número, cliente, moneda, total, saldo, pagos, inventario y estado fiscal</x:v>
      </x:c>
      <x:c r="E471" s="13" t="str">
        <x:v>No existe restricción comercial por identidad G contra tipo 80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7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72" ht="68" customHeight="1">
      <x:c r="A472" s="13" t="str">
        <x:v>QA-MAT-016</x:v>
      </x:c>
      <x:c r="B472" s="13" t="str">
        <x:v>Comprobantes web / 80 / identidad R Firma Personal</x:v>
      </x:c>
      <x:c r="C472" s="13" t="str">
        <x:v>Un fixture por identidad doméstica activa, comprador autorizado, factura ordinaria 01/0101 o NV 80/nv. HKA en doble durante matriz comercial.
Cliente QA-R activo; Comprobantes web habilitado; total 116; tipo 80; modo digital/demo del tenant.</x:v>
      </x:c>
      <x:c r="D472" s="13" t="str">
        <x:v>1. Abrir Comprobantes web; buscar y seleccionar cliente de identidad R
2. Crear venta 80 ordinaria con P-G, serie autorizada y pago 116
3. Consultar número, cliente, moneda, total, saldo, pagos, inventario y estado fiscal</x:v>
      </x:c>
      <x:c r="E472" s="13" t="str">
        <x:v>No existe restricción comercial por identidad R contra tipo 80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7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73" ht="68" customHeight="1">
      <x:c r="A473" s="13" t="str">
        <x:v>QA-MAT-017</x:v>
      </x:c>
      <x:c r="B473" s="13" t="str">
        <x:v>POS / 01 / identidad 0 Doc.sin.rif</x:v>
      </x:c>
      <x:c r="C473" s="13" t="str">
        <x:v>Un fixture por identidad doméstica activa, comprador autorizado, factura ordinaria 01/0101 o NV 80/nv. HKA en doble durante matriz comercial.
Cliente QA-0 activo; POS habilitado; total 116; tipo 01; modo digital/demo del tenant.</x:v>
      </x:c>
      <x:c r="D473" s="13" t="str">
        <x:v>1. Abrir POS; buscar y seleccionar cliente de identidad 0
2. Crear venta 01 ordinaria con P-G, serie autorizada y pago 116
3. Consultar número, cliente, moneda, total, saldo, pagos, inventario y estado fiscal</x:v>
      </x:c>
      <x:c r="E473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7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74" ht="68" customHeight="1">
      <x:c r="A474" s="13" t="str">
        <x:v>QA-MAT-018</x:v>
      </x:c>
      <x:c r="B474" s="13" t="str">
        <x:v>POS / 01 / identidad 1 Venezolano</x:v>
      </x:c>
      <x:c r="C474" s="13" t="str">
        <x:v>Un fixture por identidad doméstica activa, comprador autorizado, factura ordinaria 01/0101 o NV 80/nv. HKA en doble durante matriz comercial.
Cliente QA-1 activo; POS habilitado; total 116; tipo 01; modo digital/demo del tenant.</x:v>
      </x:c>
      <x:c r="D474" s="13" t="str">
        <x:v>1. Abrir POS; buscar y seleccionar cliente de identidad 1
2. Crear venta 01 ordinaria con P-G, serie autorizada y pago 116
3. Consultar número, cliente, moneda, total, saldo, pagos, inventario y estado fiscal</x:v>
      </x:c>
      <x:c r="E474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7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75" ht="68" customHeight="1">
      <x:c r="A475" s="13" t="str">
        <x:v>QA-MAT-019</x:v>
      </x:c>
      <x:c r="B475" s="13" t="str">
        <x:v>POS / 01 / identidad 6 Juridico</x:v>
      </x:c>
      <x:c r="C475" s="13" t="str">
        <x:v>Un fixture por identidad doméstica activa, comprador autorizado, factura ordinaria 01/0101 o NV 80/nv. HKA en doble durante matriz comercial.
Cliente QA-6 activo; POS habilitado; total 116; tipo 01; modo digital/demo del tenant.</x:v>
      </x:c>
      <x:c r="D475" s="13" t="str">
        <x:v>1. Abrir POS; buscar y seleccionar cliente de identidad 6
2. Crear venta 01 ordinaria con P-G, serie autorizada y pago 116
3. Consultar número, cliente, moneda, total, saldo, pagos, inventario y estado fiscal</x:v>
      </x:c>
      <x:c r="E475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7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76" ht="68" customHeight="1">
      <x:c r="A476" s="13" t="str">
        <x:v>QA-MAT-020</x:v>
      </x:c>
      <x:c r="B476" s="13" t="str">
        <x:v>POS / 01 / identidad 7 Pasaporte</x:v>
      </x:c>
      <x:c r="C476" s="13" t="str">
        <x:v>Un fixture por identidad doméstica activa, comprador autorizado, factura ordinaria 01/0101 o NV 80/nv. HKA en doble durante matriz comercial.
Cliente QA-7 activo; POS habilitado; total 116; tipo 01; modo digital/demo del tenant.</x:v>
      </x:c>
      <x:c r="D476" s="13" t="str">
        <x:v>1. Abrir POS; buscar y seleccionar cliente de identidad 7
2. Crear venta 01 ordinaria con P-G, serie autorizada y pago 116
3. Consultar número, cliente, moneda, total, saldo, pagos, inventario y estado fiscal</x:v>
      </x:c>
      <x:c r="E476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7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77" ht="68" customHeight="1">
      <x:c r="A477" s="13" t="str">
        <x:v>QA-MAT-021</x:v>
      </x:c>
      <x:c r="B477" s="13" t="str">
        <x:v>POS / 01 / identidad E Extranjero</x:v>
      </x:c>
      <x:c r="C477" s="13" t="str">
        <x:v>Un fixture por identidad doméstica activa, comprador autorizado, factura ordinaria 01/0101 o NV 80/nv. HKA en doble durante matriz comercial.
Cliente QA-E activo; POS habilitado; total 116; tipo 01; modo digital/demo del tenant.</x:v>
      </x:c>
      <x:c r="D477" s="13" t="str">
        <x:v>1. Abrir POS; buscar y seleccionar cliente de identidad E
2. Crear venta 01 ordinaria con P-G, serie autorizada y pago 116
3. Consultar número, cliente, moneda, total, saldo, pagos, inventario y estado fiscal</x:v>
      </x:c>
      <x:c r="E477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7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78" ht="68" customHeight="1">
      <x:c r="A478" s="13" t="str">
        <x:v>QA-MAT-022</x:v>
      </x:c>
      <x:c r="B478" s="13" t="str">
        <x:v>POS / 01 / identidad C Comuna</x:v>
      </x:c>
      <x:c r="C478" s="13" t="str">
        <x:v>Un fixture por identidad doméstica activa, comprador autorizado, factura ordinaria 01/0101 o NV 80/nv. HKA en doble durante matriz comercial.
Cliente QA-C activo; POS habilitado; total 116; tipo 01; modo digital/demo del tenant.</x:v>
      </x:c>
      <x:c r="D478" s="13" t="str">
        <x:v>1. Abrir POS; buscar y seleccionar cliente de identidad C
2. Crear venta 01 ordinaria con P-G, serie autorizada y pago 116
3. Consultar número, cliente, moneda, total, saldo, pagos, inventario y estado fiscal</x:v>
      </x:c>
      <x:c r="E478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7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79" ht="68" customHeight="1">
      <x:c r="A479" s="13" t="str">
        <x:v>QA-MAT-023</x:v>
      </x:c>
      <x:c r="B479" s="13" t="str">
        <x:v>POS / 01 / identidad G Gubernamental</x:v>
      </x:c>
      <x:c r="C479" s="13" t="str">
        <x:v>Un fixture por identidad doméstica activa, comprador autorizado, factura ordinaria 01/0101 o NV 80/nv. HKA en doble durante matriz comercial.
Cliente QA-G activo; POS habilitado; total 116; tipo 01; modo digital/demo del tenant.</x:v>
      </x:c>
      <x:c r="D479" s="13" t="str">
        <x:v>1. Abrir POS; buscar y seleccionar cliente de identidad G
2. Crear venta 01 ordinaria con P-G, serie autorizada y pago 116
3. Consultar número, cliente, moneda, total, saldo, pagos, inventario y estado fiscal</x:v>
      </x:c>
      <x:c r="E479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7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80" ht="68" customHeight="1">
      <x:c r="A480" s="13" t="str">
        <x:v>QA-MAT-024</x:v>
      </x:c>
      <x:c r="B480" s="13" t="str">
        <x:v>POS / 01 / identidad R Firma Personal</x:v>
      </x:c>
      <x:c r="C480" s="13" t="str">
        <x:v>Un fixture por identidad doméstica activa, comprador autorizado, factura ordinaria 01/0101 o NV 80/nv. HKA en doble durante matriz comercial.
Cliente QA-R activo; POS habilitado; total 116; tipo 01; modo digital/demo del tenant.</x:v>
      </x:c>
      <x:c r="D480" s="13" t="str">
        <x:v>1. Abrir POS; buscar y seleccionar cliente de identidad R
2. Crear venta 01 ordinaria con P-G, serie autorizada y pago 116
3. Consultar número, cliente, moneda, total, saldo, pagos, inventario y estado fiscal</x:v>
      </x:c>
      <x:c r="E480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8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81" ht="68" customHeight="1">
      <x:c r="A481" s="13" t="str">
        <x:v>QA-MAT-025</x:v>
      </x:c>
      <x:c r="B481" s="13" t="str">
        <x:v>POS / 80 / identidad 0 Doc.sin.rif</x:v>
      </x:c>
      <x:c r="C481" s="13" t="str">
        <x:v>Un fixture por identidad doméstica activa, comprador autorizado, factura ordinaria 01/0101 o NV 80/nv. HKA en doble durante matriz comercial.
Cliente QA-0 activo; POS habilitado; total 116; tipo 80; modo digital/demo del tenant.</x:v>
      </x:c>
      <x:c r="D481" s="13" t="str">
        <x:v>1. Abrir POS; buscar y seleccionar cliente de identidad 0
2. Crear venta 80 ordinaria con P-G, serie autorizada y pago 116
3. Consultar número, cliente, moneda, total, saldo, pagos, inventario y estado fiscal</x:v>
      </x:c>
      <x:c r="E481" s="13" t="str">
        <x:v>No existe restricción comercial por identidad 0 contra tipo 80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8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82" ht="68" customHeight="1">
      <x:c r="A482" s="13" t="str">
        <x:v>QA-MAT-026</x:v>
      </x:c>
      <x:c r="B482" s="13" t="str">
        <x:v>POS / 80 / identidad 1 Venezolano</x:v>
      </x:c>
      <x:c r="C482" s="13" t="str">
        <x:v>Un fixture por identidad doméstica activa, comprador autorizado, factura ordinaria 01/0101 o NV 80/nv. HKA en doble durante matriz comercial.
Cliente QA-1 activo; POS habilitado; total 116; tipo 80; modo digital/demo del tenant.</x:v>
      </x:c>
      <x:c r="D482" s="13" t="str">
        <x:v>1. Abrir POS; buscar y seleccionar cliente de identidad 1
2. Crear venta 80 ordinaria con P-G, serie autorizada y pago 116
3. Consultar número, cliente, moneda, total, saldo, pagos, inventario y estado fiscal</x:v>
      </x:c>
      <x:c r="E482" s="13" t="str">
        <x:v>No existe restricción comercial por identidad 1 contra tipo 80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8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83" ht="68" customHeight="1">
      <x:c r="A483" s="13" t="str">
        <x:v>QA-MAT-027</x:v>
      </x:c>
      <x:c r="B483" s="13" t="str">
        <x:v>POS / 80 / identidad 6 Juridico</x:v>
      </x:c>
      <x:c r="C483" s="13" t="str">
        <x:v>Un fixture por identidad doméstica activa, comprador autorizado, factura ordinaria 01/0101 o NV 80/nv. HKA en doble durante matriz comercial.
Cliente QA-6 activo; POS habilitado; total 116; tipo 80; modo digital/demo del tenant.</x:v>
      </x:c>
      <x:c r="D483" s="13" t="str">
        <x:v>1. Abrir POS; buscar y seleccionar cliente de identidad 6
2. Crear venta 80 ordinaria con P-G, serie autorizada y pago 116
3. Consultar número, cliente, moneda, total, saldo, pagos, inventario y estado fiscal</x:v>
      </x:c>
      <x:c r="E483" s="13" t="str">
        <x:v>No existe restricción comercial por identidad 6 contra tipo 80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8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84" ht="68" customHeight="1">
      <x:c r="A484" s="13" t="str">
        <x:v>QA-MAT-028</x:v>
      </x:c>
      <x:c r="B484" s="13" t="str">
        <x:v>POS / 80 / identidad 7 Pasaporte</x:v>
      </x:c>
      <x:c r="C484" s="13" t="str">
        <x:v>Un fixture por identidad doméstica activa, comprador autorizado, factura ordinaria 01/0101 o NV 80/nv. HKA en doble durante matriz comercial.
Cliente QA-7 activo; POS habilitado; total 116; tipo 80; modo digital/demo del tenant.</x:v>
      </x:c>
      <x:c r="D484" s="13" t="str">
        <x:v>1. Abrir POS; buscar y seleccionar cliente de identidad 7
2. Crear venta 80 ordinaria con P-G, serie autorizada y pago 116
3. Consultar número, cliente, moneda, total, saldo, pagos, inventario y estado fiscal</x:v>
      </x:c>
      <x:c r="E484" s="13" t="str">
        <x:v>No existe restricción comercial por identidad 7 contra tipo 80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8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85" ht="68" customHeight="1">
      <x:c r="A485" s="13" t="str">
        <x:v>QA-MAT-029</x:v>
      </x:c>
      <x:c r="B485" s="13" t="str">
        <x:v>POS / 80 / identidad E Extranjero</x:v>
      </x:c>
      <x:c r="C485" s="13" t="str">
        <x:v>Un fixture por identidad doméstica activa, comprador autorizado, factura ordinaria 01/0101 o NV 80/nv. HKA en doble durante matriz comercial.
Cliente QA-E activo; POS habilitado; total 116; tipo 80; modo digital/demo del tenant.</x:v>
      </x:c>
      <x:c r="D485" s="13" t="str">
        <x:v>1. Abrir POS; buscar y seleccionar cliente de identidad E
2. Crear venta 80 ordinaria con P-G, serie autorizada y pago 116
3. Consultar número, cliente, moneda, total, saldo, pagos, inventario y estado fiscal</x:v>
      </x:c>
      <x:c r="E485" s="13" t="str">
        <x:v>No existe restricción comercial por identidad E contra tipo 80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8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86" ht="68" customHeight="1">
      <x:c r="A486" s="13" t="str">
        <x:v>QA-MAT-030</x:v>
      </x:c>
      <x:c r="B486" s="13" t="str">
        <x:v>POS / 80 / identidad C Comuna</x:v>
      </x:c>
      <x:c r="C486" s="13" t="str">
        <x:v>Un fixture por identidad doméstica activa, comprador autorizado, factura ordinaria 01/0101 o NV 80/nv. HKA en doble durante matriz comercial.
Cliente QA-C activo; POS habilitado; total 116; tipo 80; modo digital/demo del tenant.</x:v>
      </x:c>
      <x:c r="D486" s="13" t="str">
        <x:v>1. Abrir POS; buscar y seleccionar cliente de identidad C
2. Crear venta 80 ordinaria con P-G, serie autorizada y pago 116
3. Consultar número, cliente, moneda, total, saldo, pagos, inventario y estado fiscal</x:v>
      </x:c>
      <x:c r="E486" s="13" t="str">
        <x:v>No existe restricción comercial por identidad C contra tipo 80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8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87" ht="68" customHeight="1">
      <x:c r="A487" s="13" t="str">
        <x:v>QA-MAT-031</x:v>
      </x:c>
      <x:c r="B487" s="13" t="str">
        <x:v>POS / 80 / identidad G Gubernamental</x:v>
      </x:c>
      <x:c r="C487" s="13" t="str">
        <x:v>Un fixture por identidad doméstica activa, comprador autorizado, factura ordinaria 01/0101 o NV 80/nv. HKA en doble durante matriz comercial.
Cliente QA-G activo; POS habilitado; total 116; tipo 80; modo digital/demo del tenant.</x:v>
      </x:c>
      <x:c r="D487" s="13" t="str">
        <x:v>1. Abrir POS; buscar y seleccionar cliente de identidad G
2. Crear venta 80 ordinaria con P-G, serie autorizada y pago 116
3. Consultar número, cliente, moneda, total, saldo, pagos, inventario y estado fiscal</x:v>
      </x:c>
      <x:c r="E487" s="13" t="str">
        <x:v>No existe restricción comercial por identidad G contra tipo 80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8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88" ht="68" customHeight="1">
      <x:c r="A488" s="13" t="str">
        <x:v>QA-MAT-032</x:v>
      </x:c>
      <x:c r="B488" s="13" t="str">
        <x:v>POS / 80 / identidad R Firma Personal</x:v>
      </x:c>
      <x:c r="C488" s="13" t="str">
        <x:v>Un fixture por identidad doméstica activa, comprador autorizado, factura ordinaria 01/0101 o NV 80/nv. HKA en doble durante matriz comercial.
Cliente QA-R activo; POS habilitado; total 116; tipo 80; modo digital/demo del tenant.</x:v>
      </x:c>
      <x:c r="D488" s="13" t="str">
        <x:v>1. Abrir POS; buscar y seleccionar cliente de identidad R
2. Crear venta 80 ordinaria con P-G, serie autorizada y pago 116
3. Consultar número, cliente, moneda, total, saldo, pagos, inventario y estado fiscal</x:v>
      </x:c>
      <x:c r="E488" s="13" t="str">
        <x:v>No existe restricción comercial por identidad R contra tipo 80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8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89" ht="68" customHeight="1">
      <x:c r="A489" s="13" t="str">
        <x:v>QA-MAT-033</x:v>
      </x:c>
      <x:c r="B489" s="13" t="str">
        <x:v>Vende Ya / Garage / 01 / identidad 0 Doc.sin.rif</x:v>
      </x:c>
      <x:c r="C489" s="13" t="str">
        <x:v>Un fixture por identidad doméstica activa, comprador autorizado, factura ordinaria 01/0101 o NV 80/nv. HKA en doble durante matriz comercial.
Cliente QA-0 activo; Vende Ya / Garage habilitado; total 116; tipo 01; modo digital/demo del tenant.</x:v>
      </x:c>
      <x:c r="D489" s="13" t="str">
        <x:v>1. Abrir Vende Ya / Garage; buscar y seleccionar cliente de identidad 0
2. Crear venta 01 ordinaria con P-G, serie autorizada y pago 116
3. Consultar número, cliente, moneda, total, saldo, pagos, inventario y estado fiscal</x:v>
      </x:c>
      <x:c r="E489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8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90" ht="68" customHeight="1">
      <x:c r="A490" s="13" t="str">
        <x:v>QA-MAT-034</x:v>
      </x:c>
      <x:c r="B490" s="13" t="str">
        <x:v>Vende Ya / Garage / 01 / identidad 1 Venezolano</x:v>
      </x:c>
      <x:c r="C490" s="13" t="str">
        <x:v>Un fixture por identidad doméstica activa, comprador autorizado, factura ordinaria 01/0101 o NV 80/nv. HKA en doble durante matriz comercial.
Cliente QA-1 activo; Vende Ya / Garage habilitado; total 116; tipo 01; modo digital/demo del tenant.</x:v>
      </x:c>
      <x:c r="D490" s="13" t="str">
        <x:v>1. Abrir Vende Ya / Garage; buscar y seleccionar cliente de identidad 1
2. Crear venta 01 ordinaria con P-G, serie autorizada y pago 116
3. Consultar número, cliente, moneda, total, saldo, pagos, inventario y estado fiscal</x:v>
      </x:c>
      <x:c r="E490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9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91" ht="68" customHeight="1">
      <x:c r="A491" s="13" t="str">
        <x:v>QA-MAT-035</x:v>
      </x:c>
      <x:c r="B491" s="13" t="str">
        <x:v>Vende Ya / Garage / 01 / identidad 6 Juridico</x:v>
      </x:c>
      <x:c r="C491" s="13" t="str">
        <x:v>Un fixture por identidad doméstica activa, comprador autorizado, factura ordinaria 01/0101 o NV 80/nv. HKA en doble durante matriz comercial.
Cliente QA-6 activo; Vende Ya / Garage habilitado; total 116; tipo 01; modo digital/demo del tenant.</x:v>
      </x:c>
      <x:c r="D491" s="13" t="str">
        <x:v>1. Abrir Vende Ya / Garage; buscar y seleccionar cliente de identidad 6
2. Crear venta 01 ordinaria con P-G, serie autorizada y pago 116
3. Consultar número, cliente, moneda, total, saldo, pagos, inventario y estado fiscal</x:v>
      </x:c>
      <x:c r="E491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9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92" ht="68" customHeight="1">
      <x:c r="A492" s="13" t="str">
        <x:v>QA-MAT-036</x:v>
      </x:c>
      <x:c r="B492" s="13" t="str">
        <x:v>Vende Ya / Garage / 01 / identidad 7 Pasaporte</x:v>
      </x:c>
      <x:c r="C492" s="13" t="str">
        <x:v>Un fixture por identidad doméstica activa, comprador autorizado, factura ordinaria 01/0101 o NV 80/nv. HKA en doble durante matriz comercial.
Cliente QA-7 activo; Vende Ya / Garage habilitado; total 116; tipo 01; modo digital/demo del tenant.</x:v>
      </x:c>
      <x:c r="D492" s="13" t="str">
        <x:v>1. Abrir Vende Ya / Garage; buscar y seleccionar cliente de identidad 7
2. Crear venta 01 ordinaria con P-G, serie autorizada y pago 116
3. Consultar número, cliente, moneda, total, saldo, pagos, inventario y estado fiscal</x:v>
      </x:c>
      <x:c r="E492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9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93" ht="68" customHeight="1">
      <x:c r="A493" s="13" t="str">
        <x:v>QA-MAT-037</x:v>
      </x:c>
      <x:c r="B493" s="13" t="str">
        <x:v>Vende Ya / Garage / 01 / identidad E Extranjero</x:v>
      </x:c>
      <x:c r="C493" s="13" t="str">
        <x:v>Un fixture por identidad doméstica activa, comprador autorizado, factura ordinaria 01/0101 o NV 80/nv. HKA en doble durante matriz comercial.
Cliente QA-E activo; Vende Ya / Garage habilitado; total 116; tipo 01; modo digital/demo del tenant.</x:v>
      </x:c>
      <x:c r="D493" s="13" t="str">
        <x:v>1. Abrir Vende Ya / Garage; buscar y seleccionar cliente de identidad E
2. Crear venta 01 ordinaria con P-G, serie autorizada y pago 116
3. Consultar número, cliente, moneda, total, saldo, pagos, inventario y estado fiscal</x:v>
      </x:c>
      <x:c r="E493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9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94" ht="68" customHeight="1">
      <x:c r="A494" s="13" t="str">
        <x:v>QA-MAT-038</x:v>
      </x:c>
      <x:c r="B494" s="13" t="str">
        <x:v>Vende Ya / Garage / 01 / identidad C Comuna</x:v>
      </x:c>
      <x:c r="C494" s="13" t="str">
        <x:v>Un fixture por identidad doméstica activa, comprador autorizado, factura ordinaria 01/0101 o NV 80/nv. HKA en doble durante matriz comercial.
Cliente QA-C activo; Vende Ya / Garage habilitado; total 116; tipo 01; modo digital/demo del tenant.</x:v>
      </x:c>
      <x:c r="D494" s="13" t="str">
        <x:v>1. Abrir Vende Ya / Garage; buscar y seleccionar cliente de identidad C
2. Crear venta 01 ordinaria con P-G, serie autorizada y pago 116
3. Consultar número, cliente, moneda, total, saldo, pagos, inventario y estado fiscal</x:v>
      </x:c>
      <x:c r="E494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9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95" ht="68" customHeight="1">
      <x:c r="A495" s="13" t="str">
        <x:v>QA-MAT-039</x:v>
      </x:c>
      <x:c r="B495" s="13" t="str">
        <x:v>Vende Ya / Garage / 01 / identidad G Gubernamental</x:v>
      </x:c>
      <x:c r="C495" s="13" t="str">
        <x:v>Un fixture por identidad doméstica activa, comprador autorizado, factura ordinaria 01/0101 o NV 80/nv. HKA en doble durante matriz comercial.
Cliente QA-G activo; Vende Ya / Garage habilitado; total 116; tipo 01; modo digital/demo del tenant.</x:v>
      </x:c>
      <x:c r="D495" s="13" t="str">
        <x:v>1. Abrir Vende Ya / Garage; buscar y seleccionar cliente de identidad G
2. Crear venta 01 ordinaria con P-G, serie autorizada y pago 116
3. Consultar número, cliente, moneda, total, saldo, pagos, inventario y estado fiscal</x:v>
      </x:c>
      <x:c r="E495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9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96" ht="68" customHeight="1">
      <x:c r="A496" s="13" t="str">
        <x:v>QA-MAT-040</x:v>
      </x:c>
      <x:c r="B496" s="13" t="str">
        <x:v>Vende Ya / Garage / 01 / identidad R Firma Personal</x:v>
      </x:c>
      <x:c r="C496" s="13" t="str">
        <x:v>Un fixture por identidad doméstica activa, comprador autorizado, factura ordinaria 01/0101 o NV 80/nv. HKA en doble durante matriz comercial.
Cliente QA-R activo; Vende Ya / Garage habilitado; total 116; tipo 01; modo digital/demo del tenant.</x:v>
      </x:c>
      <x:c r="D496" s="13" t="str">
        <x:v>1. Abrir Vende Ya / Garage; buscar y seleccionar cliente de identidad R
2. Crear venta 01 ordinaria con P-G, serie autorizada y pago 116
3. Consultar número, cliente, moneda, total, saldo, pagos, inventario y estado fiscal</x:v>
      </x:c>
      <x:c r="E496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9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97" ht="68" customHeight="1">
      <x:c r="A497" s="13" t="str">
        <x:v>QA-MAT-041</x:v>
      </x:c>
      <x:c r="B497" s="13" t="str">
        <x:v>Vende Ya / Garage / 80 / identidad 0 Doc.sin.rif</x:v>
      </x:c>
      <x:c r="C497" s="13" t="str">
        <x:v>Un fixture por identidad doméstica activa, comprador autorizado, factura ordinaria 01/0101 o NV 80/nv. HKA en doble durante matriz comercial.
Cliente QA-0 activo; Vende Ya / Garage habilitado; total 116; tipo 80; modo digital/demo del tenant.</x:v>
      </x:c>
      <x:c r="D497" s="13" t="str">
        <x:v>1. Abrir Vende Ya / Garage; buscar y seleccionar cliente de identidad 0
2. Crear venta 80 ordinaria con P-G, serie autorizada y pago 116
3. Consultar número, cliente, moneda, total, saldo, pagos, inventario y estado fiscal</x:v>
      </x:c>
      <x:c r="E497" s="13" t="str">
        <x:v>No existe restricción comercial por identidad 0 contra tipo 80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9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98" ht="68" customHeight="1">
      <x:c r="A498" s="13" t="str">
        <x:v>QA-MAT-042</x:v>
      </x:c>
      <x:c r="B498" s="13" t="str">
        <x:v>Vende Ya / Garage / 80 / identidad 1 Venezolano</x:v>
      </x:c>
      <x:c r="C498" s="13" t="str">
        <x:v>Un fixture por identidad doméstica activa, comprador autorizado, factura ordinaria 01/0101 o NV 80/nv. HKA en doble durante matriz comercial.
Cliente QA-1 activo; Vende Ya / Garage habilitado; total 116; tipo 80; modo digital/demo del tenant.</x:v>
      </x:c>
      <x:c r="D498" s="13" t="str">
        <x:v>1. Abrir Vende Ya / Garage; buscar y seleccionar cliente de identidad 1
2. Crear venta 80 ordinaria con P-G, serie autorizada y pago 116
3. Consultar número, cliente, moneda, total, saldo, pagos, inventario y estado fiscal</x:v>
      </x:c>
      <x:c r="E498" s="13" t="str">
        <x:v>No existe restricción comercial por identidad 1 contra tipo 80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9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499" ht="68" customHeight="1">
      <x:c r="A499" s="13" t="str">
        <x:v>QA-MAT-043</x:v>
      </x:c>
      <x:c r="B499" s="13" t="str">
        <x:v>Vende Ya / Garage / 80 / identidad 6 Juridico</x:v>
      </x:c>
      <x:c r="C499" s="13" t="str">
        <x:v>Un fixture por identidad doméstica activa, comprador autorizado, factura ordinaria 01/0101 o NV 80/nv. HKA en doble durante matriz comercial.
Cliente QA-6 activo; Vende Ya / Garage habilitado; total 116; tipo 80; modo digital/demo del tenant.</x:v>
      </x:c>
      <x:c r="D499" s="13" t="str">
        <x:v>1. Abrir Vende Ya / Garage; buscar y seleccionar cliente de identidad 6
2. Crear venta 80 ordinaria con P-G, serie autorizada y pago 116
3. Consultar número, cliente, moneda, total, saldo, pagos, inventario y estado fiscal</x:v>
      </x:c>
      <x:c r="E499" s="13" t="str">
        <x:v>No existe restricción comercial por identidad 6 contra tipo 80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49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00" ht="68" customHeight="1">
      <x:c r="A500" s="13" t="str">
        <x:v>QA-MAT-044</x:v>
      </x:c>
      <x:c r="B500" s="13" t="str">
        <x:v>Vende Ya / Garage / 80 / identidad 7 Pasaporte</x:v>
      </x:c>
      <x:c r="C500" s="13" t="str">
        <x:v>Un fixture por identidad doméstica activa, comprador autorizado, factura ordinaria 01/0101 o NV 80/nv. HKA en doble durante matriz comercial.
Cliente QA-7 activo; Vende Ya / Garage habilitado; total 116; tipo 80; modo digital/demo del tenant.</x:v>
      </x:c>
      <x:c r="D500" s="13" t="str">
        <x:v>1. Abrir Vende Ya / Garage; buscar y seleccionar cliente de identidad 7
2. Crear venta 80 ordinaria con P-G, serie autorizada y pago 116
3. Consultar número, cliente, moneda, total, saldo, pagos, inventario y estado fiscal</x:v>
      </x:c>
      <x:c r="E500" s="13" t="str">
        <x:v>No existe restricción comercial por identidad 7 contra tipo 80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0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01" ht="68" customHeight="1">
      <x:c r="A501" s="13" t="str">
        <x:v>QA-MAT-045</x:v>
      </x:c>
      <x:c r="B501" s="13" t="str">
        <x:v>Vende Ya / Garage / 80 / identidad E Extranjero</x:v>
      </x:c>
      <x:c r="C501" s="13" t="str">
        <x:v>Un fixture por identidad doméstica activa, comprador autorizado, factura ordinaria 01/0101 o NV 80/nv. HKA en doble durante matriz comercial.
Cliente QA-E activo; Vende Ya / Garage habilitado; total 116; tipo 80; modo digital/demo del tenant.</x:v>
      </x:c>
      <x:c r="D501" s="13" t="str">
        <x:v>1. Abrir Vende Ya / Garage; buscar y seleccionar cliente de identidad E
2. Crear venta 80 ordinaria con P-G, serie autorizada y pago 116
3. Consultar número, cliente, moneda, total, saldo, pagos, inventario y estado fiscal</x:v>
      </x:c>
      <x:c r="E501" s="13" t="str">
        <x:v>No existe restricción comercial por identidad E contra tipo 80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0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02" ht="68" customHeight="1">
      <x:c r="A502" s="13" t="str">
        <x:v>QA-MAT-046</x:v>
      </x:c>
      <x:c r="B502" s="13" t="str">
        <x:v>Vende Ya / Garage / 80 / identidad C Comuna</x:v>
      </x:c>
      <x:c r="C502" s="13" t="str">
        <x:v>Un fixture por identidad doméstica activa, comprador autorizado, factura ordinaria 01/0101 o NV 80/nv. HKA en doble durante matriz comercial.
Cliente QA-C activo; Vende Ya / Garage habilitado; total 116; tipo 80; modo digital/demo del tenant.</x:v>
      </x:c>
      <x:c r="D502" s="13" t="str">
        <x:v>1. Abrir Vende Ya / Garage; buscar y seleccionar cliente de identidad C
2. Crear venta 80 ordinaria con P-G, serie autorizada y pago 116
3. Consultar número, cliente, moneda, total, saldo, pagos, inventario y estado fiscal</x:v>
      </x:c>
      <x:c r="E502" s="13" t="str">
        <x:v>No existe restricción comercial por identidad C contra tipo 80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0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03" ht="68" customHeight="1">
      <x:c r="A503" s="13" t="str">
        <x:v>QA-MAT-047</x:v>
      </x:c>
      <x:c r="B503" s="13" t="str">
        <x:v>Vende Ya / Garage / 80 / identidad G Gubernamental</x:v>
      </x:c>
      <x:c r="C503" s="13" t="str">
        <x:v>Un fixture por identidad doméstica activa, comprador autorizado, factura ordinaria 01/0101 o NV 80/nv. HKA en doble durante matriz comercial.
Cliente QA-G activo; Vende Ya / Garage habilitado; total 116; tipo 80; modo digital/demo del tenant.</x:v>
      </x:c>
      <x:c r="D503" s="13" t="str">
        <x:v>1. Abrir Vende Ya / Garage; buscar y seleccionar cliente de identidad G
2. Crear venta 80 ordinaria con P-G, serie autorizada y pago 116
3. Consultar número, cliente, moneda, total, saldo, pagos, inventario y estado fiscal</x:v>
      </x:c>
      <x:c r="E503" s="13" t="str">
        <x:v>No existe restricción comercial por identidad G contra tipo 80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0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04" ht="68" customHeight="1">
      <x:c r="A504" s="13" t="str">
        <x:v>QA-MAT-048</x:v>
      </x:c>
      <x:c r="B504" s="13" t="str">
        <x:v>Vende Ya / Garage / 80 / identidad R Firma Personal</x:v>
      </x:c>
      <x:c r="C504" s="13" t="str">
        <x:v>Un fixture por identidad doméstica activa, comprador autorizado, factura ordinaria 01/0101 o NV 80/nv. HKA en doble durante matriz comercial.
Cliente QA-R activo; Vende Ya / Garage habilitado; total 116; tipo 80; modo digital/demo del tenant.</x:v>
      </x:c>
      <x:c r="D504" s="13" t="str">
        <x:v>1. Abrir Vende Ya / Garage; buscar y seleccionar cliente de identidad R
2. Crear venta 80 ordinaria con P-G, serie autorizada y pago 116
3. Consultar número, cliente, moneda, total, saldo, pagos, inventario y estado fiscal</x:v>
      </x:c>
      <x:c r="E504" s="13" t="str">
        <x:v>No existe restricción comercial por identidad R contra tipo 80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0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05" ht="68" customHeight="1">
      <x:c r="A505" s="13" t="str">
        <x:v>QA-MAT-049</x:v>
      </x:c>
      <x:c r="B505" s="13" t="str">
        <x:v>Venta rápida / 01 / identidad 0 Doc.sin.rif</x:v>
      </x:c>
      <x:c r="C505" s="13" t="str">
        <x:v>Un fixture por identidad doméstica activa, comprador autorizado, factura ordinaria 01/0101 o NV 80/nv. HKA en doble durante matriz comercial.
Cliente QA-0 activo; Venta rápida habilitado; total 116; tipo 01; modo digital/demo del tenant.</x:v>
      </x:c>
      <x:c r="D505" s="13" t="str">
        <x:v>1. Abrir Venta rápida; buscar y seleccionar cliente de identidad 0
2. Crear venta 01 ordinaria con P-G, serie autorizada y pago 116
3. Consultar número, cliente, moneda, total, saldo, pagos, inventario y estado fiscal</x:v>
      </x:c>
      <x:c r="E505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0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06" ht="68" customHeight="1">
      <x:c r="A506" s="13" t="str">
        <x:v>QA-MAT-050</x:v>
      </x:c>
      <x:c r="B506" s="13" t="str">
        <x:v>Venta rápida / 01 / identidad 1 Venezolano</x:v>
      </x:c>
      <x:c r="C506" s="13" t="str">
        <x:v>Un fixture por identidad doméstica activa, comprador autorizado, factura ordinaria 01/0101 o NV 80/nv. HKA en doble durante matriz comercial.
Cliente QA-1 activo; Venta rápida habilitado; total 116; tipo 01; modo digital/demo del tenant.</x:v>
      </x:c>
      <x:c r="D506" s="13" t="str">
        <x:v>1. Abrir Venta rápida; buscar y seleccionar cliente de identidad 1
2. Crear venta 01 ordinaria con P-G, serie autorizada y pago 116
3. Consultar número, cliente, moneda, total, saldo, pagos, inventario y estado fiscal</x:v>
      </x:c>
      <x:c r="E506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0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07" ht="68" customHeight="1">
      <x:c r="A507" s="13" t="str">
        <x:v>QA-MAT-051</x:v>
      </x:c>
      <x:c r="B507" s="13" t="str">
        <x:v>Venta rápida / 01 / identidad 6 Juridico</x:v>
      </x:c>
      <x:c r="C507" s="13" t="str">
        <x:v>Un fixture por identidad doméstica activa, comprador autorizado, factura ordinaria 01/0101 o NV 80/nv. HKA en doble durante matriz comercial.
Cliente QA-6 activo; Venta rápida habilitado; total 116; tipo 01; modo digital/demo del tenant.</x:v>
      </x:c>
      <x:c r="D507" s="13" t="str">
        <x:v>1. Abrir Venta rápida; buscar y seleccionar cliente de identidad 6
2. Crear venta 01 ordinaria con P-G, serie autorizada y pago 116
3. Consultar número, cliente, moneda, total, saldo, pagos, inventario y estado fiscal</x:v>
      </x:c>
      <x:c r="E507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0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08" ht="68" customHeight="1">
      <x:c r="A508" s="13" t="str">
        <x:v>QA-MAT-052</x:v>
      </x:c>
      <x:c r="B508" s="13" t="str">
        <x:v>Venta rápida / 01 / identidad 7 Pasaporte</x:v>
      </x:c>
      <x:c r="C508" s="13" t="str">
        <x:v>Un fixture por identidad doméstica activa, comprador autorizado, factura ordinaria 01/0101 o NV 80/nv. HKA en doble durante matriz comercial.
Cliente QA-7 activo; Venta rápida habilitado; total 116; tipo 01; modo digital/demo del tenant.</x:v>
      </x:c>
      <x:c r="D508" s="13" t="str">
        <x:v>1. Abrir Venta rápida; buscar y seleccionar cliente de identidad 7
2. Crear venta 01 ordinaria con P-G, serie autorizada y pago 116
3. Consultar número, cliente, moneda, total, saldo, pagos, inventario y estado fiscal</x:v>
      </x:c>
      <x:c r="E508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0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09" ht="68" customHeight="1">
      <x:c r="A509" s="13" t="str">
        <x:v>QA-MAT-053</x:v>
      </x:c>
      <x:c r="B509" s="13" t="str">
        <x:v>Venta rápida / 01 / identidad E Extranjero</x:v>
      </x:c>
      <x:c r="C509" s="13" t="str">
        <x:v>Un fixture por identidad doméstica activa, comprador autorizado, factura ordinaria 01/0101 o NV 80/nv. HKA en doble durante matriz comercial.
Cliente QA-E activo; Venta rápida habilitado; total 116; tipo 01; modo digital/demo del tenant.</x:v>
      </x:c>
      <x:c r="D509" s="13" t="str">
        <x:v>1. Abrir Venta rápida; buscar y seleccionar cliente de identidad E
2. Crear venta 01 ordinaria con P-G, serie autorizada y pago 116
3. Consultar número, cliente, moneda, total, saldo, pagos, inventario y estado fiscal</x:v>
      </x:c>
      <x:c r="E509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0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10" ht="68" customHeight="1">
      <x:c r="A510" s="13" t="str">
        <x:v>QA-MAT-054</x:v>
      </x:c>
      <x:c r="B510" s="13" t="str">
        <x:v>Venta rápida / 01 / identidad C Comuna</x:v>
      </x:c>
      <x:c r="C510" s="13" t="str">
        <x:v>Un fixture por identidad doméstica activa, comprador autorizado, factura ordinaria 01/0101 o NV 80/nv. HKA en doble durante matriz comercial.
Cliente QA-C activo; Venta rápida habilitado; total 116; tipo 01; modo digital/demo del tenant.</x:v>
      </x:c>
      <x:c r="D510" s="13" t="str">
        <x:v>1. Abrir Venta rápida; buscar y seleccionar cliente de identidad C
2. Crear venta 01 ordinaria con P-G, serie autorizada y pago 116
3. Consultar número, cliente, moneda, total, saldo, pagos, inventario y estado fiscal</x:v>
      </x:c>
      <x:c r="E510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1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11" ht="68" customHeight="1">
      <x:c r="A511" s="13" t="str">
        <x:v>QA-MAT-055</x:v>
      </x:c>
      <x:c r="B511" s="13" t="str">
        <x:v>Venta rápida / 01 / identidad G Gubernamental</x:v>
      </x:c>
      <x:c r="C511" s="13" t="str">
        <x:v>Un fixture por identidad doméstica activa, comprador autorizado, factura ordinaria 01/0101 o NV 80/nv. HKA en doble durante matriz comercial.
Cliente QA-G activo; Venta rápida habilitado; total 116; tipo 01; modo digital/demo del tenant.</x:v>
      </x:c>
      <x:c r="D511" s="13" t="str">
        <x:v>1. Abrir Venta rápida; buscar y seleccionar cliente de identidad G
2. Crear venta 01 ordinaria con P-G, serie autorizada y pago 116
3. Consultar número, cliente, moneda, total, saldo, pagos, inventario y estado fiscal</x:v>
      </x:c>
      <x:c r="E511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1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12" ht="68" customHeight="1">
      <x:c r="A512" s="13" t="str">
        <x:v>QA-MAT-056</x:v>
      </x:c>
      <x:c r="B512" s="13" t="str">
        <x:v>Venta rápida / 01 / identidad R Firma Personal</x:v>
      </x:c>
      <x:c r="C512" s="13" t="str">
        <x:v>Un fixture por identidad doméstica activa, comprador autorizado, factura ordinaria 01/0101 o NV 80/nv. HKA en doble durante matriz comercial.
Cliente QA-R activo; Venta rápida habilitado; total 116; tipo 01; modo digital/demo del tenant.</x:v>
      </x:c>
      <x:c r="D512" s="13" t="str">
        <x:v>1. Abrir Venta rápida; buscar y seleccionar cliente de identidad R
2. Crear venta 01 ordinaria con P-G, serie autorizada y pago 116
3. Consultar número, cliente, moneda, total, saldo, pagos, inventario y estado fiscal</x:v>
      </x:c>
      <x:c r="E512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1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13" ht="68" customHeight="1">
      <x:c r="A513" s="13" t="str">
        <x:v>QA-MAT-057</x:v>
      </x:c>
      <x:c r="B513" s="13" t="str">
        <x:v>Venta rápida / 80 / identidad 0 Doc.sin.rif</x:v>
      </x:c>
      <x:c r="C513" s="13" t="str">
        <x:v>Un fixture por identidad doméstica activa, comprador autorizado, factura ordinaria 01/0101 o NV 80/nv. HKA en doble durante matriz comercial.
Cliente QA-0 activo; Venta rápida habilitado; total 116; tipo 80; modo digital/demo del tenant.</x:v>
      </x:c>
      <x:c r="D513" s="13" t="str">
        <x:v>1. Abrir Venta rápida; buscar y seleccionar cliente de identidad 0
2. Crear venta 80 ordinaria con P-G, serie autorizada y pago 116
3. Consultar número, cliente, moneda, total, saldo, pagos, inventario y estado fiscal</x:v>
      </x:c>
      <x:c r="E513" s="13" t="str">
        <x:v>No existe restricción comercial por identidad 0 contra tipo 80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1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14" ht="68" customHeight="1">
      <x:c r="A514" s="13" t="str">
        <x:v>QA-MAT-058</x:v>
      </x:c>
      <x:c r="B514" s="13" t="str">
        <x:v>Venta rápida / 80 / identidad 1 Venezolano</x:v>
      </x:c>
      <x:c r="C514" s="13" t="str">
        <x:v>Un fixture por identidad doméstica activa, comprador autorizado, factura ordinaria 01/0101 o NV 80/nv. HKA en doble durante matriz comercial.
Cliente QA-1 activo; Venta rápida habilitado; total 116; tipo 80; modo digital/demo del tenant.</x:v>
      </x:c>
      <x:c r="D514" s="13" t="str">
        <x:v>1. Abrir Venta rápida; buscar y seleccionar cliente de identidad 1
2. Crear venta 80 ordinaria con P-G, serie autorizada y pago 116
3. Consultar número, cliente, moneda, total, saldo, pagos, inventario y estado fiscal</x:v>
      </x:c>
      <x:c r="E514" s="13" t="str">
        <x:v>No existe restricción comercial por identidad 1 contra tipo 80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1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15" ht="68" customHeight="1">
      <x:c r="A515" s="13" t="str">
        <x:v>QA-MAT-059</x:v>
      </x:c>
      <x:c r="B515" s="13" t="str">
        <x:v>Venta rápida / 80 / identidad 6 Juridico</x:v>
      </x:c>
      <x:c r="C515" s="13" t="str">
        <x:v>Un fixture por identidad doméstica activa, comprador autorizado, factura ordinaria 01/0101 o NV 80/nv. HKA en doble durante matriz comercial.
Cliente QA-6 activo; Venta rápida habilitado; total 116; tipo 80; modo digital/demo del tenant.</x:v>
      </x:c>
      <x:c r="D515" s="13" t="str">
        <x:v>1. Abrir Venta rápida; buscar y seleccionar cliente de identidad 6
2. Crear venta 80 ordinaria con P-G, serie autorizada y pago 116
3. Consultar número, cliente, moneda, total, saldo, pagos, inventario y estado fiscal</x:v>
      </x:c>
      <x:c r="E515" s="13" t="str">
        <x:v>No existe restricción comercial por identidad 6 contra tipo 80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1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16" ht="68" customHeight="1">
      <x:c r="A516" s="13" t="str">
        <x:v>QA-MAT-060</x:v>
      </x:c>
      <x:c r="B516" s="13" t="str">
        <x:v>Venta rápida / 80 / identidad 7 Pasaporte</x:v>
      </x:c>
      <x:c r="C516" s="13" t="str">
        <x:v>Un fixture por identidad doméstica activa, comprador autorizado, factura ordinaria 01/0101 o NV 80/nv. HKA en doble durante matriz comercial.
Cliente QA-7 activo; Venta rápida habilitado; total 116; tipo 80; modo digital/demo del tenant.</x:v>
      </x:c>
      <x:c r="D516" s="13" t="str">
        <x:v>1. Abrir Venta rápida; buscar y seleccionar cliente de identidad 7
2. Crear venta 80 ordinaria con P-G, serie autorizada y pago 116
3. Consultar número, cliente, moneda, total, saldo, pagos, inventario y estado fiscal</x:v>
      </x:c>
      <x:c r="E516" s="13" t="str">
        <x:v>No existe restricción comercial por identidad 7 contra tipo 80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1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17" ht="68" customHeight="1">
      <x:c r="A517" s="13" t="str">
        <x:v>QA-MAT-061</x:v>
      </x:c>
      <x:c r="B517" s="13" t="str">
        <x:v>Venta rápida / 80 / identidad E Extranjero</x:v>
      </x:c>
      <x:c r="C517" s="13" t="str">
        <x:v>Un fixture por identidad doméstica activa, comprador autorizado, factura ordinaria 01/0101 o NV 80/nv. HKA en doble durante matriz comercial.
Cliente QA-E activo; Venta rápida habilitado; total 116; tipo 80; modo digital/demo del tenant.</x:v>
      </x:c>
      <x:c r="D517" s="13" t="str">
        <x:v>1. Abrir Venta rápida; buscar y seleccionar cliente de identidad E
2. Crear venta 80 ordinaria con P-G, serie autorizada y pago 116
3. Consultar número, cliente, moneda, total, saldo, pagos, inventario y estado fiscal</x:v>
      </x:c>
      <x:c r="E517" s="13" t="str">
        <x:v>No existe restricción comercial por identidad E contra tipo 80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1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18" ht="68" customHeight="1">
      <x:c r="A518" s="13" t="str">
        <x:v>QA-MAT-062</x:v>
      </x:c>
      <x:c r="B518" s="13" t="str">
        <x:v>Venta rápida / 80 / identidad C Comuna</x:v>
      </x:c>
      <x:c r="C518" s="13" t="str">
        <x:v>Un fixture por identidad doméstica activa, comprador autorizado, factura ordinaria 01/0101 o NV 80/nv. HKA en doble durante matriz comercial.
Cliente QA-C activo; Venta rápida habilitado; total 116; tipo 80; modo digital/demo del tenant.</x:v>
      </x:c>
      <x:c r="D518" s="13" t="str">
        <x:v>1. Abrir Venta rápida; buscar y seleccionar cliente de identidad C
2. Crear venta 80 ordinaria con P-G, serie autorizada y pago 116
3. Consultar número, cliente, moneda, total, saldo, pagos, inventario y estado fiscal</x:v>
      </x:c>
      <x:c r="E518" s="13" t="str">
        <x:v>No existe restricción comercial por identidad C contra tipo 80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1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19" ht="68" customHeight="1">
      <x:c r="A519" s="13" t="str">
        <x:v>QA-MAT-063</x:v>
      </x:c>
      <x:c r="B519" s="13" t="str">
        <x:v>Venta rápida / 80 / identidad G Gubernamental</x:v>
      </x:c>
      <x:c r="C519" s="13" t="str">
        <x:v>Un fixture por identidad doméstica activa, comprador autorizado, factura ordinaria 01/0101 o NV 80/nv. HKA en doble durante matriz comercial.
Cliente QA-G activo; Venta rápida habilitado; total 116; tipo 80; modo digital/demo del tenant.</x:v>
      </x:c>
      <x:c r="D519" s="13" t="str">
        <x:v>1. Abrir Venta rápida; buscar y seleccionar cliente de identidad G
2. Crear venta 80 ordinaria con P-G, serie autorizada y pago 116
3. Consultar número, cliente, moneda, total, saldo, pagos, inventario y estado fiscal</x:v>
      </x:c>
      <x:c r="E519" s="13" t="str">
        <x:v>No existe restricción comercial por identidad G contra tipo 80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1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20" ht="68" customHeight="1">
      <x:c r="A520" s="13" t="str">
        <x:v>QA-MAT-064</x:v>
      </x:c>
      <x:c r="B520" s="13" t="str">
        <x:v>Venta rápida / 80 / identidad R Firma Personal</x:v>
      </x:c>
      <x:c r="C520" s="13" t="str">
        <x:v>Un fixture por identidad doméstica activa, comprador autorizado, factura ordinaria 01/0101 o NV 80/nv. HKA en doble durante matriz comercial.
Cliente QA-R activo; Venta rápida habilitado; total 116; tipo 80; modo digital/demo del tenant.</x:v>
      </x:c>
      <x:c r="D520" s="13" t="str">
        <x:v>1. Abrir Venta rápida; buscar y seleccionar cliente de identidad R
2. Crear venta 80 ordinaria con P-G, serie autorizada y pago 116
3. Consultar número, cliente, moneda, total, saldo, pagos, inventario y estado fiscal</x:v>
      </x:c>
      <x:c r="E520" s="13" t="str">
        <x:v>No existe restricción comercial por identidad R contra tipo 80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2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21" ht="68" customHeight="1">
      <x:c r="A521" s="13" t="str">
        <x:v>QA-MAT-065</x:v>
      </x:c>
      <x:c r="B521" s="13" t="str">
        <x:v>API de venta / 01 / identidad 0 Doc.sin.rif</x:v>
      </x:c>
      <x:c r="C521" s="13" t="str">
        <x:v>Un fixture por identidad doméstica activa, comprador autorizado, factura ordinaria 01/0101 o NV 80/nv. HKA en doble durante matriz comercial.
Cliente QA-0 activo; API de venta habilitado; total 116; tipo 01; modo digital/demo del tenant.</x:v>
      </x:c>
      <x:c r="D521" s="13" t="str">
        <x:v>1. Abrir API de venta; buscar y seleccionar cliente de identidad 0
2. Crear venta 01 ordinaria con P-G, serie autorizada y pago 116
3. Consultar número, cliente, moneda, total, saldo, pagos, inventario y estado fiscal</x:v>
      </x:c>
      <x:c r="E521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2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22" ht="68" customHeight="1">
      <x:c r="A522" s="13" t="str">
        <x:v>QA-MAT-066</x:v>
      </x:c>
      <x:c r="B522" s="13" t="str">
        <x:v>API de venta / 01 / identidad 1 Venezolano</x:v>
      </x:c>
      <x:c r="C522" s="13" t="str">
        <x:v>Un fixture por identidad doméstica activa, comprador autorizado, factura ordinaria 01/0101 o NV 80/nv. HKA en doble durante matriz comercial.
Cliente QA-1 activo; API de venta habilitado; total 116; tipo 01; modo digital/demo del tenant.</x:v>
      </x:c>
      <x:c r="D522" s="13" t="str">
        <x:v>1. Abrir API de venta; buscar y seleccionar cliente de identidad 1
2. Crear venta 01 ordinaria con P-G, serie autorizada y pago 116
3. Consultar número, cliente, moneda, total, saldo, pagos, inventario y estado fiscal</x:v>
      </x:c>
      <x:c r="E522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2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23" ht="68" customHeight="1">
      <x:c r="A523" s="13" t="str">
        <x:v>QA-MAT-067</x:v>
      </x:c>
      <x:c r="B523" s="13" t="str">
        <x:v>API de venta / 01 / identidad 6 Juridico</x:v>
      </x:c>
      <x:c r="C523" s="13" t="str">
        <x:v>Un fixture por identidad doméstica activa, comprador autorizado, factura ordinaria 01/0101 o NV 80/nv. HKA en doble durante matriz comercial.
Cliente QA-6 activo; API de venta habilitado; total 116; tipo 01; modo digital/demo del tenant.</x:v>
      </x:c>
      <x:c r="D523" s="13" t="str">
        <x:v>1. Abrir API de venta; buscar y seleccionar cliente de identidad 6
2. Crear venta 01 ordinaria con P-G, serie autorizada y pago 116
3. Consultar número, cliente, moneda, total, saldo, pagos, inventario y estado fiscal</x:v>
      </x:c>
      <x:c r="E523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2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24" ht="68" customHeight="1">
      <x:c r="A524" s="13" t="str">
        <x:v>QA-MAT-068</x:v>
      </x:c>
      <x:c r="B524" s="13" t="str">
        <x:v>API de venta / 01 / identidad 7 Pasaporte</x:v>
      </x:c>
      <x:c r="C524" s="13" t="str">
        <x:v>Un fixture por identidad doméstica activa, comprador autorizado, factura ordinaria 01/0101 o NV 80/nv. HKA en doble durante matriz comercial.
Cliente QA-7 activo; API de venta habilitado; total 116; tipo 01; modo digital/demo del tenant.</x:v>
      </x:c>
      <x:c r="D524" s="13" t="str">
        <x:v>1. Abrir API de venta; buscar y seleccionar cliente de identidad 7
2. Crear venta 01 ordinaria con P-G, serie autorizada y pago 116
3. Consultar número, cliente, moneda, total, saldo, pagos, inventario y estado fiscal</x:v>
      </x:c>
      <x:c r="E524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2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25" ht="68" customHeight="1">
      <x:c r="A525" s="13" t="str">
        <x:v>QA-MAT-069</x:v>
      </x:c>
      <x:c r="B525" s="13" t="str">
        <x:v>API de venta / 01 / identidad E Extranjero</x:v>
      </x:c>
      <x:c r="C525" s="13" t="str">
        <x:v>Un fixture por identidad doméstica activa, comprador autorizado, factura ordinaria 01/0101 o NV 80/nv. HKA en doble durante matriz comercial.
Cliente QA-E activo; API de venta habilitado; total 116; tipo 01; modo digital/demo del tenant.</x:v>
      </x:c>
      <x:c r="D525" s="13" t="str">
        <x:v>1. Abrir API de venta; buscar y seleccionar cliente de identidad E
2. Crear venta 01 ordinaria con P-G, serie autorizada y pago 116
3. Consultar número, cliente, moneda, total, saldo, pagos, inventario y estado fiscal</x:v>
      </x:c>
      <x:c r="E525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2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26" ht="68" customHeight="1">
      <x:c r="A526" s="13" t="str">
        <x:v>QA-MAT-070</x:v>
      </x:c>
      <x:c r="B526" s="13" t="str">
        <x:v>API de venta / 01 / identidad C Comuna</x:v>
      </x:c>
      <x:c r="C526" s="13" t="str">
        <x:v>Un fixture por identidad doméstica activa, comprador autorizado, factura ordinaria 01/0101 o NV 80/nv. HKA en doble durante matriz comercial.
Cliente QA-C activo; API de venta habilitado; total 116; tipo 01; modo digital/demo del tenant.</x:v>
      </x:c>
      <x:c r="D526" s="13" t="str">
        <x:v>1. Abrir API de venta; buscar y seleccionar cliente de identidad C
2. Crear venta 01 ordinaria con P-G, serie autorizada y pago 116
3. Consultar número, cliente, moneda, total, saldo, pagos, inventario y estado fiscal</x:v>
      </x:c>
      <x:c r="E526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2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27" ht="68" customHeight="1">
      <x:c r="A527" s="13" t="str">
        <x:v>QA-MAT-071</x:v>
      </x:c>
      <x:c r="B527" s="13" t="str">
        <x:v>API de venta / 01 / identidad G Gubernamental</x:v>
      </x:c>
      <x:c r="C527" s="13" t="str">
        <x:v>Un fixture por identidad doméstica activa, comprador autorizado, factura ordinaria 01/0101 o NV 80/nv. HKA en doble durante matriz comercial.
Cliente QA-G activo; API de venta habilitado; total 116; tipo 01; modo digital/demo del tenant.</x:v>
      </x:c>
      <x:c r="D527" s="13" t="str">
        <x:v>1. Abrir API de venta; buscar y seleccionar cliente de identidad G
2. Crear venta 01 ordinaria con P-G, serie autorizada y pago 116
3. Consultar número, cliente, moneda, total, saldo, pagos, inventario y estado fiscal</x:v>
      </x:c>
      <x:c r="E527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2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28" ht="68" customHeight="1">
      <x:c r="A528" s="13" t="str">
        <x:v>QA-MAT-072</x:v>
      </x:c>
      <x:c r="B528" s="13" t="str">
        <x:v>API de venta / 01 / identidad R Firma Personal</x:v>
      </x:c>
      <x:c r="C528" s="13" t="str">
        <x:v>Un fixture por identidad doméstica activa, comprador autorizado, factura ordinaria 01/0101 o NV 80/nv. HKA en doble durante matriz comercial.
Cliente QA-R activo; API de venta habilitado; total 116; tipo 01; modo digital/demo del tenant.</x:v>
      </x:c>
      <x:c r="D528" s="13" t="str">
        <x:v>1. Abrir API de venta; buscar y seleccionar cliente de identidad R
2. Crear venta 01 ordinaria con P-G, serie autorizada y pago 116
3. Consultar número, cliente, moneda, total, saldo, pagos, inventario y estado fiscal</x:v>
      </x:c>
      <x:c r="E528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2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29" ht="68" customHeight="1">
      <x:c r="A529" s="13" t="str">
        <x:v>QA-MAT-073</x:v>
      </x:c>
      <x:c r="B529" s="13" t="str">
        <x:v>API de venta / 80 / identidad 0 Doc.sin.rif</x:v>
      </x:c>
      <x:c r="C529" s="13" t="str">
        <x:v>Un fixture por identidad doméstica activa, comprador autorizado, factura ordinaria 01/0101 o NV 80/nv. HKA en doble durante matriz comercial.
Cliente QA-0 activo; API de venta habilitado; total 116; tipo 80; modo digital/demo del tenant.</x:v>
      </x:c>
      <x:c r="D529" s="13" t="str">
        <x:v>1. Abrir API de venta; buscar y seleccionar cliente de identidad 0
2. Crear venta 80 ordinaria con P-G, serie autorizada y pago 116
3. Consultar número, cliente, moneda, total, saldo, pagos, inventario y estado fiscal</x:v>
      </x:c>
      <x:c r="E529" s="13" t="str">
        <x:v>No existe restricción comercial por identidad 0 contra tipo 80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2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30" ht="68" customHeight="1">
      <x:c r="A530" s="13" t="str">
        <x:v>QA-MAT-074</x:v>
      </x:c>
      <x:c r="B530" s="13" t="str">
        <x:v>API de venta / 80 / identidad 1 Venezolano</x:v>
      </x:c>
      <x:c r="C530" s="13" t="str">
        <x:v>Un fixture por identidad doméstica activa, comprador autorizado, factura ordinaria 01/0101 o NV 80/nv. HKA en doble durante matriz comercial.
Cliente QA-1 activo; API de venta habilitado; total 116; tipo 80; modo digital/demo del tenant.</x:v>
      </x:c>
      <x:c r="D530" s="13" t="str">
        <x:v>1. Abrir API de venta; buscar y seleccionar cliente de identidad 1
2. Crear venta 80 ordinaria con P-G, serie autorizada y pago 116
3. Consultar número, cliente, moneda, total, saldo, pagos, inventario y estado fiscal</x:v>
      </x:c>
      <x:c r="E530" s="13" t="str">
        <x:v>No existe restricción comercial por identidad 1 contra tipo 80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3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31" ht="68" customHeight="1">
      <x:c r="A531" s="13" t="str">
        <x:v>QA-MAT-075</x:v>
      </x:c>
      <x:c r="B531" s="13" t="str">
        <x:v>API de venta / 80 / identidad 6 Juridico</x:v>
      </x:c>
      <x:c r="C531" s="13" t="str">
        <x:v>Un fixture por identidad doméstica activa, comprador autorizado, factura ordinaria 01/0101 o NV 80/nv. HKA en doble durante matriz comercial.
Cliente QA-6 activo; API de venta habilitado; total 116; tipo 80; modo digital/demo del tenant.</x:v>
      </x:c>
      <x:c r="D531" s="13" t="str">
        <x:v>1. Abrir API de venta; buscar y seleccionar cliente de identidad 6
2. Crear venta 80 ordinaria con P-G, serie autorizada y pago 116
3. Consultar número, cliente, moneda, total, saldo, pagos, inventario y estado fiscal</x:v>
      </x:c>
      <x:c r="E531" s="13" t="str">
        <x:v>No existe restricción comercial por identidad 6 contra tipo 80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3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32" ht="68" customHeight="1">
      <x:c r="A532" s="13" t="str">
        <x:v>QA-MAT-076</x:v>
      </x:c>
      <x:c r="B532" s="13" t="str">
        <x:v>API de venta / 80 / identidad 7 Pasaporte</x:v>
      </x:c>
      <x:c r="C532" s="13" t="str">
        <x:v>Un fixture por identidad doméstica activa, comprador autorizado, factura ordinaria 01/0101 o NV 80/nv. HKA en doble durante matriz comercial.
Cliente QA-7 activo; API de venta habilitado; total 116; tipo 80; modo digital/demo del tenant.</x:v>
      </x:c>
      <x:c r="D532" s="13" t="str">
        <x:v>1. Abrir API de venta; buscar y seleccionar cliente de identidad 7
2. Crear venta 80 ordinaria con P-G, serie autorizada y pago 116
3. Consultar número, cliente, moneda, total, saldo, pagos, inventario y estado fiscal</x:v>
      </x:c>
      <x:c r="E532" s="13" t="str">
        <x:v>No existe restricción comercial por identidad 7 contra tipo 80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3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33" ht="68" customHeight="1">
      <x:c r="A533" s="13" t="str">
        <x:v>QA-MAT-077</x:v>
      </x:c>
      <x:c r="B533" s="13" t="str">
        <x:v>API de venta / 80 / identidad E Extranjero</x:v>
      </x:c>
      <x:c r="C533" s="13" t="str">
        <x:v>Un fixture por identidad doméstica activa, comprador autorizado, factura ordinaria 01/0101 o NV 80/nv. HKA en doble durante matriz comercial.
Cliente QA-E activo; API de venta habilitado; total 116; tipo 80; modo digital/demo del tenant.</x:v>
      </x:c>
      <x:c r="D533" s="13" t="str">
        <x:v>1. Abrir API de venta; buscar y seleccionar cliente de identidad E
2. Crear venta 80 ordinaria con P-G, serie autorizada y pago 116
3. Consultar número, cliente, moneda, total, saldo, pagos, inventario y estado fiscal</x:v>
      </x:c>
      <x:c r="E533" s="13" t="str">
        <x:v>No existe restricción comercial por identidad E contra tipo 80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3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34" ht="68" customHeight="1">
      <x:c r="A534" s="13" t="str">
        <x:v>QA-MAT-078</x:v>
      </x:c>
      <x:c r="B534" s="13" t="str">
        <x:v>API de venta / 80 / identidad C Comuna</x:v>
      </x:c>
      <x:c r="C534" s="13" t="str">
        <x:v>Un fixture por identidad doméstica activa, comprador autorizado, factura ordinaria 01/0101 o NV 80/nv. HKA en doble durante matriz comercial.
Cliente QA-C activo; API de venta habilitado; total 116; tipo 80; modo digital/demo del tenant.</x:v>
      </x:c>
      <x:c r="D534" s="13" t="str">
        <x:v>1. Abrir API de venta; buscar y seleccionar cliente de identidad C
2. Crear venta 80 ordinaria con P-G, serie autorizada y pago 116
3. Consultar número, cliente, moneda, total, saldo, pagos, inventario y estado fiscal</x:v>
      </x:c>
      <x:c r="E534" s="13" t="str">
        <x:v>No existe restricción comercial por identidad C contra tipo 80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3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35" ht="68" customHeight="1">
      <x:c r="A535" s="13" t="str">
        <x:v>QA-MAT-079</x:v>
      </x:c>
      <x:c r="B535" s="13" t="str">
        <x:v>API de venta / 80 / identidad G Gubernamental</x:v>
      </x:c>
      <x:c r="C535" s="13" t="str">
        <x:v>Un fixture por identidad doméstica activa, comprador autorizado, factura ordinaria 01/0101 o NV 80/nv. HKA en doble durante matriz comercial.
Cliente QA-G activo; API de venta habilitado; total 116; tipo 80; modo digital/demo del tenant.</x:v>
      </x:c>
      <x:c r="D535" s="13" t="str">
        <x:v>1. Abrir API de venta; buscar y seleccionar cliente de identidad G
2. Crear venta 80 ordinaria con P-G, serie autorizada y pago 116
3. Consultar número, cliente, moneda, total, saldo, pagos, inventario y estado fiscal</x:v>
      </x:c>
      <x:c r="E535" s="13" t="str">
        <x:v>No existe restricción comercial por identidad G contra tipo 80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3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36" ht="68" customHeight="1">
      <x:c r="A536" s="13" t="str">
        <x:v>QA-MAT-080</x:v>
      </x:c>
      <x:c r="B536" s="13" t="str">
        <x:v>API de venta / 80 / identidad R Firma Personal</x:v>
      </x:c>
      <x:c r="C536" s="13" t="str">
        <x:v>Un fixture por identidad doméstica activa, comprador autorizado, factura ordinaria 01/0101 o NV 80/nv. HKA en doble durante matriz comercial.
Cliente QA-R activo; API de venta habilitado; total 116; tipo 80; modo digital/demo del tenant.</x:v>
      </x:c>
      <x:c r="D536" s="13" t="str">
        <x:v>1. Abrir API de venta; buscar y seleccionar cliente de identidad R
2. Crear venta 80 ordinaria con P-G, serie autorizada y pago 116
3. Consultar número, cliente, moneda, total, saldo, pagos, inventario y estado fiscal</x:v>
      </x:c>
      <x:c r="E536" s="13" t="str">
        <x:v>No existe restricción comercial por identidad R contra tipo 80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3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37" ht="68" customHeight="1">
      <x:c r="A537" s="13" t="str">
        <x:v>QA-MAT-081</x:v>
      </x:c>
      <x:c r="B537" s="13" t="str">
        <x:v>Hotel / 01 / identidad 0 Doc.sin.rif</x:v>
      </x:c>
      <x:c r="C537" s="13" t="str">
        <x:v>Un fixture por identidad doméstica activa, comprador autorizado, factura ordinaria 01/0101 o NV 80/nv. HKA en doble durante matriz comercial.
Cliente QA-0 activo; Hotel habilitado; total 116; tipo 01; modo digital/demo del tenant.</x:v>
      </x:c>
      <x:c r="D537" s="13" t="str">
        <x:v>1. Abrir Hotel; buscar y seleccionar cliente de identidad 0
2. Crear venta 01 ordinaria con P-G, serie autorizada y pago 116
3. Consultar número, cliente, moneda, total, saldo, pagos, inventario y estado fiscal</x:v>
      </x:c>
      <x:c r="E537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3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38" ht="68" customHeight="1">
      <x:c r="A538" s="13" t="str">
        <x:v>QA-MAT-082</x:v>
      </x:c>
      <x:c r="B538" s="13" t="str">
        <x:v>Hotel / 01 / identidad 1 Venezolano</x:v>
      </x:c>
      <x:c r="C538" s="13" t="str">
        <x:v>Un fixture por identidad doméstica activa, comprador autorizado, factura ordinaria 01/0101 o NV 80/nv. HKA en doble durante matriz comercial.
Cliente QA-1 activo; Hotel habilitado; total 116; tipo 01; modo digital/demo del tenant.</x:v>
      </x:c>
      <x:c r="D538" s="13" t="str">
        <x:v>1. Abrir Hotel; buscar y seleccionar cliente de identidad 1
2. Crear venta 01 ordinaria con P-G, serie autorizada y pago 116
3. Consultar número, cliente, moneda, total, saldo, pagos, inventario y estado fiscal</x:v>
      </x:c>
      <x:c r="E538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3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39" ht="68" customHeight="1">
      <x:c r="A539" s="13" t="str">
        <x:v>QA-MAT-083</x:v>
      </x:c>
      <x:c r="B539" s="13" t="str">
        <x:v>Hotel / 01 / identidad 6 Juridico</x:v>
      </x:c>
      <x:c r="C539" s="13" t="str">
        <x:v>Un fixture por identidad doméstica activa, comprador autorizado, factura ordinaria 01/0101 o NV 80/nv. HKA en doble durante matriz comercial.
Cliente QA-6 activo; Hotel habilitado; total 116; tipo 01; modo digital/demo del tenant.</x:v>
      </x:c>
      <x:c r="D539" s="13" t="str">
        <x:v>1. Abrir Hotel; buscar y seleccionar cliente de identidad 6
2. Crear venta 01 ordinaria con P-G, serie autorizada y pago 116
3. Consultar número, cliente, moneda, total, saldo, pagos, inventario y estado fiscal</x:v>
      </x:c>
      <x:c r="E539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3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40" ht="68" customHeight="1">
      <x:c r="A540" s="13" t="str">
        <x:v>QA-MAT-084</x:v>
      </x:c>
      <x:c r="B540" s="13" t="str">
        <x:v>Hotel / 01 / identidad 7 Pasaporte</x:v>
      </x:c>
      <x:c r="C540" s="13" t="str">
        <x:v>Un fixture por identidad doméstica activa, comprador autorizado, factura ordinaria 01/0101 o NV 80/nv. HKA en doble durante matriz comercial.
Cliente QA-7 activo; Hotel habilitado; total 116; tipo 01; modo digital/demo del tenant.</x:v>
      </x:c>
      <x:c r="D540" s="13" t="str">
        <x:v>1. Abrir Hotel; buscar y seleccionar cliente de identidad 7
2. Crear venta 01 ordinaria con P-G, serie autorizada y pago 116
3. Consultar número, cliente, moneda, total, saldo, pagos, inventario y estado fiscal</x:v>
      </x:c>
      <x:c r="E540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4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41" ht="68" customHeight="1">
      <x:c r="A541" s="13" t="str">
        <x:v>QA-MAT-085</x:v>
      </x:c>
      <x:c r="B541" s="13" t="str">
        <x:v>Hotel / 01 / identidad E Extranjero</x:v>
      </x:c>
      <x:c r="C541" s="13" t="str">
        <x:v>Un fixture por identidad doméstica activa, comprador autorizado, factura ordinaria 01/0101 o NV 80/nv. HKA en doble durante matriz comercial.
Cliente QA-E activo; Hotel habilitado; total 116; tipo 01; modo digital/demo del tenant.</x:v>
      </x:c>
      <x:c r="D541" s="13" t="str">
        <x:v>1. Abrir Hotel; buscar y seleccionar cliente de identidad E
2. Crear venta 01 ordinaria con P-G, serie autorizada y pago 116
3. Consultar número, cliente, moneda, total, saldo, pagos, inventario y estado fiscal</x:v>
      </x:c>
      <x:c r="E541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4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42" ht="68" customHeight="1">
      <x:c r="A542" s="13" t="str">
        <x:v>QA-MAT-086</x:v>
      </x:c>
      <x:c r="B542" s="13" t="str">
        <x:v>Hotel / 01 / identidad C Comuna</x:v>
      </x:c>
      <x:c r="C542" s="13" t="str">
        <x:v>Un fixture por identidad doméstica activa, comprador autorizado, factura ordinaria 01/0101 o NV 80/nv. HKA en doble durante matriz comercial.
Cliente QA-C activo; Hotel habilitado; total 116; tipo 01; modo digital/demo del tenant.</x:v>
      </x:c>
      <x:c r="D542" s="13" t="str">
        <x:v>1. Abrir Hotel; buscar y seleccionar cliente de identidad C
2. Crear venta 01 ordinaria con P-G, serie autorizada y pago 116
3. Consultar número, cliente, moneda, total, saldo, pagos, inventario y estado fiscal</x:v>
      </x:c>
      <x:c r="E542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4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43" ht="68" customHeight="1">
      <x:c r="A543" s="13" t="str">
        <x:v>QA-MAT-087</x:v>
      </x:c>
      <x:c r="B543" s="13" t="str">
        <x:v>Hotel / 01 / identidad G Gubernamental</x:v>
      </x:c>
      <x:c r="C543" s="13" t="str">
        <x:v>Un fixture por identidad doméstica activa, comprador autorizado, factura ordinaria 01/0101 o NV 80/nv. HKA en doble durante matriz comercial.
Cliente QA-G activo; Hotel habilitado; total 116; tipo 01; modo digital/demo del tenant.</x:v>
      </x:c>
      <x:c r="D543" s="13" t="str">
        <x:v>1. Abrir Hotel; buscar y seleccionar cliente de identidad G
2. Crear venta 01 ordinaria con P-G, serie autorizada y pago 116
3. Consultar número, cliente, moneda, total, saldo, pagos, inventario y estado fiscal</x:v>
      </x:c>
      <x:c r="E543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4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44" ht="68" customHeight="1">
      <x:c r="A544" s="13" t="str">
        <x:v>QA-MAT-088</x:v>
      </x:c>
      <x:c r="B544" s="13" t="str">
        <x:v>Hotel / 01 / identidad R Firma Personal</x:v>
      </x:c>
      <x:c r="C544" s="13" t="str">
        <x:v>Un fixture por identidad doméstica activa, comprador autorizado, factura ordinaria 01/0101 o NV 80/nv. HKA en doble durante matriz comercial.
Cliente QA-R activo; Hotel habilitado; total 116; tipo 01; modo digital/demo del tenant.</x:v>
      </x:c>
      <x:c r="D544" s="13" t="str">
        <x:v>1. Abrir Hotel; buscar y seleccionar cliente de identidad R
2. Crear venta 01 ordinaria con P-G, serie autorizada y pago 116
3. Consultar número, cliente, moneda, total, saldo, pagos, inventario y estado fiscal</x:v>
      </x:c>
      <x:c r="E544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4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45" ht="68" customHeight="1">
      <x:c r="A545" s="13" t="str">
        <x:v>QA-MAT-089</x:v>
      </x:c>
      <x:c r="B545" s="13" t="str">
        <x:v>Hotel / 80 / identidad 0 Doc.sin.rif</x:v>
      </x:c>
      <x:c r="C545" s="13" t="str">
        <x:v>Un fixture por identidad doméstica activa, comprador autorizado, factura ordinaria 01/0101 o NV 80/nv. HKA en doble durante matriz comercial.
Cliente QA-0 activo; Hotel habilitado; total 116; tipo 80; modo digital/demo del tenant.</x:v>
      </x:c>
      <x:c r="D545" s="13" t="str">
        <x:v>1. Abrir Hotel; buscar y seleccionar cliente de identidad 0
2. Crear venta 80 ordinaria con P-G, serie autorizada y pago 116
3. Consultar número, cliente, moneda, total, saldo, pagos, inventario y estado fiscal</x:v>
      </x:c>
      <x:c r="E545" s="13" t="str">
        <x:v>No existe restricción comercial por identidad 0 contra tipo 80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4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46" ht="68" customHeight="1">
      <x:c r="A546" s="13" t="str">
        <x:v>QA-MAT-090</x:v>
      </x:c>
      <x:c r="B546" s="13" t="str">
        <x:v>Hotel / 80 / identidad 1 Venezolano</x:v>
      </x:c>
      <x:c r="C546" s="13" t="str">
        <x:v>Un fixture por identidad doméstica activa, comprador autorizado, factura ordinaria 01/0101 o NV 80/nv. HKA en doble durante matriz comercial.
Cliente QA-1 activo; Hotel habilitado; total 116; tipo 80; modo digital/demo del tenant.</x:v>
      </x:c>
      <x:c r="D546" s="13" t="str">
        <x:v>1. Abrir Hotel; buscar y seleccionar cliente de identidad 1
2. Crear venta 80 ordinaria con P-G, serie autorizada y pago 116
3. Consultar número, cliente, moneda, total, saldo, pagos, inventario y estado fiscal</x:v>
      </x:c>
      <x:c r="E546" s="13" t="str">
        <x:v>No existe restricción comercial por identidad 1 contra tipo 80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4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47" ht="68" customHeight="1">
      <x:c r="A547" s="13" t="str">
        <x:v>QA-MAT-091</x:v>
      </x:c>
      <x:c r="B547" s="13" t="str">
        <x:v>Hotel / 80 / identidad 6 Juridico</x:v>
      </x:c>
      <x:c r="C547" s="13" t="str">
        <x:v>Un fixture por identidad doméstica activa, comprador autorizado, factura ordinaria 01/0101 o NV 80/nv. HKA en doble durante matriz comercial.
Cliente QA-6 activo; Hotel habilitado; total 116; tipo 80; modo digital/demo del tenant.</x:v>
      </x:c>
      <x:c r="D547" s="13" t="str">
        <x:v>1. Abrir Hotel; buscar y seleccionar cliente de identidad 6
2. Crear venta 80 ordinaria con P-G, serie autorizada y pago 116
3. Consultar número, cliente, moneda, total, saldo, pagos, inventario y estado fiscal</x:v>
      </x:c>
      <x:c r="E547" s="13" t="str">
        <x:v>No existe restricción comercial por identidad 6 contra tipo 80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4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48" ht="68" customHeight="1">
      <x:c r="A548" s="13" t="str">
        <x:v>QA-MAT-092</x:v>
      </x:c>
      <x:c r="B548" s="13" t="str">
        <x:v>Hotel / 80 / identidad 7 Pasaporte</x:v>
      </x:c>
      <x:c r="C548" s="13" t="str">
        <x:v>Un fixture por identidad doméstica activa, comprador autorizado, factura ordinaria 01/0101 o NV 80/nv. HKA en doble durante matriz comercial.
Cliente QA-7 activo; Hotel habilitado; total 116; tipo 80; modo digital/demo del tenant.</x:v>
      </x:c>
      <x:c r="D548" s="13" t="str">
        <x:v>1. Abrir Hotel; buscar y seleccionar cliente de identidad 7
2. Crear venta 80 ordinaria con P-G, serie autorizada y pago 116
3. Consultar número, cliente, moneda, total, saldo, pagos, inventario y estado fiscal</x:v>
      </x:c>
      <x:c r="E548" s="13" t="str">
        <x:v>No existe restricción comercial por identidad 7 contra tipo 80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4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49" ht="68" customHeight="1">
      <x:c r="A549" s="13" t="str">
        <x:v>QA-MAT-093</x:v>
      </x:c>
      <x:c r="B549" s="13" t="str">
        <x:v>Hotel / 80 / identidad E Extranjero</x:v>
      </x:c>
      <x:c r="C549" s="13" t="str">
        <x:v>Un fixture por identidad doméstica activa, comprador autorizado, factura ordinaria 01/0101 o NV 80/nv. HKA en doble durante matriz comercial.
Cliente QA-E activo; Hotel habilitado; total 116; tipo 80; modo digital/demo del tenant.</x:v>
      </x:c>
      <x:c r="D549" s="13" t="str">
        <x:v>1. Abrir Hotel; buscar y seleccionar cliente de identidad E
2. Crear venta 80 ordinaria con P-G, serie autorizada y pago 116
3. Consultar número, cliente, moneda, total, saldo, pagos, inventario y estado fiscal</x:v>
      </x:c>
      <x:c r="E549" s="13" t="str">
        <x:v>No existe restricción comercial por identidad E contra tipo 80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4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50" ht="68" customHeight="1">
      <x:c r="A550" s="13" t="str">
        <x:v>QA-MAT-094</x:v>
      </x:c>
      <x:c r="B550" s="13" t="str">
        <x:v>Hotel / 80 / identidad C Comuna</x:v>
      </x:c>
      <x:c r="C550" s="13" t="str">
        <x:v>Un fixture por identidad doméstica activa, comprador autorizado, factura ordinaria 01/0101 o NV 80/nv. HKA en doble durante matriz comercial.
Cliente QA-C activo; Hotel habilitado; total 116; tipo 80; modo digital/demo del tenant.</x:v>
      </x:c>
      <x:c r="D550" s="13" t="str">
        <x:v>1. Abrir Hotel; buscar y seleccionar cliente de identidad C
2. Crear venta 80 ordinaria con P-G, serie autorizada y pago 116
3. Consultar número, cliente, moneda, total, saldo, pagos, inventario y estado fiscal</x:v>
      </x:c>
      <x:c r="E550" s="13" t="str">
        <x:v>No existe restricción comercial por identidad C contra tipo 80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5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51" ht="68" customHeight="1">
      <x:c r="A551" s="13" t="str">
        <x:v>QA-MAT-095</x:v>
      </x:c>
      <x:c r="B551" s="13" t="str">
        <x:v>Hotel / 80 / identidad G Gubernamental</x:v>
      </x:c>
      <x:c r="C551" s="13" t="str">
        <x:v>Un fixture por identidad doméstica activa, comprador autorizado, factura ordinaria 01/0101 o NV 80/nv. HKA en doble durante matriz comercial.
Cliente QA-G activo; Hotel habilitado; total 116; tipo 80; modo digital/demo del tenant.</x:v>
      </x:c>
      <x:c r="D551" s="13" t="str">
        <x:v>1. Abrir Hotel; buscar y seleccionar cliente de identidad G
2. Crear venta 80 ordinaria con P-G, serie autorizada y pago 116
3. Consultar número, cliente, moneda, total, saldo, pagos, inventario y estado fiscal</x:v>
      </x:c>
      <x:c r="E551" s="13" t="str">
        <x:v>No existe restricción comercial por identidad G contra tipo 80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5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52" ht="68" customHeight="1">
      <x:c r="A552" s="13" t="str">
        <x:v>QA-MAT-096</x:v>
      </x:c>
      <x:c r="B552" s="13" t="str">
        <x:v>Hotel / 80 / identidad R Firma Personal</x:v>
      </x:c>
      <x:c r="C552" s="13" t="str">
        <x:v>Un fixture por identidad doméstica activa, comprador autorizado, factura ordinaria 01/0101 o NV 80/nv. HKA en doble durante matriz comercial.
Cliente QA-R activo; Hotel habilitado; total 116; tipo 80; modo digital/demo del tenant.</x:v>
      </x:c>
      <x:c r="D552" s="13" t="str">
        <x:v>1. Abrir Hotel; buscar y seleccionar cliente de identidad R
2. Crear venta 80 ordinaria con P-G, serie autorizada y pago 116
3. Consultar número, cliente, moneda, total, saldo, pagos, inventario y estado fiscal</x:v>
      </x:c>
      <x:c r="E552" s="13" t="str">
        <x:v>No existe restricción comercial por identidad R contra tipo 80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5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53" ht="68" customHeight="1">
      <x:c r="A553" s="13" t="str">
        <x:v>QA-MAT-097</x:v>
      </x:c>
      <x:c r="B553" s="13" t="str">
        <x:v>Restaurante / 01 / identidad 0 Doc.sin.rif</x:v>
      </x:c>
      <x:c r="C553" s="13" t="str">
        <x:v>Un fixture por identidad doméstica activa, comprador autorizado, factura ordinaria 01/0101 o NV 80/nv. HKA en doble durante matriz comercial.
Cliente QA-0 activo; Restaurante habilitado; total 116; tipo 01; modo digital/demo del tenant.</x:v>
      </x:c>
      <x:c r="D553" s="13" t="str">
        <x:v>1. Abrir Restaurante; buscar y seleccionar cliente de identidad 0
2. Crear venta 01 ordinaria con P-G, serie autorizada y pago 116
3. Consultar número, cliente, moneda, total, saldo, pagos, inventario y estado fiscal</x:v>
      </x:c>
      <x:c r="E553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5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54" ht="68" customHeight="1">
      <x:c r="A554" s="13" t="str">
        <x:v>QA-MAT-098</x:v>
      </x:c>
      <x:c r="B554" s="13" t="str">
        <x:v>Restaurante / 01 / identidad 1 Venezolano</x:v>
      </x:c>
      <x:c r="C554" s="13" t="str">
        <x:v>Un fixture por identidad doméstica activa, comprador autorizado, factura ordinaria 01/0101 o NV 80/nv. HKA en doble durante matriz comercial.
Cliente QA-1 activo; Restaurante habilitado; total 116; tipo 01; modo digital/demo del tenant.</x:v>
      </x:c>
      <x:c r="D554" s="13" t="str">
        <x:v>1. Abrir Restaurante; buscar y seleccionar cliente de identidad 1
2. Crear venta 01 ordinaria con P-G, serie autorizada y pago 116
3. Consultar número, cliente, moneda, total, saldo, pagos, inventario y estado fiscal</x:v>
      </x:c>
      <x:c r="E554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5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55" ht="68" customHeight="1">
      <x:c r="A555" s="13" t="str">
        <x:v>QA-MAT-099</x:v>
      </x:c>
      <x:c r="B555" s="13" t="str">
        <x:v>Restaurante / 01 / identidad 6 Juridico</x:v>
      </x:c>
      <x:c r="C555" s="13" t="str">
        <x:v>Un fixture por identidad doméstica activa, comprador autorizado, factura ordinaria 01/0101 o NV 80/nv. HKA en doble durante matriz comercial.
Cliente QA-6 activo; Restaurante habilitado; total 116; tipo 01; modo digital/demo del tenant.</x:v>
      </x:c>
      <x:c r="D555" s="13" t="str">
        <x:v>1. Abrir Restaurante; buscar y seleccionar cliente de identidad 6
2. Crear venta 01 ordinaria con P-G, serie autorizada y pago 116
3. Consultar número, cliente, moneda, total, saldo, pagos, inventario y estado fiscal</x:v>
      </x:c>
      <x:c r="E555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5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56" ht="68" customHeight="1">
      <x:c r="A556" s="13" t="str">
        <x:v>QA-MAT-100</x:v>
      </x:c>
      <x:c r="B556" s="13" t="str">
        <x:v>Restaurante / 01 / identidad 7 Pasaporte</x:v>
      </x:c>
      <x:c r="C556" s="13" t="str">
        <x:v>Un fixture por identidad doméstica activa, comprador autorizado, factura ordinaria 01/0101 o NV 80/nv. HKA en doble durante matriz comercial.
Cliente QA-7 activo; Restaurante habilitado; total 116; tipo 01; modo digital/demo del tenant.</x:v>
      </x:c>
      <x:c r="D556" s="13" t="str">
        <x:v>1. Abrir Restaurante; buscar y seleccionar cliente de identidad 7
2. Crear venta 01 ordinaria con P-G, serie autorizada y pago 116
3. Consultar número, cliente, moneda, total, saldo, pagos, inventario y estado fiscal</x:v>
      </x:c>
      <x:c r="E556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5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57" ht="68" customHeight="1">
      <x:c r="A557" s="13" t="str">
        <x:v>QA-MAT-101</x:v>
      </x:c>
      <x:c r="B557" s="13" t="str">
        <x:v>Restaurante / 01 / identidad E Extranjero</x:v>
      </x:c>
      <x:c r="C557" s="13" t="str">
        <x:v>Un fixture por identidad doméstica activa, comprador autorizado, factura ordinaria 01/0101 o NV 80/nv. HKA en doble durante matriz comercial.
Cliente QA-E activo; Restaurante habilitado; total 116; tipo 01; modo digital/demo del tenant.</x:v>
      </x:c>
      <x:c r="D557" s="13" t="str">
        <x:v>1. Abrir Restaurante; buscar y seleccionar cliente de identidad E
2. Crear venta 01 ordinaria con P-G, serie autorizada y pago 116
3. Consultar número, cliente, moneda, total, saldo, pagos, inventario y estado fiscal</x:v>
      </x:c>
      <x:c r="E557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5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58" ht="68" customHeight="1">
      <x:c r="A558" s="13" t="str">
        <x:v>QA-MAT-102</x:v>
      </x:c>
      <x:c r="B558" s="13" t="str">
        <x:v>Restaurante / 01 / identidad C Comuna</x:v>
      </x:c>
      <x:c r="C558" s="13" t="str">
        <x:v>Un fixture por identidad doméstica activa, comprador autorizado, factura ordinaria 01/0101 o NV 80/nv. HKA en doble durante matriz comercial.
Cliente QA-C activo; Restaurante habilitado; total 116; tipo 01; modo digital/demo del tenant.</x:v>
      </x:c>
      <x:c r="D558" s="13" t="str">
        <x:v>1. Abrir Restaurante; buscar y seleccionar cliente de identidad C
2. Crear venta 01 ordinaria con P-G, serie autorizada y pago 116
3. Consultar número, cliente, moneda, total, saldo, pagos, inventario y estado fiscal</x:v>
      </x:c>
      <x:c r="E558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5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59" ht="68" customHeight="1">
      <x:c r="A559" s="13" t="str">
        <x:v>QA-MAT-103</x:v>
      </x:c>
      <x:c r="B559" s="13" t="str">
        <x:v>Restaurante / 01 / identidad G Gubernamental</x:v>
      </x:c>
      <x:c r="C559" s="13" t="str">
        <x:v>Un fixture por identidad doméstica activa, comprador autorizado, factura ordinaria 01/0101 o NV 80/nv. HKA en doble durante matriz comercial.
Cliente QA-G activo; Restaurante habilitado; total 116; tipo 01; modo digital/demo del tenant.</x:v>
      </x:c>
      <x:c r="D559" s="13" t="str">
        <x:v>1. Abrir Restaurante; buscar y seleccionar cliente de identidad G
2. Crear venta 01 ordinaria con P-G, serie autorizada y pago 116
3. Consultar número, cliente, moneda, total, saldo, pagos, inventario y estado fiscal</x:v>
      </x:c>
      <x:c r="E559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5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60" ht="68" customHeight="1">
      <x:c r="A560" s="13" t="str">
        <x:v>QA-MAT-104</x:v>
      </x:c>
      <x:c r="B560" s="13" t="str">
        <x:v>Restaurante / 01 / identidad R Firma Personal</x:v>
      </x:c>
      <x:c r="C560" s="13" t="str">
        <x:v>Un fixture por identidad doméstica activa, comprador autorizado, factura ordinaria 01/0101 o NV 80/nv. HKA en doble durante matriz comercial.
Cliente QA-R activo; Restaurante habilitado; total 116; tipo 01; modo digital/demo del tenant.</x:v>
      </x:c>
      <x:c r="D560" s="13" t="str">
        <x:v>1. Abrir Restaurante; buscar y seleccionar cliente de identidad R
2. Crear venta 01 ordinaria con P-G, serie autorizada y pago 116
3. Consultar número, cliente, moneda, total, saldo, pagos, inventario y estado fiscal</x:v>
      </x:c>
      <x:c r="E560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6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61" ht="68" customHeight="1">
      <x:c r="A561" s="13" t="str">
        <x:v>QA-MAT-105</x:v>
      </x:c>
      <x:c r="B561" s="13" t="str">
        <x:v>Restaurante / 80 / identidad 0 Doc.sin.rif</x:v>
      </x:c>
      <x:c r="C561" s="13" t="str">
        <x:v>Un fixture por identidad doméstica activa, comprador autorizado, factura ordinaria 01/0101 o NV 80/nv. HKA en doble durante matriz comercial.
Cliente QA-0 activo; Restaurante habilitado; total 116; tipo 80; modo digital/demo del tenant.</x:v>
      </x:c>
      <x:c r="D561" s="13" t="str">
        <x:v>1. Abrir Restaurante; buscar y seleccionar cliente de identidad 0
2. Crear venta 80 ordinaria con P-G, serie autorizada y pago 116
3. Consultar número, cliente, moneda, total, saldo, pagos, inventario y estado fiscal</x:v>
      </x:c>
      <x:c r="E561" s="13" t="str">
        <x:v>No existe restricción comercial por identidad 0 contra tipo 80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6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62" ht="68" customHeight="1">
      <x:c r="A562" s="13" t="str">
        <x:v>QA-MAT-106</x:v>
      </x:c>
      <x:c r="B562" s="13" t="str">
        <x:v>Restaurante / 80 / identidad 1 Venezolano</x:v>
      </x:c>
      <x:c r="C562" s="13" t="str">
        <x:v>Un fixture por identidad doméstica activa, comprador autorizado, factura ordinaria 01/0101 o NV 80/nv. HKA en doble durante matriz comercial.
Cliente QA-1 activo; Restaurante habilitado; total 116; tipo 80; modo digital/demo del tenant.</x:v>
      </x:c>
      <x:c r="D562" s="13" t="str">
        <x:v>1. Abrir Restaurante; buscar y seleccionar cliente de identidad 1
2. Crear venta 80 ordinaria con P-G, serie autorizada y pago 116
3. Consultar número, cliente, moneda, total, saldo, pagos, inventario y estado fiscal</x:v>
      </x:c>
      <x:c r="E562" s="13" t="str">
        <x:v>No existe restricción comercial por identidad 1 contra tipo 80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6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63" ht="68" customHeight="1">
      <x:c r="A563" s="13" t="str">
        <x:v>QA-MAT-107</x:v>
      </x:c>
      <x:c r="B563" s="13" t="str">
        <x:v>Restaurante / 80 / identidad 6 Juridico</x:v>
      </x:c>
      <x:c r="C563" s="13" t="str">
        <x:v>Un fixture por identidad doméstica activa, comprador autorizado, factura ordinaria 01/0101 o NV 80/nv. HKA en doble durante matriz comercial.
Cliente QA-6 activo; Restaurante habilitado; total 116; tipo 80; modo digital/demo del tenant.</x:v>
      </x:c>
      <x:c r="D563" s="13" t="str">
        <x:v>1. Abrir Restaurante; buscar y seleccionar cliente de identidad 6
2. Crear venta 80 ordinaria con P-G, serie autorizada y pago 116
3. Consultar número, cliente, moneda, total, saldo, pagos, inventario y estado fiscal</x:v>
      </x:c>
      <x:c r="E563" s="13" t="str">
        <x:v>No existe restricción comercial por identidad 6 contra tipo 80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6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64" ht="68" customHeight="1">
      <x:c r="A564" s="13" t="str">
        <x:v>QA-MAT-108</x:v>
      </x:c>
      <x:c r="B564" s="13" t="str">
        <x:v>Restaurante / 80 / identidad 7 Pasaporte</x:v>
      </x:c>
      <x:c r="C564" s="13" t="str">
        <x:v>Un fixture por identidad doméstica activa, comprador autorizado, factura ordinaria 01/0101 o NV 80/nv. HKA en doble durante matriz comercial.
Cliente QA-7 activo; Restaurante habilitado; total 116; tipo 80; modo digital/demo del tenant.</x:v>
      </x:c>
      <x:c r="D564" s="13" t="str">
        <x:v>1. Abrir Restaurante; buscar y seleccionar cliente de identidad 7
2. Crear venta 80 ordinaria con P-G, serie autorizada y pago 116
3. Consultar número, cliente, moneda, total, saldo, pagos, inventario y estado fiscal</x:v>
      </x:c>
      <x:c r="E564" s="13" t="str">
        <x:v>No existe restricción comercial por identidad 7 contra tipo 80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6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65" ht="68" customHeight="1">
      <x:c r="A565" s="13" t="str">
        <x:v>QA-MAT-109</x:v>
      </x:c>
      <x:c r="B565" s="13" t="str">
        <x:v>Restaurante / 80 / identidad E Extranjero</x:v>
      </x:c>
      <x:c r="C565" s="13" t="str">
        <x:v>Un fixture por identidad doméstica activa, comprador autorizado, factura ordinaria 01/0101 o NV 80/nv. HKA en doble durante matriz comercial.
Cliente QA-E activo; Restaurante habilitado; total 116; tipo 80; modo digital/demo del tenant.</x:v>
      </x:c>
      <x:c r="D565" s="13" t="str">
        <x:v>1. Abrir Restaurante; buscar y seleccionar cliente de identidad E
2. Crear venta 80 ordinaria con P-G, serie autorizada y pago 116
3. Consultar número, cliente, moneda, total, saldo, pagos, inventario y estado fiscal</x:v>
      </x:c>
      <x:c r="E565" s="13" t="str">
        <x:v>No existe restricción comercial por identidad E contra tipo 80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6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66" ht="68" customHeight="1">
      <x:c r="A566" s="13" t="str">
        <x:v>QA-MAT-110</x:v>
      </x:c>
      <x:c r="B566" s="13" t="str">
        <x:v>Restaurante / 80 / identidad C Comuna</x:v>
      </x:c>
      <x:c r="C566" s="13" t="str">
        <x:v>Un fixture por identidad doméstica activa, comprador autorizado, factura ordinaria 01/0101 o NV 80/nv. HKA en doble durante matriz comercial.
Cliente QA-C activo; Restaurante habilitado; total 116; tipo 80; modo digital/demo del tenant.</x:v>
      </x:c>
      <x:c r="D566" s="13" t="str">
        <x:v>1. Abrir Restaurante; buscar y seleccionar cliente de identidad C
2. Crear venta 80 ordinaria con P-G, serie autorizada y pago 116
3. Consultar número, cliente, moneda, total, saldo, pagos, inventario y estado fiscal</x:v>
      </x:c>
      <x:c r="E566" s="13" t="str">
        <x:v>No existe restricción comercial por identidad C contra tipo 80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6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67" ht="68" customHeight="1">
      <x:c r="A567" s="13" t="str">
        <x:v>QA-MAT-111</x:v>
      </x:c>
      <x:c r="B567" s="13" t="str">
        <x:v>Restaurante / 80 / identidad G Gubernamental</x:v>
      </x:c>
      <x:c r="C567" s="13" t="str">
        <x:v>Un fixture por identidad doméstica activa, comprador autorizado, factura ordinaria 01/0101 o NV 80/nv. HKA en doble durante matriz comercial.
Cliente QA-G activo; Restaurante habilitado; total 116; tipo 80; modo digital/demo del tenant.</x:v>
      </x:c>
      <x:c r="D567" s="13" t="str">
        <x:v>1. Abrir Restaurante; buscar y seleccionar cliente de identidad G
2. Crear venta 80 ordinaria con P-G, serie autorizada y pago 116
3. Consultar número, cliente, moneda, total, saldo, pagos, inventario y estado fiscal</x:v>
      </x:c>
      <x:c r="E567" s="13" t="str">
        <x:v>No existe restricción comercial por identidad G contra tipo 80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6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68" ht="68" customHeight="1">
      <x:c r="A568" s="13" t="str">
        <x:v>QA-MAT-112</x:v>
      </x:c>
      <x:c r="B568" s="13" t="str">
        <x:v>Restaurante / 80 / identidad R Firma Personal</x:v>
      </x:c>
      <x:c r="C568" s="13" t="str">
        <x:v>Un fixture por identidad doméstica activa, comprador autorizado, factura ordinaria 01/0101 o NV 80/nv. HKA en doble durante matriz comercial.
Cliente QA-R activo; Restaurante habilitado; total 116; tipo 80; modo digital/demo del tenant.</x:v>
      </x:c>
      <x:c r="D568" s="13" t="str">
        <x:v>1. Abrir Restaurante; buscar y seleccionar cliente de identidad R
2. Crear venta 80 ordinaria con P-G, serie autorizada y pago 116
3. Consultar número, cliente, moneda, total, saldo, pagos, inventario y estado fiscal</x:v>
      </x:c>
      <x:c r="E568" s="13" t="str">
        <x:v>No existe restricción comercial por identidad R contra tipo 80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6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69" ht="68" customHeight="1">
      <x:c r="A569" s="13" t="str">
        <x:v>QA-MAT-113</x:v>
      </x:c>
      <x:c r="B569" s="13" t="str">
        <x:v>Ecommerce / 01 / identidad 0 Doc.sin.rif</x:v>
      </x:c>
      <x:c r="C569" s="13" t="str">
        <x:v>Un fixture por identidad doméstica activa, comprador autorizado, factura ordinaria 01/0101 o NV 80/nv. HKA en doble durante matriz comercial.
Cliente QA-0 activo; Ecommerce habilitado; total 116; tipo 01; modo digital/demo del tenant.</x:v>
      </x:c>
      <x:c r="D569" s="13" t="str">
        <x:v>1. Abrir Ecommerce; buscar y seleccionar cliente de identidad 0
2. Crear venta 01 ordinaria con P-G, serie autorizada y pago 116
3. Consultar número, cliente, moneda, total, saldo, pagos, inventario y estado fiscal</x:v>
      </x:c>
      <x:c r="E569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6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70" ht="68" customHeight="1">
      <x:c r="A570" s="13" t="str">
        <x:v>QA-MAT-114</x:v>
      </x:c>
      <x:c r="B570" s="13" t="str">
        <x:v>Ecommerce / 01 / identidad 1 Venezolano</x:v>
      </x:c>
      <x:c r="C570" s="13" t="str">
        <x:v>Un fixture por identidad doméstica activa, comprador autorizado, factura ordinaria 01/0101 o NV 80/nv. HKA en doble durante matriz comercial.
Cliente QA-1 activo; Ecommerce habilitado; total 116; tipo 01; modo digital/demo del tenant.</x:v>
      </x:c>
      <x:c r="D570" s="13" t="str">
        <x:v>1. Abrir Ecommerce; buscar y seleccionar cliente de identidad 1
2. Crear venta 01 ordinaria con P-G, serie autorizada y pago 116
3. Consultar número, cliente, moneda, total, saldo, pagos, inventario y estado fiscal</x:v>
      </x:c>
      <x:c r="E570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7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71" ht="68" customHeight="1">
      <x:c r="A571" s="13" t="str">
        <x:v>QA-MAT-115</x:v>
      </x:c>
      <x:c r="B571" s="13" t="str">
        <x:v>Ecommerce / 01 / identidad 6 Juridico</x:v>
      </x:c>
      <x:c r="C571" s="13" t="str">
        <x:v>Un fixture por identidad doméstica activa, comprador autorizado, factura ordinaria 01/0101 o NV 80/nv. HKA en doble durante matriz comercial.
Cliente QA-6 activo; Ecommerce habilitado; total 116; tipo 01; modo digital/demo del tenant.</x:v>
      </x:c>
      <x:c r="D571" s="13" t="str">
        <x:v>1. Abrir Ecommerce; buscar y seleccionar cliente de identidad 6
2. Crear venta 01 ordinaria con P-G, serie autorizada y pago 116
3. Consultar número, cliente, moneda, total, saldo, pagos, inventario y estado fiscal</x:v>
      </x:c>
      <x:c r="E571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7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72" ht="68" customHeight="1">
      <x:c r="A572" s="13" t="str">
        <x:v>QA-MAT-116</x:v>
      </x:c>
      <x:c r="B572" s="13" t="str">
        <x:v>Ecommerce / 01 / identidad 7 Pasaporte</x:v>
      </x:c>
      <x:c r="C572" s="13" t="str">
        <x:v>Un fixture por identidad doméstica activa, comprador autorizado, factura ordinaria 01/0101 o NV 80/nv. HKA en doble durante matriz comercial.
Cliente QA-7 activo; Ecommerce habilitado; total 116; tipo 01; modo digital/demo del tenant.</x:v>
      </x:c>
      <x:c r="D572" s="13" t="str">
        <x:v>1. Abrir Ecommerce; buscar y seleccionar cliente de identidad 7
2. Crear venta 01 ordinaria con P-G, serie autorizada y pago 116
3. Consultar número, cliente, moneda, total, saldo, pagos, inventario y estado fiscal</x:v>
      </x:c>
      <x:c r="E572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7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73" ht="68" customHeight="1">
      <x:c r="A573" s="13" t="str">
        <x:v>QA-MAT-117</x:v>
      </x:c>
      <x:c r="B573" s="13" t="str">
        <x:v>Ecommerce / 01 / identidad E Extranjero</x:v>
      </x:c>
      <x:c r="C573" s="13" t="str">
        <x:v>Un fixture por identidad doméstica activa, comprador autorizado, factura ordinaria 01/0101 o NV 80/nv. HKA en doble durante matriz comercial.
Cliente QA-E activo; Ecommerce habilitado; total 116; tipo 01; modo digital/demo del tenant.</x:v>
      </x:c>
      <x:c r="D573" s="13" t="str">
        <x:v>1. Abrir Ecommerce; buscar y seleccionar cliente de identidad E
2. Crear venta 01 ordinaria con P-G, serie autorizada y pago 116
3. Consultar número, cliente, moneda, total, saldo, pagos, inventario y estado fiscal</x:v>
      </x:c>
      <x:c r="E573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7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74" ht="68" customHeight="1">
      <x:c r="A574" s="13" t="str">
        <x:v>QA-MAT-118</x:v>
      </x:c>
      <x:c r="B574" s="13" t="str">
        <x:v>Ecommerce / 01 / identidad C Comuna</x:v>
      </x:c>
      <x:c r="C574" s="13" t="str">
        <x:v>Un fixture por identidad doméstica activa, comprador autorizado, factura ordinaria 01/0101 o NV 80/nv. HKA en doble durante matriz comercial.
Cliente QA-C activo; Ecommerce habilitado; total 116; tipo 01; modo digital/demo del tenant.</x:v>
      </x:c>
      <x:c r="D574" s="13" t="str">
        <x:v>1. Abrir Ecommerce; buscar y seleccionar cliente de identidad C
2. Crear venta 01 ordinaria con P-G, serie autorizada y pago 116
3. Consultar número, cliente, moneda, total, saldo, pagos, inventario y estado fiscal</x:v>
      </x:c>
      <x:c r="E574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7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75" ht="68" customHeight="1">
      <x:c r="A575" s="13" t="str">
        <x:v>QA-MAT-119</x:v>
      </x:c>
      <x:c r="B575" s="13" t="str">
        <x:v>Ecommerce / 01 / identidad G Gubernamental</x:v>
      </x:c>
      <x:c r="C575" s="13" t="str">
        <x:v>Un fixture por identidad doméstica activa, comprador autorizado, factura ordinaria 01/0101 o NV 80/nv. HKA en doble durante matriz comercial.
Cliente QA-G activo; Ecommerce habilitado; total 116; tipo 01; modo digital/demo del tenant.</x:v>
      </x:c>
      <x:c r="D575" s="13" t="str">
        <x:v>1. Abrir Ecommerce; buscar y seleccionar cliente de identidad G
2. Crear venta 01 ordinaria con P-G, serie autorizada y pago 116
3. Consultar número, cliente, moneda, total, saldo, pagos, inventario y estado fiscal</x:v>
      </x:c>
      <x:c r="E575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7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76" ht="68" customHeight="1">
      <x:c r="A576" s="13" t="str">
        <x:v>QA-MAT-120</x:v>
      </x:c>
      <x:c r="B576" s="13" t="str">
        <x:v>Ecommerce / 01 / identidad R Firma Personal</x:v>
      </x:c>
      <x:c r="C576" s="13" t="str">
        <x:v>Un fixture por identidad doméstica activa, comprador autorizado, factura ordinaria 01/0101 o NV 80/nv. HKA en doble durante matriz comercial.
Cliente QA-R activo; Ecommerce habilitado; total 116; tipo 01; modo digital/demo del tenant.</x:v>
      </x:c>
      <x:c r="D576" s="13" t="str">
        <x:v>1. Abrir Ecommerce; buscar y seleccionar cliente de identidad R
2. Crear venta 01 ordinaria con P-G, serie autorizada y pago 116
3. Consultar número, cliente, moneda, total, saldo, pagos, inventario y estado fiscal</x:v>
      </x:c>
      <x:c r="E576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7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77" ht="68" customHeight="1">
      <x:c r="A577" s="13" t="str">
        <x:v>QA-MAT-121</x:v>
      </x:c>
      <x:c r="B577" s="13" t="str">
        <x:v>Ecommerce / 80 / identidad 0 Doc.sin.rif</x:v>
      </x:c>
      <x:c r="C577" s="13" t="str">
        <x:v>Un fixture por identidad doméstica activa, comprador autorizado, factura ordinaria 01/0101 o NV 80/nv. HKA en doble durante matriz comercial.
Cliente QA-0 activo; Ecommerce habilitado; total 116; tipo 80; modo digital/demo del tenant.</x:v>
      </x:c>
      <x:c r="D577" s="13" t="str">
        <x:v>1. Abrir Ecommerce; buscar y seleccionar cliente de identidad 0
2. Crear venta 80 ordinaria con P-G, serie autorizada y pago 116
3. Consultar número, cliente, moneda, total, saldo, pagos, inventario y estado fiscal</x:v>
      </x:c>
      <x:c r="E577" s="13" t="str">
        <x:v>No existe restricción comercial por identidad 0 contra tipo 80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7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78" ht="68" customHeight="1">
      <x:c r="A578" s="13" t="str">
        <x:v>QA-MAT-122</x:v>
      </x:c>
      <x:c r="B578" s="13" t="str">
        <x:v>Ecommerce / 80 / identidad 1 Venezolano</x:v>
      </x:c>
      <x:c r="C578" s="13" t="str">
        <x:v>Un fixture por identidad doméstica activa, comprador autorizado, factura ordinaria 01/0101 o NV 80/nv. HKA en doble durante matriz comercial.
Cliente QA-1 activo; Ecommerce habilitado; total 116; tipo 80; modo digital/demo del tenant.</x:v>
      </x:c>
      <x:c r="D578" s="13" t="str">
        <x:v>1. Abrir Ecommerce; buscar y seleccionar cliente de identidad 1
2. Crear venta 80 ordinaria con P-G, serie autorizada y pago 116
3. Consultar número, cliente, moneda, total, saldo, pagos, inventario y estado fiscal</x:v>
      </x:c>
      <x:c r="E578" s="13" t="str">
        <x:v>No existe restricción comercial por identidad 1 contra tipo 80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7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79" ht="68" customHeight="1">
      <x:c r="A579" s="13" t="str">
        <x:v>QA-MAT-123</x:v>
      </x:c>
      <x:c r="B579" s="13" t="str">
        <x:v>Ecommerce / 80 / identidad 6 Juridico</x:v>
      </x:c>
      <x:c r="C579" s="13" t="str">
        <x:v>Un fixture por identidad doméstica activa, comprador autorizado, factura ordinaria 01/0101 o NV 80/nv. HKA en doble durante matriz comercial.
Cliente QA-6 activo; Ecommerce habilitado; total 116; tipo 80; modo digital/demo del tenant.</x:v>
      </x:c>
      <x:c r="D579" s="13" t="str">
        <x:v>1. Abrir Ecommerce; buscar y seleccionar cliente de identidad 6
2. Crear venta 80 ordinaria con P-G, serie autorizada y pago 116
3. Consultar número, cliente, moneda, total, saldo, pagos, inventario y estado fiscal</x:v>
      </x:c>
      <x:c r="E579" s="13" t="str">
        <x:v>No existe restricción comercial por identidad 6 contra tipo 80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7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80" ht="68" customHeight="1">
      <x:c r="A580" s="13" t="str">
        <x:v>QA-MAT-124</x:v>
      </x:c>
      <x:c r="B580" s="13" t="str">
        <x:v>Ecommerce / 80 / identidad 7 Pasaporte</x:v>
      </x:c>
      <x:c r="C580" s="13" t="str">
        <x:v>Un fixture por identidad doméstica activa, comprador autorizado, factura ordinaria 01/0101 o NV 80/nv. HKA en doble durante matriz comercial.
Cliente QA-7 activo; Ecommerce habilitado; total 116; tipo 80; modo digital/demo del tenant.</x:v>
      </x:c>
      <x:c r="D580" s="13" t="str">
        <x:v>1. Abrir Ecommerce; buscar y seleccionar cliente de identidad 7
2. Crear venta 80 ordinaria con P-G, serie autorizada y pago 116
3. Consultar número, cliente, moneda, total, saldo, pagos, inventario y estado fiscal</x:v>
      </x:c>
      <x:c r="E580" s="13" t="str">
        <x:v>No existe restricción comercial por identidad 7 contra tipo 80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8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81" ht="68" customHeight="1">
      <x:c r="A581" s="13" t="str">
        <x:v>QA-MAT-125</x:v>
      </x:c>
      <x:c r="B581" s="13" t="str">
        <x:v>Ecommerce / 80 / identidad E Extranjero</x:v>
      </x:c>
      <x:c r="C581" s="13" t="str">
        <x:v>Un fixture por identidad doméstica activa, comprador autorizado, factura ordinaria 01/0101 o NV 80/nv. HKA en doble durante matriz comercial.
Cliente QA-E activo; Ecommerce habilitado; total 116; tipo 80; modo digital/demo del tenant.</x:v>
      </x:c>
      <x:c r="D581" s="13" t="str">
        <x:v>1. Abrir Ecommerce; buscar y seleccionar cliente de identidad E
2. Crear venta 80 ordinaria con P-G, serie autorizada y pago 116
3. Consultar número, cliente, moneda, total, saldo, pagos, inventario y estado fiscal</x:v>
      </x:c>
      <x:c r="E581" s="13" t="str">
        <x:v>No existe restricción comercial por identidad E contra tipo 80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8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82" ht="68" customHeight="1">
      <x:c r="A582" s="13" t="str">
        <x:v>QA-MAT-126</x:v>
      </x:c>
      <x:c r="B582" s="13" t="str">
        <x:v>Ecommerce / 80 / identidad C Comuna</x:v>
      </x:c>
      <x:c r="C582" s="13" t="str">
        <x:v>Un fixture por identidad doméstica activa, comprador autorizado, factura ordinaria 01/0101 o NV 80/nv. HKA en doble durante matriz comercial.
Cliente QA-C activo; Ecommerce habilitado; total 116; tipo 80; modo digital/demo del tenant.</x:v>
      </x:c>
      <x:c r="D582" s="13" t="str">
        <x:v>1. Abrir Ecommerce; buscar y seleccionar cliente de identidad C
2. Crear venta 80 ordinaria con P-G, serie autorizada y pago 116
3. Consultar número, cliente, moneda, total, saldo, pagos, inventario y estado fiscal</x:v>
      </x:c>
      <x:c r="E582" s="13" t="str">
        <x:v>No existe restricción comercial por identidad C contra tipo 80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8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83" ht="68" customHeight="1">
      <x:c r="A583" s="13" t="str">
        <x:v>QA-MAT-127</x:v>
      </x:c>
      <x:c r="B583" s="13" t="str">
        <x:v>Ecommerce / 80 / identidad G Gubernamental</x:v>
      </x:c>
      <x:c r="C583" s="13" t="str">
        <x:v>Un fixture por identidad doméstica activa, comprador autorizado, factura ordinaria 01/0101 o NV 80/nv. HKA en doble durante matriz comercial.
Cliente QA-G activo; Ecommerce habilitado; total 116; tipo 80; modo digital/demo del tenant.</x:v>
      </x:c>
      <x:c r="D583" s="13" t="str">
        <x:v>1. Abrir Ecommerce; buscar y seleccionar cliente de identidad G
2. Crear venta 80 ordinaria con P-G, serie autorizada y pago 116
3. Consultar número, cliente, moneda, total, saldo, pagos, inventario y estado fiscal</x:v>
      </x:c>
      <x:c r="E583" s="13" t="str">
        <x:v>No existe restricción comercial por identidad G contra tipo 80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8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84" ht="68" customHeight="1">
      <x:c r="A584" s="13" t="str">
        <x:v>QA-MAT-128</x:v>
      </x:c>
      <x:c r="B584" s="13" t="str">
        <x:v>Ecommerce / 80 / identidad R Firma Personal</x:v>
      </x:c>
      <x:c r="C584" s="13" t="str">
        <x:v>Un fixture por identidad doméstica activa, comprador autorizado, factura ordinaria 01/0101 o NV 80/nv. HKA en doble durante matriz comercial.
Cliente QA-R activo; Ecommerce habilitado; total 116; tipo 80; modo digital/demo del tenant.</x:v>
      </x:c>
      <x:c r="D584" s="13" t="str">
        <x:v>1. Abrir Ecommerce; buscar y seleccionar cliente de identidad R
2. Crear venta 80 ordinaria con P-G, serie autorizada y pago 116
3. Consultar número, cliente, moneda, total, saldo, pagos, inventario y estado fiscal</x:v>
      </x:c>
      <x:c r="E584" s="13" t="str">
        <x:v>No existe restricción comercial por identidad R contra tipo 80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8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85" ht="68" customHeight="1">
      <x:c r="A585" s="13" t="str">
        <x:v>QA-MAT-129</x:v>
      </x:c>
      <x:c r="B585" s="13" t="str">
        <x:v>Mi Tienda / Store / 01 / identidad 0 Doc.sin.rif</x:v>
      </x:c>
      <x:c r="C585" s="13" t="str">
        <x:v>Un fixture por identidad doméstica activa, comprador autorizado, factura ordinaria 01/0101 o NV 80/nv. HKA en doble durante matriz comercial.
Cliente QA-0 activo; Mi Tienda / Store habilitado; total 116; tipo 01; modo digital/demo del tenant.</x:v>
      </x:c>
      <x:c r="D585" s="13" t="str">
        <x:v>1. Abrir Mi Tienda / Store; buscar y seleccionar cliente de identidad 0
2. Crear venta 01 ordinaria con P-G, serie autorizada y pago 116
3. Consultar número, cliente, moneda, total, saldo, pagos, inventario y estado fiscal</x:v>
      </x:c>
      <x:c r="E585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8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86" ht="68" customHeight="1">
      <x:c r="A586" s="13" t="str">
        <x:v>QA-MAT-130</x:v>
      </x:c>
      <x:c r="B586" s="13" t="str">
        <x:v>Mi Tienda / Store / 01 / identidad 1 Venezolano</x:v>
      </x:c>
      <x:c r="C586" s="13" t="str">
        <x:v>Un fixture por identidad doméstica activa, comprador autorizado, factura ordinaria 01/0101 o NV 80/nv. HKA en doble durante matriz comercial.
Cliente QA-1 activo; Mi Tienda / Store habilitado; total 116; tipo 01; modo digital/demo del tenant.</x:v>
      </x:c>
      <x:c r="D586" s="13" t="str">
        <x:v>1. Abrir Mi Tienda / Store; buscar y seleccionar cliente de identidad 1
2. Crear venta 01 ordinaria con P-G, serie autorizada y pago 116
3. Consultar número, cliente, moneda, total, saldo, pagos, inventario y estado fiscal</x:v>
      </x:c>
      <x:c r="E586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8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87" ht="68" customHeight="1">
      <x:c r="A587" s="13" t="str">
        <x:v>QA-MAT-131</x:v>
      </x:c>
      <x:c r="B587" s="13" t="str">
        <x:v>Mi Tienda / Store / 01 / identidad 6 Juridico</x:v>
      </x:c>
      <x:c r="C587" s="13" t="str">
        <x:v>Un fixture por identidad doméstica activa, comprador autorizado, factura ordinaria 01/0101 o NV 80/nv. HKA en doble durante matriz comercial.
Cliente QA-6 activo; Mi Tienda / Store habilitado; total 116; tipo 01; modo digital/demo del tenant.</x:v>
      </x:c>
      <x:c r="D587" s="13" t="str">
        <x:v>1. Abrir Mi Tienda / Store; buscar y seleccionar cliente de identidad 6
2. Crear venta 01 ordinaria con P-G, serie autorizada y pago 116
3. Consultar número, cliente, moneda, total, saldo, pagos, inventario y estado fiscal</x:v>
      </x:c>
      <x:c r="E587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8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88" ht="68" customHeight="1">
      <x:c r="A588" s="13" t="str">
        <x:v>QA-MAT-132</x:v>
      </x:c>
      <x:c r="B588" s="13" t="str">
        <x:v>Mi Tienda / Store / 01 / identidad 7 Pasaporte</x:v>
      </x:c>
      <x:c r="C588" s="13" t="str">
        <x:v>Un fixture por identidad doméstica activa, comprador autorizado, factura ordinaria 01/0101 o NV 80/nv. HKA en doble durante matriz comercial.
Cliente QA-7 activo; Mi Tienda / Store habilitado; total 116; tipo 01; modo digital/demo del tenant.</x:v>
      </x:c>
      <x:c r="D588" s="13" t="str">
        <x:v>1. Abrir Mi Tienda / Store; buscar y seleccionar cliente de identidad 7
2. Crear venta 01 ordinaria con P-G, serie autorizada y pago 116
3. Consultar número, cliente, moneda, total, saldo, pagos, inventario y estado fiscal</x:v>
      </x:c>
      <x:c r="E588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8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89" ht="68" customHeight="1">
      <x:c r="A589" s="13" t="str">
        <x:v>QA-MAT-133</x:v>
      </x:c>
      <x:c r="B589" s="13" t="str">
        <x:v>Mi Tienda / Store / 01 / identidad E Extranjero</x:v>
      </x:c>
      <x:c r="C589" s="13" t="str">
        <x:v>Un fixture por identidad doméstica activa, comprador autorizado, factura ordinaria 01/0101 o NV 80/nv. HKA en doble durante matriz comercial.
Cliente QA-E activo; Mi Tienda / Store habilitado; total 116; tipo 01; modo digital/demo del tenant.</x:v>
      </x:c>
      <x:c r="D589" s="13" t="str">
        <x:v>1. Abrir Mi Tienda / Store; buscar y seleccionar cliente de identidad E
2. Crear venta 01 ordinaria con P-G, serie autorizada y pago 116
3. Consultar número, cliente, moneda, total, saldo, pagos, inventario y estado fiscal</x:v>
      </x:c>
      <x:c r="E589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8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90" ht="68" customHeight="1">
      <x:c r="A590" s="13" t="str">
        <x:v>QA-MAT-134</x:v>
      </x:c>
      <x:c r="B590" s="13" t="str">
        <x:v>Mi Tienda / Store / 01 / identidad C Comuna</x:v>
      </x:c>
      <x:c r="C590" s="13" t="str">
        <x:v>Un fixture por identidad doméstica activa, comprador autorizado, factura ordinaria 01/0101 o NV 80/nv. HKA en doble durante matriz comercial.
Cliente QA-C activo; Mi Tienda / Store habilitado; total 116; tipo 01; modo digital/demo del tenant.</x:v>
      </x:c>
      <x:c r="D590" s="13" t="str">
        <x:v>1. Abrir Mi Tienda / Store; buscar y seleccionar cliente de identidad C
2. Crear venta 01 ordinaria con P-G, serie autorizada y pago 116
3. Consultar número, cliente, moneda, total, saldo, pagos, inventario y estado fiscal</x:v>
      </x:c>
      <x:c r="E590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9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91" ht="68" customHeight="1">
      <x:c r="A591" s="13" t="str">
        <x:v>QA-MAT-135</x:v>
      </x:c>
      <x:c r="B591" s="13" t="str">
        <x:v>Mi Tienda / Store / 01 / identidad G Gubernamental</x:v>
      </x:c>
      <x:c r="C591" s="13" t="str">
        <x:v>Un fixture por identidad doméstica activa, comprador autorizado, factura ordinaria 01/0101 o NV 80/nv. HKA en doble durante matriz comercial.
Cliente QA-G activo; Mi Tienda / Store habilitado; total 116; tipo 01; modo digital/demo del tenant.</x:v>
      </x:c>
      <x:c r="D591" s="13" t="str">
        <x:v>1. Abrir Mi Tienda / Store; buscar y seleccionar cliente de identidad G
2. Crear venta 01 ordinaria con P-G, serie autorizada y pago 116
3. Consultar número, cliente, moneda, total, saldo, pagos, inventario y estado fiscal</x:v>
      </x:c>
      <x:c r="E591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9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92" ht="68" customHeight="1">
      <x:c r="A592" s="13" t="str">
        <x:v>QA-MAT-136</x:v>
      </x:c>
      <x:c r="B592" s="13" t="str">
        <x:v>Mi Tienda / Store / 01 / identidad R Firma Personal</x:v>
      </x:c>
      <x:c r="C592" s="13" t="str">
        <x:v>Un fixture por identidad doméstica activa, comprador autorizado, factura ordinaria 01/0101 o NV 80/nv. HKA en doble durante matriz comercial.
Cliente QA-R activo; Mi Tienda / Store habilitado; total 116; tipo 01; modo digital/demo del tenant.</x:v>
      </x:c>
      <x:c r="D592" s="13" t="str">
        <x:v>1. Abrir Mi Tienda / Store; buscar y seleccionar cliente de identidad R
2. Crear venta 01 ordinaria con P-G, serie autorizada y pago 116
3. Consultar número, cliente, moneda, total, saldo, pagos, inventario y estado fiscal</x:v>
      </x:c>
      <x:c r="E592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9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93" ht="68" customHeight="1">
      <x:c r="A593" s="13" t="str">
        <x:v>QA-MAT-137</x:v>
      </x:c>
      <x:c r="B593" s="13" t="str">
        <x:v>Mi Tienda / Store / 80 / identidad 0 Doc.sin.rif</x:v>
      </x:c>
      <x:c r="C593" s="13" t="str">
        <x:v>Un fixture por identidad doméstica activa, comprador autorizado, factura ordinaria 01/0101 o NV 80/nv. HKA en doble durante matriz comercial.
Cliente QA-0 activo; Mi Tienda / Store habilitado; total 116; tipo 80; modo digital/demo del tenant.</x:v>
      </x:c>
      <x:c r="D593" s="13" t="str">
        <x:v>1. Abrir Mi Tienda / Store; buscar y seleccionar cliente de identidad 0
2. Crear venta 80 ordinaria con P-G, serie autorizada y pago 116
3. Consultar número, cliente, moneda, total, saldo, pagos, inventario y estado fiscal</x:v>
      </x:c>
      <x:c r="E593" s="13" t="str">
        <x:v>No existe restricción comercial por identidad 0 contra tipo 80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9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94" ht="68" customHeight="1">
      <x:c r="A594" s="13" t="str">
        <x:v>QA-MAT-138</x:v>
      </x:c>
      <x:c r="B594" s="13" t="str">
        <x:v>Mi Tienda / Store / 80 / identidad 1 Venezolano</x:v>
      </x:c>
      <x:c r="C594" s="13" t="str">
        <x:v>Un fixture por identidad doméstica activa, comprador autorizado, factura ordinaria 01/0101 o NV 80/nv. HKA en doble durante matriz comercial.
Cliente QA-1 activo; Mi Tienda / Store habilitado; total 116; tipo 80; modo digital/demo del tenant.</x:v>
      </x:c>
      <x:c r="D594" s="13" t="str">
        <x:v>1. Abrir Mi Tienda / Store; buscar y seleccionar cliente de identidad 1
2. Crear venta 80 ordinaria con P-G, serie autorizada y pago 116
3. Consultar número, cliente, moneda, total, saldo, pagos, inventario y estado fiscal</x:v>
      </x:c>
      <x:c r="E594" s="13" t="str">
        <x:v>No existe restricción comercial por identidad 1 contra tipo 80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9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95" ht="68" customHeight="1">
      <x:c r="A595" s="13" t="str">
        <x:v>QA-MAT-139</x:v>
      </x:c>
      <x:c r="B595" s="13" t="str">
        <x:v>Mi Tienda / Store / 80 / identidad 6 Juridico</x:v>
      </x:c>
      <x:c r="C595" s="13" t="str">
        <x:v>Un fixture por identidad doméstica activa, comprador autorizado, factura ordinaria 01/0101 o NV 80/nv. HKA en doble durante matriz comercial.
Cliente QA-6 activo; Mi Tienda / Store habilitado; total 116; tipo 80; modo digital/demo del tenant.</x:v>
      </x:c>
      <x:c r="D595" s="13" t="str">
        <x:v>1. Abrir Mi Tienda / Store; buscar y seleccionar cliente de identidad 6
2. Crear venta 80 ordinaria con P-G, serie autorizada y pago 116
3. Consultar número, cliente, moneda, total, saldo, pagos, inventario y estado fiscal</x:v>
      </x:c>
      <x:c r="E595" s="13" t="str">
        <x:v>No existe restricción comercial por identidad 6 contra tipo 80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9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96" ht="68" customHeight="1">
      <x:c r="A596" s="13" t="str">
        <x:v>QA-MAT-140</x:v>
      </x:c>
      <x:c r="B596" s="13" t="str">
        <x:v>Mi Tienda / Store / 80 / identidad 7 Pasaporte</x:v>
      </x:c>
      <x:c r="C596" s="13" t="str">
        <x:v>Un fixture por identidad doméstica activa, comprador autorizado, factura ordinaria 01/0101 o NV 80/nv. HKA en doble durante matriz comercial.
Cliente QA-7 activo; Mi Tienda / Store habilitado; total 116; tipo 80; modo digital/demo del tenant.</x:v>
      </x:c>
      <x:c r="D596" s="13" t="str">
        <x:v>1. Abrir Mi Tienda / Store; buscar y seleccionar cliente de identidad 7
2. Crear venta 80 ordinaria con P-G, serie autorizada y pago 116
3. Consultar número, cliente, moneda, total, saldo, pagos, inventario y estado fiscal</x:v>
      </x:c>
      <x:c r="E596" s="13" t="str">
        <x:v>No existe restricción comercial por identidad 7 contra tipo 80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9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97" ht="68" customHeight="1">
      <x:c r="A597" s="13" t="str">
        <x:v>QA-MAT-141</x:v>
      </x:c>
      <x:c r="B597" s="13" t="str">
        <x:v>Mi Tienda / Store / 80 / identidad E Extranjero</x:v>
      </x:c>
      <x:c r="C597" s="13" t="str">
        <x:v>Un fixture por identidad doméstica activa, comprador autorizado, factura ordinaria 01/0101 o NV 80/nv. HKA en doble durante matriz comercial.
Cliente QA-E activo; Mi Tienda / Store habilitado; total 116; tipo 80; modo digital/demo del tenant.</x:v>
      </x:c>
      <x:c r="D597" s="13" t="str">
        <x:v>1. Abrir Mi Tienda / Store; buscar y seleccionar cliente de identidad E
2. Crear venta 80 ordinaria con P-G, serie autorizada y pago 116
3. Consultar número, cliente, moneda, total, saldo, pagos, inventario y estado fiscal</x:v>
      </x:c>
      <x:c r="E597" s="13" t="str">
        <x:v>No existe restricción comercial por identidad E contra tipo 80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9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98" ht="68" customHeight="1">
      <x:c r="A598" s="13" t="str">
        <x:v>QA-MAT-142</x:v>
      </x:c>
      <x:c r="B598" s="13" t="str">
        <x:v>Mi Tienda / Store / 80 / identidad C Comuna</x:v>
      </x:c>
      <x:c r="C598" s="13" t="str">
        <x:v>Un fixture por identidad doméstica activa, comprador autorizado, factura ordinaria 01/0101 o NV 80/nv. HKA en doble durante matriz comercial.
Cliente QA-C activo; Mi Tienda / Store habilitado; total 116; tipo 80; modo digital/demo del tenant.</x:v>
      </x:c>
      <x:c r="D598" s="13" t="str">
        <x:v>1. Abrir Mi Tienda / Store; buscar y seleccionar cliente de identidad C
2. Crear venta 80 ordinaria con P-G, serie autorizada y pago 116
3. Consultar número, cliente, moneda, total, saldo, pagos, inventario y estado fiscal</x:v>
      </x:c>
      <x:c r="E598" s="13" t="str">
        <x:v>No existe restricción comercial por identidad C contra tipo 80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9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599" ht="68" customHeight="1">
      <x:c r="A599" s="13" t="str">
        <x:v>QA-MAT-143</x:v>
      </x:c>
      <x:c r="B599" s="13" t="str">
        <x:v>Mi Tienda / Store / 80 / identidad G Gubernamental</x:v>
      </x:c>
      <x:c r="C599" s="13" t="str">
        <x:v>Un fixture por identidad doméstica activa, comprador autorizado, factura ordinaria 01/0101 o NV 80/nv. HKA en doble durante matriz comercial.
Cliente QA-G activo; Mi Tienda / Store habilitado; total 116; tipo 80; modo digital/demo del tenant.</x:v>
      </x:c>
      <x:c r="D599" s="13" t="str">
        <x:v>1. Abrir Mi Tienda / Store; buscar y seleccionar cliente de identidad G
2. Crear venta 80 ordinaria con P-G, serie autorizada y pago 116
3. Consultar número, cliente, moneda, total, saldo, pagos, inventario y estado fiscal</x:v>
      </x:c>
      <x:c r="E599" s="13" t="str">
        <x:v>No existe restricción comercial por identidad G contra tipo 80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59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00" ht="68" customHeight="1">
      <x:c r="A600" s="13" t="str">
        <x:v>QA-MAT-144</x:v>
      </x:c>
      <x:c r="B600" s="13" t="str">
        <x:v>Mi Tienda / Store / 80 / identidad R Firma Personal</x:v>
      </x:c>
      <x:c r="C600" s="13" t="str">
        <x:v>Un fixture por identidad doméstica activa, comprador autorizado, factura ordinaria 01/0101 o NV 80/nv. HKA en doble durante matriz comercial.
Cliente QA-R activo; Mi Tienda / Store habilitado; total 116; tipo 80; modo digital/demo del tenant.</x:v>
      </x:c>
      <x:c r="D600" s="13" t="str">
        <x:v>1. Abrir Mi Tienda / Store; buscar y seleccionar cliente de identidad R
2. Crear venta 80 ordinaria con P-G, serie autorizada y pago 116
3. Consultar número, cliente, moneda, total, saldo, pagos, inventario y estado fiscal</x:v>
      </x:c>
      <x:c r="E600" s="13" t="str">
        <x:v>No existe restricción comercial por identidad R contra tipo 80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0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01" ht="68" customHeight="1">
      <x:c r="A601" s="13" t="str">
        <x:v>QA-MAT-145</x:v>
      </x:c>
      <x:c r="B601" s="13" t="str">
        <x:v>Pedidos / 01 / identidad 0 Doc.sin.rif</x:v>
      </x:c>
      <x:c r="C601" s="13" t="str">
        <x:v>Un fixture por identidad doméstica activa, comprador autorizado, factura ordinaria 01/0101 o NV 80/nv. HKA en doble durante matriz comercial.
Cliente QA-0 activo; Pedidos habilitado; total 116; tipo 01; modo digital/demo del tenant.</x:v>
      </x:c>
      <x:c r="D601" s="13" t="str">
        <x:v>1. Abrir Pedidos; buscar y seleccionar cliente de identidad 0
2. Crear venta 01 ordinaria con P-G, serie autorizada y pago 116
3. Consultar número, cliente, moneda, total, saldo, pagos, inventario y estado fiscal</x:v>
      </x:c>
      <x:c r="E601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0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02" ht="68" customHeight="1">
      <x:c r="A602" s="13" t="str">
        <x:v>QA-MAT-146</x:v>
      </x:c>
      <x:c r="B602" s="13" t="str">
        <x:v>Pedidos / 01 / identidad 1 Venezolano</x:v>
      </x:c>
      <x:c r="C602" s="13" t="str">
        <x:v>Un fixture por identidad doméstica activa, comprador autorizado, factura ordinaria 01/0101 o NV 80/nv. HKA en doble durante matriz comercial.
Cliente QA-1 activo; Pedidos habilitado; total 116; tipo 01; modo digital/demo del tenant.</x:v>
      </x:c>
      <x:c r="D602" s="13" t="str">
        <x:v>1. Abrir Pedidos; buscar y seleccionar cliente de identidad 1
2. Crear venta 01 ordinaria con P-G, serie autorizada y pago 116
3. Consultar número, cliente, moneda, total, saldo, pagos, inventario y estado fiscal</x:v>
      </x:c>
      <x:c r="E602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0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03" ht="68" customHeight="1">
      <x:c r="A603" s="13" t="str">
        <x:v>QA-MAT-147</x:v>
      </x:c>
      <x:c r="B603" s="13" t="str">
        <x:v>Pedidos / 01 / identidad 6 Juridico</x:v>
      </x:c>
      <x:c r="C603" s="13" t="str">
        <x:v>Un fixture por identidad doméstica activa, comprador autorizado, factura ordinaria 01/0101 o NV 80/nv. HKA en doble durante matriz comercial.
Cliente QA-6 activo; Pedidos habilitado; total 116; tipo 01; modo digital/demo del tenant.</x:v>
      </x:c>
      <x:c r="D603" s="13" t="str">
        <x:v>1. Abrir Pedidos; buscar y seleccionar cliente de identidad 6
2. Crear venta 01 ordinaria con P-G, serie autorizada y pago 116
3. Consultar número, cliente, moneda, total, saldo, pagos, inventario y estado fiscal</x:v>
      </x:c>
      <x:c r="E603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0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04" ht="68" customHeight="1">
      <x:c r="A604" s="13" t="str">
        <x:v>QA-MAT-148</x:v>
      </x:c>
      <x:c r="B604" s="13" t="str">
        <x:v>Pedidos / 01 / identidad 7 Pasaporte</x:v>
      </x:c>
      <x:c r="C604" s="13" t="str">
        <x:v>Un fixture por identidad doméstica activa, comprador autorizado, factura ordinaria 01/0101 o NV 80/nv. HKA en doble durante matriz comercial.
Cliente QA-7 activo; Pedidos habilitado; total 116; tipo 01; modo digital/demo del tenant.</x:v>
      </x:c>
      <x:c r="D604" s="13" t="str">
        <x:v>1. Abrir Pedidos; buscar y seleccionar cliente de identidad 7
2. Crear venta 01 ordinaria con P-G, serie autorizada y pago 116
3. Consultar número, cliente, moneda, total, saldo, pagos, inventario y estado fiscal</x:v>
      </x:c>
      <x:c r="E604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0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05" ht="68" customHeight="1">
      <x:c r="A605" s="13" t="str">
        <x:v>QA-MAT-149</x:v>
      </x:c>
      <x:c r="B605" s="13" t="str">
        <x:v>Pedidos / 01 / identidad E Extranjero</x:v>
      </x:c>
      <x:c r="C605" s="13" t="str">
        <x:v>Un fixture por identidad doméstica activa, comprador autorizado, factura ordinaria 01/0101 o NV 80/nv. HKA en doble durante matriz comercial.
Cliente QA-E activo; Pedidos habilitado; total 116; tipo 01; modo digital/demo del tenant.</x:v>
      </x:c>
      <x:c r="D605" s="13" t="str">
        <x:v>1. Abrir Pedidos; buscar y seleccionar cliente de identidad E
2. Crear venta 01 ordinaria con P-G, serie autorizada y pago 116
3. Consultar número, cliente, moneda, total, saldo, pagos, inventario y estado fiscal</x:v>
      </x:c>
      <x:c r="E605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0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06" ht="68" customHeight="1">
      <x:c r="A606" s="13" t="str">
        <x:v>QA-MAT-150</x:v>
      </x:c>
      <x:c r="B606" s="13" t="str">
        <x:v>Pedidos / 01 / identidad C Comuna</x:v>
      </x:c>
      <x:c r="C606" s="13" t="str">
        <x:v>Un fixture por identidad doméstica activa, comprador autorizado, factura ordinaria 01/0101 o NV 80/nv. HKA en doble durante matriz comercial.
Cliente QA-C activo; Pedidos habilitado; total 116; tipo 01; modo digital/demo del tenant.</x:v>
      </x:c>
      <x:c r="D606" s="13" t="str">
        <x:v>1. Abrir Pedidos; buscar y seleccionar cliente de identidad C
2. Crear venta 01 ordinaria con P-G, serie autorizada y pago 116
3. Consultar número, cliente, moneda, total, saldo, pagos, inventario y estado fiscal</x:v>
      </x:c>
      <x:c r="E606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0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07" ht="68" customHeight="1">
      <x:c r="A607" s="13" t="str">
        <x:v>QA-MAT-151</x:v>
      </x:c>
      <x:c r="B607" s="13" t="str">
        <x:v>Pedidos / 01 / identidad G Gubernamental</x:v>
      </x:c>
      <x:c r="C607" s="13" t="str">
        <x:v>Un fixture por identidad doméstica activa, comprador autorizado, factura ordinaria 01/0101 o NV 80/nv. HKA en doble durante matriz comercial.
Cliente QA-G activo; Pedidos habilitado; total 116; tipo 01; modo digital/demo del tenant.</x:v>
      </x:c>
      <x:c r="D607" s="13" t="str">
        <x:v>1. Abrir Pedidos; buscar y seleccionar cliente de identidad G
2. Crear venta 01 ordinaria con P-G, serie autorizada y pago 116
3. Consultar número, cliente, moneda, total, saldo, pagos, inventario y estado fiscal</x:v>
      </x:c>
      <x:c r="E607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0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08" ht="68" customHeight="1">
      <x:c r="A608" s="13" t="str">
        <x:v>QA-MAT-152</x:v>
      </x:c>
      <x:c r="B608" s="13" t="str">
        <x:v>Pedidos / 01 / identidad R Firma Personal</x:v>
      </x:c>
      <x:c r="C608" s="13" t="str">
        <x:v>Un fixture por identidad doméstica activa, comprador autorizado, factura ordinaria 01/0101 o NV 80/nv. HKA en doble durante matriz comercial.
Cliente QA-R activo; Pedidos habilitado; total 116; tipo 01; modo digital/demo del tenant.</x:v>
      </x:c>
      <x:c r="D608" s="13" t="str">
        <x:v>1. Abrir Pedidos; buscar y seleccionar cliente de identidad R
2. Crear venta 01 ordinaria con P-G, serie autorizada y pago 116
3. Consultar número, cliente, moneda, total, saldo, pagos, inventario y estado fiscal</x:v>
      </x:c>
      <x:c r="E608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0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09" ht="68" customHeight="1">
      <x:c r="A609" s="13" t="str">
        <x:v>QA-MAT-153</x:v>
      </x:c>
      <x:c r="B609" s="13" t="str">
        <x:v>Pedidos / 80 / identidad 0 Doc.sin.rif</x:v>
      </x:c>
      <x:c r="C609" s="13" t="str">
        <x:v>Un fixture por identidad doméstica activa, comprador autorizado, factura ordinaria 01/0101 o NV 80/nv. HKA en doble durante matriz comercial.
Cliente QA-0 activo; Pedidos habilitado; total 116; tipo 80; modo digital/demo del tenant.</x:v>
      </x:c>
      <x:c r="D609" s="13" t="str">
        <x:v>1. Abrir Pedidos; buscar y seleccionar cliente de identidad 0
2. Crear venta 80 ordinaria con P-G, serie autorizada y pago 116
3. Consultar número, cliente, moneda, total, saldo, pagos, inventario y estado fiscal</x:v>
      </x:c>
      <x:c r="E609" s="13" t="str">
        <x:v>No existe restricción comercial por identidad 0 contra tipo 80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0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10" ht="68" customHeight="1">
      <x:c r="A610" s="13" t="str">
        <x:v>QA-MAT-154</x:v>
      </x:c>
      <x:c r="B610" s="13" t="str">
        <x:v>Pedidos / 80 / identidad 1 Venezolano</x:v>
      </x:c>
      <x:c r="C610" s="13" t="str">
        <x:v>Un fixture por identidad doméstica activa, comprador autorizado, factura ordinaria 01/0101 o NV 80/nv. HKA en doble durante matriz comercial.
Cliente QA-1 activo; Pedidos habilitado; total 116; tipo 80; modo digital/demo del tenant.</x:v>
      </x:c>
      <x:c r="D610" s="13" t="str">
        <x:v>1. Abrir Pedidos; buscar y seleccionar cliente de identidad 1
2. Crear venta 80 ordinaria con P-G, serie autorizada y pago 116
3. Consultar número, cliente, moneda, total, saldo, pagos, inventario y estado fiscal</x:v>
      </x:c>
      <x:c r="E610" s="13" t="str">
        <x:v>No existe restricción comercial por identidad 1 contra tipo 80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1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11" ht="68" customHeight="1">
      <x:c r="A611" s="13" t="str">
        <x:v>QA-MAT-155</x:v>
      </x:c>
      <x:c r="B611" s="13" t="str">
        <x:v>Pedidos / 80 / identidad 6 Juridico</x:v>
      </x:c>
      <x:c r="C611" s="13" t="str">
        <x:v>Un fixture por identidad doméstica activa, comprador autorizado, factura ordinaria 01/0101 o NV 80/nv. HKA en doble durante matriz comercial.
Cliente QA-6 activo; Pedidos habilitado; total 116; tipo 80; modo digital/demo del tenant.</x:v>
      </x:c>
      <x:c r="D611" s="13" t="str">
        <x:v>1. Abrir Pedidos; buscar y seleccionar cliente de identidad 6
2. Crear venta 80 ordinaria con P-G, serie autorizada y pago 116
3. Consultar número, cliente, moneda, total, saldo, pagos, inventario y estado fiscal</x:v>
      </x:c>
      <x:c r="E611" s="13" t="str">
        <x:v>No existe restricción comercial por identidad 6 contra tipo 80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1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12" ht="68" customHeight="1">
      <x:c r="A612" s="13" t="str">
        <x:v>QA-MAT-156</x:v>
      </x:c>
      <x:c r="B612" s="13" t="str">
        <x:v>Pedidos / 80 / identidad 7 Pasaporte</x:v>
      </x:c>
      <x:c r="C612" s="13" t="str">
        <x:v>Un fixture por identidad doméstica activa, comprador autorizado, factura ordinaria 01/0101 o NV 80/nv. HKA en doble durante matriz comercial.
Cliente QA-7 activo; Pedidos habilitado; total 116; tipo 80; modo digital/demo del tenant.</x:v>
      </x:c>
      <x:c r="D612" s="13" t="str">
        <x:v>1. Abrir Pedidos; buscar y seleccionar cliente de identidad 7
2. Crear venta 80 ordinaria con P-G, serie autorizada y pago 116
3. Consultar número, cliente, moneda, total, saldo, pagos, inventario y estado fiscal</x:v>
      </x:c>
      <x:c r="E612" s="13" t="str">
        <x:v>No existe restricción comercial por identidad 7 contra tipo 80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1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13" ht="68" customHeight="1">
      <x:c r="A613" s="13" t="str">
        <x:v>QA-MAT-157</x:v>
      </x:c>
      <x:c r="B613" s="13" t="str">
        <x:v>Pedidos / 80 / identidad E Extranjero</x:v>
      </x:c>
      <x:c r="C613" s="13" t="str">
        <x:v>Un fixture por identidad doméstica activa, comprador autorizado, factura ordinaria 01/0101 o NV 80/nv. HKA en doble durante matriz comercial.
Cliente QA-E activo; Pedidos habilitado; total 116; tipo 80; modo digital/demo del tenant.</x:v>
      </x:c>
      <x:c r="D613" s="13" t="str">
        <x:v>1. Abrir Pedidos; buscar y seleccionar cliente de identidad E
2. Crear venta 80 ordinaria con P-G, serie autorizada y pago 116
3. Consultar número, cliente, moneda, total, saldo, pagos, inventario y estado fiscal</x:v>
      </x:c>
      <x:c r="E613" s="13" t="str">
        <x:v>No existe restricción comercial por identidad E contra tipo 80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1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14" ht="68" customHeight="1">
      <x:c r="A614" s="13" t="str">
        <x:v>QA-MAT-158</x:v>
      </x:c>
      <x:c r="B614" s="13" t="str">
        <x:v>Pedidos / 80 / identidad C Comuna</x:v>
      </x:c>
      <x:c r="C614" s="13" t="str">
        <x:v>Un fixture por identidad doméstica activa, comprador autorizado, factura ordinaria 01/0101 o NV 80/nv. HKA en doble durante matriz comercial.
Cliente QA-C activo; Pedidos habilitado; total 116; tipo 80; modo digital/demo del tenant.</x:v>
      </x:c>
      <x:c r="D614" s="13" t="str">
        <x:v>1. Abrir Pedidos; buscar y seleccionar cliente de identidad C
2. Crear venta 80 ordinaria con P-G, serie autorizada y pago 116
3. Consultar número, cliente, moneda, total, saldo, pagos, inventario y estado fiscal</x:v>
      </x:c>
      <x:c r="E614" s="13" t="str">
        <x:v>No existe restricción comercial por identidad C contra tipo 80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1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15" ht="68" customHeight="1">
      <x:c r="A615" s="13" t="str">
        <x:v>QA-MAT-159</x:v>
      </x:c>
      <x:c r="B615" s="13" t="str">
        <x:v>Pedidos / 80 / identidad G Gubernamental</x:v>
      </x:c>
      <x:c r="C615" s="13" t="str">
        <x:v>Un fixture por identidad doméstica activa, comprador autorizado, factura ordinaria 01/0101 o NV 80/nv. HKA en doble durante matriz comercial.
Cliente QA-G activo; Pedidos habilitado; total 116; tipo 80; modo digital/demo del tenant.</x:v>
      </x:c>
      <x:c r="D615" s="13" t="str">
        <x:v>1. Abrir Pedidos; buscar y seleccionar cliente de identidad G
2. Crear venta 80 ordinaria con P-G, serie autorizada y pago 116
3. Consultar número, cliente, moneda, total, saldo, pagos, inventario y estado fiscal</x:v>
      </x:c>
      <x:c r="E615" s="13" t="str">
        <x:v>No existe restricción comercial por identidad G contra tipo 80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1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16" ht="68" customHeight="1">
      <x:c r="A616" s="13" t="str">
        <x:v>QA-MAT-160</x:v>
      </x:c>
      <x:c r="B616" s="13" t="str">
        <x:v>Pedidos / 80 / identidad R Firma Personal</x:v>
      </x:c>
      <x:c r="C616" s="13" t="str">
        <x:v>Un fixture por identidad doméstica activa, comprador autorizado, factura ordinaria 01/0101 o NV 80/nv. HKA en doble durante matriz comercial.
Cliente QA-R activo; Pedidos habilitado; total 116; tipo 80; modo digital/demo del tenant.</x:v>
      </x:c>
      <x:c r="D616" s="13" t="str">
        <x:v>1. Abrir Pedidos; buscar y seleccionar cliente de identidad R
2. Crear venta 80 ordinaria con P-G, serie autorizada y pago 116
3. Consultar número, cliente, moneda, total, saldo, pagos, inventario y estado fiscal</x:v>
      </x:c>
      <x:c r="E616" s="13" t="str">
        <x:v>No existe restricción comercial por identidad R contra tipo 80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1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17" ht="68" customHeight="1">
      <x:c r="A617" s="13" t="str">
        <x:v>QA-MAT-161</x:v>
      </x:c>
      <x:c r="B617" s="13" t="str">
        <x:v>Servicio técnico / 01 / identidad 0 Doc.sin.rif</x:v>
      </x:c>
      <x:c r="C617" s="13" t="str">
        <x:v>Un fixture por identidad doméstica activa, comprador autorizado, factura ordinaria 01/0101 o NV 80/nv. HKA en doble durante matriz comercial.
Cliente QA-0 activo; Servicio técnico habilitado; total 116; tipo 01; modo digital/demo del tenant.</x:v>
      </x:c>
      <x:c r="D617" s="13" t="str">
        <x:v>1. Abrir Servicio técnico; buscar y seleccionar cliente de identidad 0
2. Crear venta 01 ordinaria con P-G, serie autorizada y pago 116
3. Consultar número, cliente, moneda, total, saldo, pagos, inventario y estado fiscal</x:v>
      </x:c>
      <x:c r="E617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1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18" ht="68" customHeight="1">
      <x:c r="A618" s="13" t="str">
        <x:v>QA-MAT-162</x:v>
      </x:c>
      <x:c r="B618" s="13" t="str">
        <x:v>Servicio técnico / 01 / identidad 1 Venezolano</x:v>
      </x:c>
      <x:c r="C618" s="13" t="str">
        <x:v>Un fixture por identidad doméstica activa, comprador autorizado, factura ordinaria 01/0101 o NV 80/nv. HKA en doble durante matriz comercial.
Cliente QA-1 activo; Servicio técnico habilitado; total 116; tipo 01; modo digital/demo del tenant.</x:v>
      </x:c>
      <x:c r="D618" s="13" t="str">
        <x:v>1. Abrir Servicio técnico; buscar y seleccionar cliente de identidad 1
2. Crear venta 01 ordinaria con P-G, serie autorizada y pago 116
3. Consultar número, cliente, moneda, total, saldo, pagos, inventario y estado fiscal</x:v>
      </x:c>
      <x:c r="E618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1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19" ht="68" customHeight="1">
      <x:c r="A619" s="13" t="str">
        <x:v>QA-MAT-163</x:v>
      </x:c>
      <x:c r="B619" s="13" t="str">
        <x:v>Servicio técnico / 01 / identidad 6 Juridico</x:v>
      </x:c>
      <x:c r="C619" s="13" t="str">
        <x:v>Un fixture por identidad doméstica activa, comprador autorizado, factura ordinaria 01/0101 o NV 80/nv. HKA en doble durante matriz comercial.
Cliente QA-6 activo; Servicio técnico habilitado; total 116; tipo 01; modo digital/demo del tenant.</x:v>
      </x:c>
      <x:c r="D619" s="13" t="str">
        <x:v>1. Abrir Servicio técnico; buscar y seleccionar cliente de identidad 6
2. Crear venta 01 ordinaria con P-G, serie autorizada y pago 116
3. Consultar número, cliente, moneda, total, saldo, pagos, inventario y estado fiscal</x:v>
      </x:c>
      <x:c r="E619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1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20" ht="68" customHeight="1">
      <x:c r="A620" s="13" t="str">
        <x:v>QA-MAT-164</x:v>
      </x:c>
      <x:c r="B620" s="13" t="str">
        <x:v>Servicio técnico / 01 / identidad 7 Pasaporte</x:v>
      </x:c>
      <x:c r="C620" s="13" t="str">
        <x:v>Un fixture por identidad doméstica activa, comprador autorizado, factura ordinaria 01/0101 o NV 80/nv. HKA en doble durante matriz comercial.
Cliente QA-7 activo; Servicio técnico habilitado; total 116; tipo 01; modo digital/demo del tenant.</x:v>
      </x:c>
      <x:c r="D620" s="13" t="str">
        <x:v>1. Abrir Servicio técnico; buscar y seleccionar cliente de identidad 7
2. Crear venta 01 ordinaria con P-G, serie autorizada y pago 116
3. Consultar número, cliente, moneda, total, saldo, pagos, inventario y estado fiscal</x:v>
      </x:c>
      <x:c r="E620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2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21" ht="68" customHeight="1">
      <x:c r="A621" s="13" t="str">
        <x:v>QA-MAT-165</x:v>
      </x:c>
      <x:c r="B621" s="13" t="str">
        <x:v>Servicio técnico / 01 / identidad E Extranjero</x:v>
      </x:c>
      <x:c r="C621" s="13" t="str">
        <x:v>Un fixture por identidad doméstica activa, comprador autorizado, factura ordinaria 01/0101 o NV 80/nv. HKA en doble durante matriz comercial.
Cliente QA-E activo; Servicio técnico habilitado; total 116; tipo 01; modo digital/demo del tenant.</x:v>
      </x:c>
      <x:c r="D621" s="13" t="str">
        <x:v>1. Abrir Servicio técnico; buscar y seleccionar cliente de identidad E
2. Crear venta 01 ordinaria con P-G, serie autorizada y pago 116
3. Consultar número, cliente, moneda, total, saldo, pagos, inventario y estado fiscal</x:v>
      </x:c>
      <x:c r="E621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2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22" ht="68" customHeight="1">
      <x:c r="A622" s="13" t="str">
        <x:v>QA-MAT-166</x:v>
      </x:c>
      <x:c r="B622" s="13" t="str">
        <x:v>Servicio técnico / 01 / identidad C Comuna</x:v>
      </x:c>
      <x:c r="C622" s="13" t="str">
        <x:v>Un fixture por identidad doméstica activa, comprador autorizado, factura ordinaria 01/0101 o NV 80/nv. HKA en doble durante matriz comercial.
Cliente QA-C activo; Servicio técnico habilitado; total 116; tipo 01; modo digital/demo del tenant.</x:v>
      </x:c>
      <x:c r="D622" s="13" t="str">
        <x:v>1. Abrir Servicio técnico; buscar y seleccionar cliente de identidad C
2. Crear venta 01 ordinaria con P-G, serie autorizada y pago 116
3. Consultar número, cliente, moneda, total, saldo, pagos, inventario y estado fiscal</x:v>
      </x:c>
      <x:c r="E622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2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23" ht="68" customHeight="1">
      <x:c r="A623" s="13" t="str">
        <x:v>QA-MAT-167</x:v>
      </x:c>
      <x:c r="B623" s="13" t="str">
        <x:v>Servicio técnico / 01 / identidad G Gubernamental</x:v>
      </x:c>
      <x:c r="C623" s="13" t="str">
        <x:v>Un fixture por identidad doméstica activa, comprador autorizado, factura ordinaria 01/0101 o NV 80/nv. HKA en doble durante matriz comercial.
Cliente QA-G activo; Servicio técnico habilitado; total 116; tipo 01; modo digital/demo del tenant.</x:v>
      </x:c>
      <x:c r="D623" s="13" t="str">
        <x:v>1. Abrir Servicio técnico; buscar y seleccionar cliente de identidad G
2. Crear venta 01 ordinaria con P-G, serie autorizada y pago 116
3. Consultar número, cliente, moneda, total, saldo, pagos, inventario y estado fiscal</x:v>
      </x:c>
      <x:c r="E623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2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24" ht="68" customHeight="1">
      <x:c r="A624" s="13" t="str">
        <x:v>QA-MAT-168</x:v>
      </x:c>
      <x:c r="B624" s="13" t="str">
        <x:v>Servicio técnico / 01 / identidad R Firma Personal</x:v>
      </x:c>
      <x:c r="C624" s="13" t="str">
        <x:v>Un fixture por identidad doméstica activa, comprador autorizado, factura ordinaria 01/0101 o NV 80/nv. HKA en doble durante matriz comercial.
Cliente QA-R activo; Servicio técnico habilitado; total 116; tipo 01; modo digital/demo del tenant.</x:v>
      </x:c>
      <x:c r="D624" s="13" t="str">
        <x:v>1. Abrir Servicio técnico; buscar y seleccionar cliente de identidad R
2. Crear venta 01 ordinaria con P-G, serie autorizada y pago 116
3. Consultar número, cliente, moneda, total, saldo, pagos, inventario y estado fiscal</x:v>
      </x:c>
      <x:c r="E624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2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25" ht="68" customHeight="1">
      <x:c r="A625" s="13" t="str">
        <x:v>QA-MAT-169</x:v>
      </x:c>
      <x:c r="B625" s="13" t="str">
        <x:v>Servicio técnico / nv / identidad 0 Doc.sin.rif</x:v>
      </x:c>
      <x:c r="C625" s="13" t="str">
        <x:v>Un fixture por identidad doméstica activa, comprador autorizado, factura ordinaria 01/0101 o NV 80/nv. HKA en doble durante matriz comercial.
Cliente QA-0 activo; Servicio técnico habilitado; total 116; tipo nv; modo digital/demo del tenant.</x:v>
      </x:c>
      <x:c r="D625" s="13" t="str">
        <x:v>1. Abrir Servicio técnico; buscar y seleccionar cliente de identidad 0
2. Crear venta nv ordinaria con P-G, serie autorizada y pago 116
3. Consultar número, cliente, moneda, total, saldo, pagos, inventario y estado fiscal</x:v>
      </x:c>
      <x:c r="E625" s="13" t="str">
        <x:v>No existe restricción comercial por identidad 0 contra tipo nv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2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26" ht="68" customHeight="1">
      <x:c r="A626" s="13" t="str">
        <x:v>QA-MAT-170</x:v>
      </x:c>
      <x:c r="B626" s="13" t="str">
        <x:v>Servicio técnico / nv / identidad 1 Venezolano</x:v>
      </x:c>
      <x:c r="C626" s="13" t="str">
        <x:v>Un fixture por identidad doméstica activa, comprador autorizado, factura ordinaria 01/0101 o NV 80/nv. HKA en doble durante matriz comercial.
Cliente QA-1 activo; Servicio técnico habilitado; total 116; tipo nv; modo digital/demo del tenant.</x:v>
      </x:c>
      <x:c r="D626" s="13" t="str">
        <x:v>1. Abrir Servicio técnico; buscar y seleccionar cliente de identidad 1
2. Crear venta nv ordinaria con P-G, serie autorizada y pago 116
3. Consultar número, cliente, moneda, total, saldo, pagos, inventario y estado fiscal</x:v>
      </x:c>
      <x:c r="E626" s="13" t="str">
        <x:v>No existe restricción comercial por identidad 1 contra tipo nv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2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27" ht="68" customHeight="1">
      <x:c r="A627" s="13" t="str">
        <x:v>QA-MAT-171</x:v>
      </x:c>
      <x:c r="B627" s="13" t="str">
        <x:v>Servicio técnico / nv / identidad 6 Juridico</x:v>
      </x:c>
      <x:c r="C627" s="13" t="str">
        <x:v>Un fixture por identidad doméstica activa, comprador autorizado, factura ordinaria 01/0101 o NV 80/nv. HKA en doble durante matriz comercial.
Cliente QA-6 activo; Servicio técnico habilitado; total 116; tipo nv; modo digital/demo del tenant.</x:v>
      </x:c>
      <x:c r="D627" s="13" t="str">
        <x:v>1. Abrir Servicio técnico; buscar y seleccionar cliente de identidad 6
2. Crear venta nv ordinaria con P-G, serie autorizada y pago 116
3. Consultar número, cliente, moneda, total, saldo, pagos, inventario y estado fiscal</x:v>
      </x:c>
      <x:c r="E627" s="13" t="str">
        <x:v>No existe restricción comercial por identidad 6 contra tipo nv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2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28" ht="68" customHeight="1">
      <x:c r="A628" s="13" t="str">
        <x:v>QA-MAT-172</x:v>
      </x:c>
      <x:c r="B628" s="13" t="str">
        <x:v>Servicio técnico / nv / identidad 7 Pasaporte</x:v>
      </x:c>
      <x:c r="C628" s="13" t="str">
        <x:v>Un fixture por identidad doméstica activa, comprador autorizado, factura ordinaria 01/0101 o NV 80/nv. HKA en doble durante matriz comercial.
Cliente QA-7 activo; Servicio técnico habilitado; total 116; tipo nv; modo digital/demo del tenant.</x:v>
      </x:c>
      <x:c r="D628" s="13" t="str">
        <x:v>1. Abrir Servicio técnico; buscar y seleccionar cliente de identidad 7
2. Crear venta nv ordinaria con P-G, serie autorizada y pago 116
3. Consultar número, cliente, moneda, total, saldo, pagos, inventario y estado fiscal</x:v>
      </x:c>
      <x:c r="E628" s="13" t="str">
        <x:v>No existe restricción comercial por identidad 7 contra tipo nv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2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29" ht="68" customHeight="1">
      <x:c r="A629" s="13" t="str">
        <x:v>QA-MAT-173</x:v>
      </x:c>
      <x:c r="B629" s="13" t="str">
        <x:v>Servicio técnico / nv / identidad E Extranjero</x:v>
      </x:c>
      <x:c r="C629" s="13" t="str">
        <x:v>Un fixture por identidad doméstica activa, comprador autorizado, factura ordinaria 01/0101 o NV 80/nv. HKA en doble durante matriz comercial.
Cliente QA-E activo; Servicio técnico habilitado; total 116; tipo nv; modo digital/demo del tenant.</x:v>
      </x:c>
      <x:c r="D629" s="13" t="str">
        <x:v>1. Abrir Servicio técnico; buscar y seleccionar cliente de identidad E
2. Crear venta nv ordinaria con P-G, serie autorizada y pago 116
3. Consultar número, cliente, moneda, total, saldo, pagos, inventario y estado fiscal</x:v>
      </x:c>
      <x:c r="E629" s="13" t="str">
        <x:v>No existe restricción comercial por identidad E contra tipo nv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2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30" ht="68" customHeight="1">
      <x:c r="A630" s="13" t="str">
        <x:v>QA-MAT-174</x:v>
      </x:c>
      <x:c r="B630" s="13" t="str">
        <x:v>Servicio técnico / nv / identidad C Comuna</x:v>
      </x:c>
      <x:c r="C630" s="13" t="str">
        <x:v>Un fixture por identidad doméstica activa, comprador autorizado, factura ordinaria 01/0101 o NV 80/nv. HKA en doble durante matriz comercial.
Cliente QA-C activo; Servicio técnico habilitado; total 116; tipo nv; modo digital/demo del tenant.</x:v>
      </x:c>
      <x:c r="D630" s="13" t="str">
        <x:v>1. Abrir Servicio técnico; buscar y seleccionar cliente de identidad C
2. Crear venta nv ordinaria con P-G, serie autorizada y pago 116
3. Consultar número, cliente, moneda, total, saldo, pagos, inventario y estado fiscal</x:v>
      </x:c>
      <x:c r="E630" s="13" t="str">
        <x:v>No existe restricción comercial por identidad C contra tipo nv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3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31" ht="68" customHeight="1">
      <x:c r="A631" s="13" t="str">
        <x:v>QA-MAT-175</x:v>
      </x:c>
      <x:c r="B631" s="13" t="str">
        <x:v>Servicio técnico / nv / identidad G Gubernamental</x:v>
      </x:c>
      <x:c r="C631" s="13" t="str">
        <x:v>Un fixture por identidad doméstica activa, comprador autorizado, factura ordinaria 01/0101 o NV 80/nv. HKA en doble durante matriz comercial.
Cliente QA-G activo; Servicio técnico habilitado; total 116; tipo nv; modo digital/demo del tenant.</x:v>
      </x:c>
      <x:c r="D631" s="13" t="str">
        <x:v>1. Abrir Servicio técnico; buscar y seleccionar cliente de identidad G
2. Crear venta nv ordinaria con P-G, serie autorizada y pago 116
3. Consultar número, cliente, moneda, total, saldo, pagos, inventario y estado fiscal</x:v>
      </x:c>
      <x:c r="E631" s="13" t="str">
        <x:v>No existe restricción comercial por identidad G contra tipo nv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3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32" ht="68" customHeight="1">
      <x:c r="A632" s="13" t="str">
        <x:v>QA-MAT-176</x:v>
      </x:c>
      <x:c r="B632" s="13" t="str">
        <x:v>Servicio técnico / nv / identidad R Firma Personal</x:v>
      </x:c>
      <x:c r="C632" s="13" t="str">
        <x:v>Un fixture por identidad doméstica activa, comprador autorizado, factura ordinaria 01/0101 o NV 80/nv. HKA en doble durante matriz comercial.
Cliente QA-R activo; Servicio técnico habilitado; total 116; tipo nv; modo digital/demo del tenant.</x:v>
      </x:c>
      <x:c r="D632" s="13" t="str">
        <x:v>1. Abrir Servicio técnico; buscar y seleccionar cliente de identidad R
2. Crear venta nv ordinaria con P-G, serie autorizada y pago 116
3. Consultar número, cliente, moneda, total, saldo, pagos, inventario y estado fiscal</x:v>
      </x:c>
      <x:c r="E632" s="13" t="str">
        <x:v>No existe restricción comercial por identidad R contra tipo nv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3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33" ht="68" customHeight="1">
      <x:c r="A633" s="13" t="str">
        <x:v>QA-MAT-177</x:v>
      </x:c>
      <x:c r="B633" s="13" t="str">
        <x:v>WhatsApp Bot / 01 / identidad 0 Doc.sin.rif</x:v>
      </x:c>
      <x:c r="C633" s="13" t="str">
        <x:v>Un fixture por identidad doméstica activa, comprador autorizado, factura ordinaria 01/0101 o NV 80/nv. HKA en doble durante matriz comercial.
Cliente QA-0 activo; WhatsApp Bot habilitado; total 116; tipo 01; modo digital/demo del tenant.</x:v>
      </x:c>
      <x:c r="D633" s="13" t="str">
        <x:v>1. Abrir WhatsApp Bot; buscar y seleccionar cliente de identidad 0
2. Crear venta 01 ordinaria con P-G, serie autorizada y pago 116
3. Consultar número, cliente, moneda, total, saldo, pagos, inventario y estado fiscal</x:v>
      </x:c>
      <x:c r="E633" s="13" t="str">
        <x:v>No existe restricción comercial por identidad 0 contra tipo 01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3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34" ht="68" customHeight="1">
      <x:c r="A634" s="13" t="str">
        <x:v>QA-MAT-178</x:v>
      </x:c>
      <x:c r="B634" s="13" t="str">
        <x:v>WhatsApp Bot / 01 / identidad 1 Venezolano</x:v>
      </x:c>
      <x:c r="C634" s="13" t="str">
        <x:v>Un fixture por identidad doméstica activa, comprador autorizado, factura ordinaria 01/0101 o NV 80/nv. HKA en doble durante matriz comercial.
Cliente QA-1 activo; WhatsApp Bot habilitado; total 116; tipo 01; modo digital/demo del tenant.</x:v>
      </x:c>
      <x:c r="D634" s="13" t="str">
        <x:v>1. Abrir WhatsApp Bot; buscar y seleccionar cliente de identidad 1
2. Crear venta 01 ordinaria con P-G, serie autorizada y pago 116
3. Consultar número, cliente, moneda, total, saldo, pagos, inventario y estado fiscal</x:v>
      </x:c>
      <x:c r="E634" s="13" t="str">
        <x:v>No existe restricción comercial por identidad 1 contra tipo 01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3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35" ht="68" customHeight="1">
      <x:c r="A635" s="13" t="str">
        <x:v>QA-MAT-179</x:v>
      </x:c>
      <x:c r="B635" s="13" t="str">
        <x:v>WhatsApp Bot / 01 / identidad 6 Juridico</x:v>
      </x:c>
      <x:c r="C635" s="13" t="str">
        <x:v>Un fixture por identidad doméstica activa, comprador autorizado, factura ordinaria 01/0101 o NV 80/nv. HKA en doble durante matriz comercial.
Cliente QA-6 activo; WhatsApp Bot habilitado; total 116; tipo 01; modo digital/demo del tenant.</x:v>
      </x:c>
      <x:c r="D635" s="13" t="str">
        <x:v>1. Abrir WhatsApp Bot; buscar y seleccionar cliente de identidad 6
2. Crear venta 01 ordinaria con P-G, serie autorizada y pago 116
3. Consultar número, cliente, moneda, total, saldo, pagos, inventario y estado fiscal</x:v>
      </x:c>
      <x:c r="E635" s="13" t="str">
        <x:v>No existe restricción comercial por identidad 6 contra tipo 01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3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36" ht="68" customHeight="1">
      <x:c r="A636" s="13" t="str">
        <x:v>QA-MAT-180</x:v>
      </x:c>
      <x:c r="B636" s="13" t="str">
        <x:v>WhatsApp Bot / 01 / identidad 7 Pasaporte</x:v>
      </x:c>
      <x:c r="C636" s="13" t="str">
        <x:v>Un fixture por identidad doméstica activa, comprador autorizado, factura ordinaria 01/0101 o NV 80/nv. HKA en doble durante matriz comercial.
Cliente QA-7 activo; WhatsApp Bot habilitado; total 116; tipo 01; modo digital/demo del tenant.</x:v>
      </x:c>
      <x:c r="D636" s="13" t="str">
        <x:v>1. Abrir WhatsApp Bot; buscar y seleccionar cliente de identidad 7
2. Crear venta 01 ordinaria con P-G, serie autorizada y pago 116
3. Consultar número, cliente, moneda, total, saldo, pagos, inventario y estado fiscal</x:v>
      </x:c>
      <x:c r="E636" s="13" t="str">
        <x:v>No existe restricción comercial por identidad 7 contra tipo 01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3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37" ht="68" customHeight="1">
      <x:c r="A637" s="13" t="str">
        <x:v>QA-MAT-181</x:v>
      </x:c>
      <x:c r="B637" s="13" t="str">
        <x:v>WhatsApp Bot / 01 / identidad E Extranjero</x:v>
      </x:c>
      <x:c r="C637" s="13" t="str">
        <x:v>Un fixture por identidad doméstica activa, comprador autorizado, factura ordinaria 01/0101 o NV 80/nv. HKA en doble durante matriz comercial.
Cliente QA-E activo; WhatsApp Bot habilitado; total 116; tipo 01; modo digital/demo del tenant.</x:v>
      </x:c>
      <x:c r="D637" s="13" t="str">
        <x:v>1. Abrir WhatsApp Bot; buscar y seleccionar cliente de identidad E
2. Crear venta 01 ordinaria con P-G, serie autorizada y pago 116
3. Consultar número, cliente, moneda, total, saldo, pagos, inventario y estado fiscal</x:v>
      </x:c>
      <x:c r="E637" s="13" t="str">
        <x:v>No existe restricción comercial por identidad E contra tipo 01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3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38" ht="68" customHeight="1">
      <x:c r="A638" s="13" t="str">
        <x:v>QA-MAT-182</x:v>
      </x:c>
      <x:c r="B638" s="13" t="str">
        <x:v>WhatsApp Bot / 01 / identidad C Comuna</x:v>
      </x:c>
      <x:c r="C638" s="13" t="str">
        <x:v>Un fixture por identidad doméstica activa, comprador autorizado, factura ordinaria 01/0101 o NV 80/nv. HKA en doble durante matriz comercial.
Cliente QA-C activo; WhatsApp Bot habilitado; total 116; tipo 01; modo digital/demo del tenant.</x:v>
      </x:c>
      <x:c r="D638" s="13" t="str">
        <x:v>1. Abrir WhatsApp Bot; buscar y seleccionar cliente de identidad C
2. Crear venta 01 ordinaria con P-G, serie autorizada y pago 116
3. Consultar número, cliente, moneda, total, saldo, pagos, inventario y estado fiscal</x:v>
      </x:c>
      <x:c r="E638" s="13" t="str">
        <x:v>No existe restricción comercial por identidad C contra tipo 01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3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39" ht="68" customHeight="1">
      <x:c r="A639" s="13" t="str">
        <x:v>QA-MAT-183</x:v>
      </x:c>
      <x:c r="B639" s="13" t="str">
        <x:v>WhatsApp Bot / 01 / identidad G Gubernamental</x:v>
      </x:c>
      <x:c r="C639" s="13" t="str">
        <x:v>Un fixture por identidad doméstica activa, comprador autorizado, factura ordinaria 01/0101 o NV 80/nv. HKA en doble durante matriz comercial.
Cliente QA-G activo; WhatsApp Bot habilitado; total 116; tipo 01; modo digital/demo del tenant.</x:v>
      </x:c>
      <x:c r="D639" s="13" t="str">
        <x:v>1. Abrir WhatsApp Bot; buscar y seleccionar cliente de identidad G
2. Crear venta 01 ordinaria con P-G, serie autorizada y pago 116
3. Consultar número, cliente, moneda, total, saldo, pagos, inventario y estado fiscal</x:v>
      </x:c>
      <x:c r="E639" s="13" t="str">
        <x:v>No existe restricción comercial por identidad G contra tipo 01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3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40" ht="68" customHeight="1">
      <x:c r="A640" s="13" t="str">
        <x:v>QA-MAT-184</x:v>
      </x:c>
      <x:c r="B640" s="13" t="str">
        <x:v>WhatsApp Bot / 01 / identidad R Firma Personal</x:v>
      </x:c>
      <x:c r="C640" s="13" t="str">
        <x:v>Un fixture por identidad doméstica activa, comprador autorizado, factura ordinaria 01/0101 o NV 80/nv. HKA en doble durante matriz comercial.
Cliente QA-R activo; WhatsApp Bot habilitado; total 116; tipo 01; modo digital/demo del tenant.</x:v>
      </x:c>
      <x:c r="D640" s="13" t="str">
        <x:v>1. Abrir WhatsApp Bot; buscar y seleccionar cliente de identidad R
2. Crear venta 01 ordinaria con P-G, serie autorizada y pago 116
3. Consultar número, cliente, moneda, total, saldo, pagos, inventario y estado fiscal</x:v>
      </x:c>
      <x:c r="E640" s="13" t="str">
        <x:v>No existe restricción comercial por identidad R contra tipo 01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4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41" ht="68" customHeight="1">
      <x:c r="A641" s="13" t="str">
        <x:v>QA-MAT-185</x:v>
      </x:c>
      <x:c r="B641" s="13" t="str">
        <x:v>WhatsApp Bot / 80 / identidad 0 Doc.sin.rif</x:v>
      </x:c>
      <x:c r="C641" s="13" t="str">
        <x:v>Un fixture por identidad doméstica activa, comprador autorizado, factura ordinaria 01/0101 o NV 80/nv. HKA en doble durante matriz comercial.
Cliente QA-0 activo; WhatsApp Bot habilitado; total 116; tipo 80; modo digital/demo del tenant.</x:v>
      </x:c>
      <x:c r="D641" s="13" t="str">
        <x:v>1. Abrir WhatsApp Bot; buscar y seleccionar cliente de identidad 0
2. Crear venta 80 ordinaria con P-G, serie autorizada y pago 116
3. Consultar número, cliente, moneda, total, saldo, pagos, inventario y estado fiscal</x:v>
      </x:c>
      <x:c r="E641" s="13" t="str">
        <x:v>No existe restricción comercial por identidad 0 contra tipo 80 ni por monto. Venta única y presentación sin prefijo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4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42" ht="68" customHeight="1">
      <x:c r="A642" s="13" t="str">
        <x:v>QA-MAT-186</x:v>
      </x:c>
      <x:c r="B642" s="13" t="str">
        <x:v>WhatsApp Bot / 80 / identidad 1 Venezolano</x:v>
      </x:c>
      <x:c r="C642" s="13" t="str">
        <x:v>Un fixture por identidad doméstica activa, comprador autorizado, factura ordinaria 01/0101 o NV 80/nv. HKA en doble durante matriz comercial.
Cliente QA-1 activo; WhatsApp Bot habilitado; total 116; tipo 80; modo digital/demo del tenant.</x:v>
      </x:c>
      <x:c r="D642" s="13" t="str">
        <x:v>1. Abrir WhatsApp Bot; buscar y seleccionar cliente de identidad 1
2. Crear venta 80 ordinaria con P-G, serie autorizada y pago 116
3. Consultar número, cliente, moneda, total, saldo, pagos, inventario y estado fiscal</x:v>
      </x:c>
      <x:c r="E642" s="13" t="str">
        <x:v>No existe restricción comercial por identidad 1 contra tipo 80 ni por monto. Venta única y presentación V-número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4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43" ht="68" customHeight="1">
      <x:c r="A643" s="13" t="str">
        <x:v>QA-MAT-187</x:v>
      </x:c>
      <x:c r="B643" s="13" t="str">
        <x:v>WhatsApp Bot / 80 / identidad 6 Juridico</x:v>
      </x:c>
      <x:c r="C643" s="13" t="str">
        <x:v>Un fixture por identidad doméstica activa, comprador autorizado, factura ordinaria 01/0101 o NV 80/nv. HKA en doble durante matriz comercial.
Cliente QA-6 activo; WhatsApp Bot habilitado; total 116; tipo 80; modo digital/demo del tenant.</x:v>
      </x:c>
      <x:c r="D643" s="13" t="str">
        <x:v>1. Abrir WhatsApp Bot; buscar y seleccionar cliente de identidad 6
2. Crear venta 80 ordinaria con P-G, serie autorizada y pago 116
3. Consultar número, cliente, moneda, total, saldo, pagos, inventario y estado fiscal</x:v>
      </x:c>
      <x:c r="E643" s="13" t="str">
        <x:v>No existe restricción comercial por identidad 6 contra tipo 80 ni por monto. Venta única y presentación J-número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4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44" ht="68" customHeight="1">
      <x:c r="A644" s="13" t="str">
        <x:v>QA-MAT-188</x:v>
      </x:c>
      <x:c r="B644" s="13" t="str">
        <x:v>WhatsApp Bot / 80 / identidad 7 Pasaporte</x:v>
      </x:c>
      <x:c r="C644" s="13" t="str">
        <x:v>Un fixture por identidad doméstica activa, comprador autorizado, factura ordinaria 01/0101 o NV 80/nv. HKA en doble durante matriz comercial.
Cliente QA-7 activo; WhatsApp Bot habilitado; total 116; tipo 80; modo digital/demo del tenant.</x:v>
      </x:c>
      <x:c r="D644" s="13" t="str">
        <x:v>1. Abrir WhatsApp Bot; buscar y seleccionar cliente de identidad 7
2. Crear venta 80 ordinaria con P-G, serie autorizada y pago 116
3. Consultar número, cliente, moneda, total, saldo, pagos, inventario y estado fiscal</x:v>
      </x:c>
      <x:c r="E644" s="13" t="str">
        <x:v>No existe restricción comercial por identidad 7 contra tipo 80 ni por monto. Venta única y presentación P-número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4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45" ht="68" customHeight="1">
      <x:c r="A645" s="13" t="str">
        <x:v>QA-MAT-189</x:v>
      </x:c>
      <x:c r="B645" s="13" t="str">
        <x:v>WhatsApp Bot / 80 / identidad E Extranjero</x:v>
      </x:c>
      <x:c r="C645" s="13" t="str">
        <x:v>Un fixture por identidad doméstica activa, comprador autorizado, factura ordinaria 01/0101 o NV 80/nv. HKA en doble durante matriz comercial.
Cliente QA-E activo; WhatsApp Bot habilitado; total 116; tipo 80; modo digital/demo del tenant.</x:v>
      </x:c>
      <x:c r="D645" s="13" t="str">
        <x:v>1. Abrir WhatsApp Bot; buscar y seleccionar cliente de identidad E
2. Crear venta 80 ordinaria con P-G, serie autorizada y pago 116
3. Consultar número, cliente, moneda, total, saldo, pagos, inventario y estado fiscal</x:v>
      </x:c>
      <x:c r="E645" s="13" t="str">
        <x:v>No existe restricción comercial por identidad E contra tipo 80 ni por monto. Venta única y presentación E-número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4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46" ht="68" customHeight="1">
      <x:c r="A646" s="13" t="str">
        <x:v>QA-MAT-190</x:v>
      </x:c>
      <x:c r="B646" s="13" t="str">
        <x:v>WhatsApp Bot / 80 / identidad C Comuna</x:v>
      </x:c>
      <x:c r="C646" s="13" t="str">
        <x:v>Un fixture por identidad doméstica activa, comprador autorizado, factura ordinaria 01/0101 o NV 80/nv. HKA en doble durante matriz comercial.
Cliente QA-C activo; WhatsApp Bot habilitado; total 116; tipo 80; modo digital/demo del tenant.</x:v>
      </x:c>
      <x:c r="D646" s="13" t="str">
        <x:v>1. Abrir WhatsApp Bot; buscar y seleccionar cliente de identidad C
2. Crear venta 80 ordinaria con P-G, serie autorizada y pago 116
3. Consultar número, cliente, moneda, total, saldo, pagos, inventario y estado fiscal</x:v>
      </x:c>
      <x:c r="E646" s="13" t="str">
        <x:v>No existe restricción comercial por identidad C contra tipo 80 ni por monto. Venta única y presentación C-número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4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47" ht="68" customHeight="1">
      <x:c r="A647" s="13" t="str">
        <x:v>QA-MAT-191</x:v>
      </x:c>
      <x:c r="B647" s="13" t="str">
        <x:v>WhatsApp Bot / 80 / identidad G Gubernamental</x:v>
      </x:c>
      <x:c r="C647" s="13" t="str">
        <x:v>Un fixture por identidad doméstica activa, comprador autorizado, factura ordinaria 01/0101 o NV 80/nv. HKA en doble durante matriz comercial.
Cliente QA-G activo; WhatsApp Bot habilitado; total 116; tipo 80; modo digital/demo del tenant.</x:v>
      </x:c>
      <x:c r="D647" s="13" t="str">
        <x:v>1. Abrir WhatsApp Bot; buscar y seleccionar cliente de identidad G
2. Crear venta 80 ordinaria con P-G, serie autorizada y pago 116
3. Consultar número, cliente, moneda, total, saldo, pagos, inventario y estado fiscal</x:v>
      </x:c>
      <x:c r="E647" s="13" t="str">
        <x:v>No existe restricción comercial por identidad G contra tipo 80 ni por monto. Venta única y presentación G-número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4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48" ht="68" customHeight="1">
      <x:c r="A648" s="13" t="str">
        <x:v>QA-MAT-192</x:v>
      </x:c>
      <x:c r="B648" s="13" t="str">
        <x:v>WhatsApp Bot / 80 / identidad R Firma Personal</x:v>
      </x:c>
      <x:c r="C648" s="13" t="str">
        <x:v>Un fixture por identidad doméstica activa, comprador autorizado, factura ordinaria 01/0101 o NV 80/nv. HKA en doble durante matriz comercial.
Cliente QA-R activo; WhatsApp Bot habilitado; total 116; tipo 80; modo digital/demo del tenant.</x:v>
      </x:c>
      <x:c r="D648" s="13" t="str">
        <x:v>1. Abrir WhatsApp Bot; buscar y seleccionar cliente de identidad R
2. Crear venta 80 ordinaria con P-G, serie autorizada y pago 116
3. Consultar número, cliente, moneda, total, saldo, pagos, inventario y estado fiscal</x:v>
      </x:c>
      <x:c r="E648" s="13" t="str">
        <x:v>No existe restricción comercial por identidad R contra tipo 80 ni por monto. Venta única y presentación R-número correcta. Para 01, verificar resultado HKA aparte: equivalencia/aceptación remota no se presume de elegibilidad local. Para NV, no emitir como Factura. Si capacidad del canal contradice el contrato, reportar defecto o exclusión sustentada, nunca marcar Aprobó por omitirlo.</x:v>
      </x:c>
      <x:c r="F64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49" ht="68" customHeight="1">
      <x:c r="A649" s="13" t="str">
        <x:v>QA-MAT-193</x:v>
      </x:c>
      <x:c r="B649" s="13" t="str">
        <x:v>Notas web / 07 / identidad 0 Doc.sin.rif</x:v>
      </x:c>
      <x:c r="C649" s="13" t="str">
        <x:v>Un fixture por identidad doméstica activa, comprador autorizado, factura ordinaria 01/0101 o NV 80/nv. HKA en doble durante matriz comercial.
Factura 01 ordinaria vigente con comprador QA-0; tipo de identidad activo; mismo sucursal/moneda/ambiente.</x:v>
      </x:c>
      <x:c r="D649" s="13" t="str">
        <x:v>1. Abrir Nota de la factura y escoger tipo 07
2. Elegir motivo vigente y ajuste válido con descripción
3. Guardar; revisar identidad/referencia/saldo/stock e intentar sólo preparación local si referencia tiene control</x:v>
      </x:c>
      <x:c r="E649" s="13" t="str">
        <x:v>Identidad 0 no bloquea comercialmente nota 07; ajustes/referencia vigentes. Preparación requiere equivalencias/control real; no acreditar emisión HKA real de notas. No cambiar comprador por uno jurídico para obtener éxito.</x:v>
      </x:c>
      <x:c r="F64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50" ht="68" customHeight="1">
      <x:c r="A650" s="13" t="str">
        <x:v>QA-MAT-194</x:v>
      </x:c>
      <x:c r="B650" s="13" t="str">
        <x:v>Notas web / 07 / identidad 1 Venezolano</x:v>
      </x:c>
      <x:c r="C650" s="13" t="str">
        <x:v>Un fixture por identidad doméstica activa, comprador autorizado, factura ordinaria 01/0101 o NV 80/nv. HKA en doble durante matriz comercial.
Factura 01 ordinaria vigente con comprador QA-1; tipo de identidad activo; mismo sucursal/moneda/ambiente.</x:v>
      </x:c>
      <x:c r="D650" s="13" t="str">
        <x:v>1. Abrir Nota de la factura y escoger tipo 07
2. Elegir motivo vigente y ajuste válido con descripción
3. Guardar; revisar identidad/referencia/saldo/stock e intentar sólo preparación local si referencia tiene control</x:v>
      </x:c>
      <x:c r="E650" s="13" t="str">
        <x:v>Identidad 1 no bloquea comercialmente nota 07; ajustes/referencia vigentes. Preparación requiere equivalencias/control real; no acreditar emisión HKA real de notas. No cambiar comprador por uno jurídico para obtener éxito.</x:v>
      </x:c>
      <x:c r="F65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51" ht="68" customHeight="1">
      <x:c r="A651" s="13" t="str">
        <x:v>QA-MAT-195</x:v>
      </x:c>
      <x:c r="B651" s="13" t="str">
        <x:v>Notas web / 07 / identidad 6 Juridico</x:v>
      </x:c>
      <x:c r="C651" s="13" t="str">
        <x:v>Un fixture por identidad doméstica activa, comprador autorizado, factura ordinaria 01/0101 o NV 80/nv. HKA en doble durante matriz comercial.
Factura 01 ordinaria vigente con comprador QA-6; tipo de identidad activo; mismo sucursal/moneda/ambiente.</x:v>
      </x:c>
      <x:c r="D651" s="13" t="str">
        <x:v>1. Abrir Nota de la factura y escoger tipo 07
2. Elegir motivo vigente y ajuste válido con descripción
3. Guardar; revisar identidad/referencia/saldo/stock e intentar sólo preparación local si referencia tiene control</x:v>
      </x:c>
      <x:c r="E651" s="13" t="str">
        <x:v>Identidad 6 no bloquea comercialmente nota 07; ajustes/referencia vigentes. Preparación requiere equivalencias/control real; no acreditar emisión HKA real de notas. No cambiar comprador por uno jurídico para obtener éxito.</x:v>
      </x:c>
      <x:c r="F65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52" ht="68" customHeight="1">
      <x:c r="A652" s="13" t="str">
        <x:v>QA-MAT-196</x:v>
      </x:c>
      <x:c r="B652" s="13" t="str">
        <x:v>Notas web / 07 / identidad 7 Pasaporte</x:v>
      </x:c>
      <x:c r="C652" s="13" t="str">
        <x:v>Un fixture por identidad doméstica activa, comprador autorizado, factura ordinaria 01/0101 o NV 80/nv. HKA en doble durante matriz comercial.
Factura 01 ordinaria vigente con comprador QA-7; tipo de identidad activo; mismo sucursal/moneda/ambiente.</x:v>
      </x:c>
      <x:c r="D652" s="13" t="str">
        <x:v>1. Abrir Nota de la factura y escoger tipo 07
2. Elegir motivo vigente y ajuste válido con descripción
3. Guardar; revisar identidad/referencia/saldo/stock e intentar sólo preparación local si referencia tiene control</x:v>
      </x:c>
      <x:c r="E652" s="13" t="str">
        <x:v>Identidad 7 no bloquea comercialmente nota 07; ajustes/referencia vigentes. Preparación requiere equivalencias/control real; no acreditar emisión HKA real de notas. No cambiar comprador por uno jurídico para obtener éxito.</x:v>
      </x:c>
      <x:c r="F65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53" ht="68" customHeight="1">
      <x:c r="A653" s="13" t="str">
        <x:v>QA-MAT-197</x:v>
      </x:c>
      <x:c r="B653" s="13" t="str">
        <x:v>Notas web / 07 / identidad E Extranjero</x:v>
      </x:c>
      <x:c r="C653" s="13" t="str">
        <x:v>Un fixture por identidad doméstica activa, comprador autorizado, factura ordinaria 01/0101 o NV 80/nv. HKA en doble durante matriz comercial.
Factura 01 ordinaria vigente con comprador QA-E; tipo de identidad activo; mismo sucursal/moneda/ambiente.</x:v>
      </x:c>
      <x:c r="D653" s="13" t="str">
        <x:v>1. Abrir Nota de la factura y escoger tipo 07
2. Elegir motivo vigente y ajuste válido con descripción
3. Guardar; revisar identidad/referencia/saldo/stock e intentar sólo preparación local si referencia tiene control</x:v>
      </x:c>
      <x:c r="E653" s="13" t="str">
        <x:v>Identidad E no bloquea comercialmente nota 07; ajustes/referencia vigentes. Preparación requiere equivalencias/control real; no acreditar emisión HKA real de notas. No cambiar comprador por uno jurídico para obtener éxito.</x:v>
      </x:c>
      <x:c r="F65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54" ht="68" customHeight="1">
      <x:c r="A654" s="13" t="str">
        <x:v>QA-MAT-198</x:v>
      </x:c>
      <x:c r="B654" s="13" t="str">
        <x:v>Notas web / 07 / identidad C Comuna</x:v>
      </x:c>
      <x:c r="C654" s="13" t="str">
        <x:v>Un fixture por identidad doméstica activa, comprador autorizado, factura ordinaria 01/0101 o NV 80/nv. HKA en doble durante matriz comercial.
Factura 01 ordinaria vigente con comprador QA-C; tipo de identidad activo; mismo sucursal/moneda/ambiente.</x:v>
      </x:c>
      <x:c r="D654" s="13" t="str">
        <x:v>1. Abrir Nota de la factura y escoger tipo 07
2. Elegir motivo vigente y ajuste válido con descripción
3. Guardar; revisar identidad/referencia/saldo/stock e intentar sólo preparación local si referencia tiene control</x:v>
      </x:c>
      <x:c r="E654" s="13" t="str">
        <x:v>Identidad C no bloquea comercialmente nota 07; ajustes/referencia vigentes. Preparación requiere equivalencias/control real; no acreditar emisión HKA real de notas. No cambiar comprador por uno jurídico para obtener éxito.</x:v>
      </x:c>
      <x:c r="F65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55" ht="68" customHeight="1">
      <x:c r="A655" s="13" t="str">
        <x:v>QA-MAT-199</x:v>
      </x:c>
      <x:c r="B655" s="13" t="str">
        <x:v>Notas web / 07 / identidad G Gubernamental</x:v>
      </x:c>
      <x:c r="C655" s="13" t="str">
        <x:v>Un fixture por identidad doméstica activa, comprador autorizado, factura ordinaria 01/0101 o NV 80/nv. HKA en doble durante matriz comercial.
Factura 01 ordinaria vigente con comprador QA-G; tipo de identidad activo; mismo sucursal/moneda/ambiente.</x:v>
      </x:c>
      <x:c r="D655" s="13" t="str">
        <x:v>1. Abrir Nota de la factura y escoger tipo 07
2. Elegir motivo vigente y ajuste válido con descripción
3. Guardar; revisar identidad/referencia/saldo/stock e intentar sólo preparación local si referencia tiene control</x:v>
      </x:c>
      <x:c r="E655" s="13" t="str">
        <x:v>Identidad G no bloquea comercialmente nota 07; ajustes/referencia vigentes. Preparación requiere equivalencias/control real; no acreditar emisión HKA real de notas. No cambiar comprador por uno jurídico para obtener éxito.</x:v>
      </x:c>
      <x:c r="F655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56" ht="68" customHeight="1">
      <x:c r="A656" s="13" t="str">
        <x:v>QA-MAT-200</x:v>
      </x:c>
      <x:c r="B656" s="13" t="str">
        <x:v>Notas web / 07 / identidad R Firma Personal</x:v>
      </x:c>
      <x:c r="C656" s="13" t="str">
        <x:v>Un fixture por identidad doméstica activa, comprador autorizado, factura ordinaria 01/0101 o NV 80/nv. HKA en doble durante matriz comercial.
Factura 01 ordinaria vigente con comprador QA-R; tipo de identidad activo; mismo sucursal/moneda/ambiente.</x:v>
      </x:c>
      <x:c r="D656" s="13" t="str">
        <x:v>1. Abrir Nota de la factura y escoger tipo 07
2. Elegir motivo vigente y ajuste válido con descripción
3. Guardar; revisar identidad/referencia/saldo/stock e intentar sólo preparación local si referencia tiene control</x:v>
      </x:c>
      <x:c r="E656" s="13" t="str">
        <x:v>Identidad R no bloquea comercialmente nota 07; ajustes/referencia vigentes. Preparación requiere equivalencias/control real; no acreditar emisión HKA real de notas. No cambiar comprador por uno jurídico para obtener éxito.</x:v>
      </x:c>
      <x:c r="F656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57" ht="68" customHeight="1">
      <x:c r="A657" s="13" t="str">
        <x:v>QA-MAT-201</x:v>
      </x:c>
      <x:c r="B657" s="13" t="str">
        <x:v>Notas web / 08 / identidad 0 Doc.sin.rif</x:v>
      </x:c>
      <x:c r="C657" s="13" t="str">
        <x:v>Un fixture por identidad doméstica activa, comprador autorizado, factura ordinaria 01/0101 o NV 80/nv. HKA en doble durante matriz comercial.
Factura 01 ordinaria vigente con comprador QA-0; tipo de identidad activo; mismo sucursal/moneda/ambiente.</x:v>
      </x:c>
      <x:c r="D657" s="13" t="str">
        <x:v>1. Abrir Nota de la factura y escoger tipo 08
2. Elegir motivo vigente y ajuste válido con descripción
3. Guardar; revisar identidad/referencia/saldo/stock e intentar sólo preparación local si referencia tiene control</x:v>
      </x:c>
      <x:c r="E657" s="13" t="str">
        <x:v>Identidad 0 no bloquea comercialmente nota 08; ajustes/referencia vigentes. Preparación requiere equivalencias/control real; no acreditar emisión HKA real de notas. No cambiar comprador por uno jurídico para obtener éxito.</x:v>
      </x:c>
      <x:c r="F657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58" ht="68" customHeight="1">
      <x:c r="A658" s="13" t="str">
        <x:v>QA-MAT-202</x:v>
      </x:c>
      <x:c r="B658" s="13" t="str">
        <x:v>Notas web / 08 / identidad 1 Venezolano</x:v>
      </x:c>
      <x:c r="C658" s="13" t="str">
        <x:v>Un fixture por identidad doméstica activa, comprador autorizado, factura ordinaria 01/0101 o NV 80/nv. HKA en doble durante matriz comercial.
Factura 01 ordinaria vigente con comprador QA-1; tipo de identidad activo; mismo sucursal/moneda/ambiente.</x:v>
      </x:c>
      <x:c r="D658" s="13" t="str">
        <x:v>1. Abrir Nota de la factura y escoger tipo 08
2. Elegir motivo vigente y ajuste válido con descripción
3. Guardar; revisar identidad/referencia/saldo/stock e intentar sólo preparación local si referencia tiene control</x:v>
      </x:c>
      <x:c r="E658" s="13" t="str">
        <x:v>Identidad 1 no bloquea comercialmente nota 08; ajustes/referencia vigentes. Preparación requiere equivalencias/control real; no acreditar emisión HKA real de notas. No cambiar comprador por uno jurídico para obtener éxito.</x:v>
      </x:c>
      <x:c r="F658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59" ht="68" customHeight="1">
      <x:c r="A659" s="13" t="str">
        <x:v>QA-MAT-203</x:v>
      </x:c>
      <x:c r="B659" s="13" t="str">
        <x:v>Notas web / 08 / identidad 6 Juridico</x:v>
      </x:c>
      <x:c r="C659" s="13" t="str">
        <x:v>Un fixture por identidad doméstica activa, comprador autorizado, factura ordinaria 01/0101 o NV 80/nv. HKA en doble durante matriz comercial.
Factura 01 ordinaria vigente con comprador QA-6; tipo de identidad activo; mismo sucursal/moneda/ambiente.</x:v>
      </x:c>
      <x:c r="D659" s="13" t="str">
        <x:v>1. Abrir Nota de la factura y escoger tipo 08
2. Elegir motivo vigente y ajuste válido con descripción
3. Guardar; revisar identidad/referencia/saldo/stock e intentar sólo preparación local si referencia tiene control</x:v>
      </x:c>
      <x:c r="E659" s="13" t="str">
        <x:v>Identidad 6 no bloquea comercialmente nota 08; ajustes/referencia vigentes. Preparación requiere equivalencias/control real; no acreditar emisión HKA real de notas. No cambiar comprador por uno jurídico para obtener éxito.</x:v>
      </x:c>
      <x:c r="F659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60" ht="68" customHeight="1">
      <x:c r="A660" s="13" t="str">
        <x:v>QA-MAT-204</x:v>
      </x:c>
      <x:c r="B660" s="13" t="str">
        <x:v>Notas web / 08 / identidad 7 Pasaporte</x:v>
      </x:c>
      <x:c r="C660" s="13" t="str">
        <x:v>Un fixture por identidad doméstica activa, comprador autorizado, factura ordinaria 01/0101 o NV 80/nv. HKA en doble durante matriz comercial.
Factura 01 ordinaria vigente con comprador QA-7; tipo de identidad activo; mismo sucursal/moneda/ambiente.</x:v>
      </x:c>
      <x:c r="D660" s="13" t="str">
        <x:v>1. Abrir Nota de la factura y escoger tipo 08
2. Elegir motivo vigente y ajuste válido con descripción
3. Guardar; revisar identidad/referencia/saldo/stock e intentar sólo preparación local si referencia tiene control</x:v>
      </x:c>
      <x:c r="E660" s="13" t="str">
        <x:v>Identidad 7 no bloquea comercialmente nota 08; ajustes/referencia vigentes. Preparación requiere equivalencias/control real; no acreditar emisión HKA real de notas. No cambiar comprador por uno jurídico para obtener éxito.</x:v>
      </x:c>
      <x:c r="F660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61" ht="68" customHeight="1">
      <x:c r="A661" s="13" t="str">
        <x:v>QA-MAT-205</x:v>
      </x:c>
      <x:c r="B661" s="13" t="str">
        <x:v>Notas web / 08 / identidad E Extranjero</x:v>
      </x:c>
      <x:c r="C661" s="13" t="str">
        <x:v>Un fixture por identidad doméstica activa, comprador autorizado, factura ordinaria 01/0101 o NV 80/nv. HKA en doble durante matriz comercial.
Factura 01 ordinaria vigente con comprador QA-E; tipo de identidad activo; mismo sucursal/moneda/ambiente.</x:v>
      </x:c>
      <x:c r="D661" s="13" t="str">
        <x:v>1. Abrir Nota de la factura y escoger tipo 08
2. Elegir motivo vigente y ajuste válido con descripción
3. Guardar; revisar identidad/referencia/saldo/stock e intentar sólo preparación local si referencia tiene control</x:v>
      </x:c>
      <x:c r="E661" s="13" t="str">
        <x:v>Identidad E no bloquea comercialmente nota 08; ajustes/referencia vigentes. Preparación requiere equivalencias/control real; no acreditar emisión HKA real de notas. No cambiar comprador por uno jurídico para obtener éxito.</x:v>
      </x:c>
      <x:c r="F661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62" ht="68" customHeight="1">
      <x:c r="A662" s="13" t="str">
        <x:v>QA-MAT-206</x:v>
      </x:c>
      <x:c r="B662" s="13" t="str">
        <x:v>Notas web / 08 / identidad C Comuna</x:v>
      </x:c>
      <x:c r="C662" s="13" t="str">
        <x:v>Un fixture por identidad doméstica activa, comprador autorizado, factura ordinaria 01/0101 o NV 80/nv. HKA en doble durante matriz comercial.
Factura 01 ordinaria vigente con comprador QA-C; tipo de identidad activo; mismo sucursal/moneda/ambiente.</x:v>
      </x:c>
      <x:c r="D662" s="13" t="str">
        <x:v>1. Abrir Nota de la factura y escoger tipo 08
2. Elegir motivo vigente y ajuste válido con descripción
3. Guardar; revisar identidad/referencia/saldo/stock e intentar sólo preparación local si referencia tiene control</x:v>
      </x:c>
      <x:c r="E662" s="13" t="str">
        <x:v>Identidad C no bloquea comercialmente nota 08; ajustes/referencia vigentes. Preparación requiere equivalencias/control real; no acreditar emisión HKA real de notas. No cambiar comprador por uno jurídico para obtener éxito.</x:v>
      </x:c>
      <x:c r="F662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63" ht="68" customHeight="1">
      <x:c r="A663" s="13" t="str">
        <x:v>QA-MAT-207</x:v>
      </x:c>
      <x:c r="B663" s="13" t="str">
        <x:v>Notas web / 08 / identidad G Gubernamental</x:v>
      </x:c>
      <x:c r="C663" s="13" t="str">
        <x:v>Un fixture por identidad doméstica activa, comprador autorizado, factura ordinaria 01/0101 o NV 80/nv. HKA en doble durante matriz comercial.
Factura 01 ordinaria vigente con comprador QA-G; tipo de identidad activo; mismo sucursal/moneda/ambiente.</x:v>
      </x:c>
      <x:c r="D663" s="13" t="str">
        <x:v>1. Abrir Nota de la factura y escoger tipo 08
2. Elegir motivo vigente y ajuste válido con descripción
3. Guardar; revisar identidad/referencia/saldo/stock e intentar sólo preparación local si referencia tiene control</x:v>
      </x:c>
      <x:c r="E663" s="13" t="str">
        <x:v>Identidad G no bloquea comercialmente nota 08; ajustes/referencia vigentes. Preparación requiere equivalencias/control real; no acreditar emisión HKA real de notas. No cambiar comprador por uno jurídico para obtener éxito.</x:v>
      </x:c>
      <x:c r="F663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64" ht="68" customHeight="1">
      <x:c r="A664" s="13" t="str">
        <x:v>QA-MAT-208</x:v>
      </x:c>
      <x:c r="B664" s="13" t="str">
        <x:v>Notas web / 08 / identidad R Firma Personal</x:v>
      </x:c>
      <x:c r="C664" s="13" t="str">
        <x:v>Un fixture por identidad doméstica activa, comprador autorizado, factura ordinaria 01/0101 o NV 80/nv. HKA en doble durante matriz comercial.
Factura 01 ordinaria vigente con comprador QA-R; tipo de identidad activo; mismo sucursal/moneda/ambiente.</x:v>
      </x:c>
      <x:c r="D664" s="13" t="str">
        <x:v>1. Abrir Nota de la factura y escoger tipo 08
2. Elegir motivo vigente y ajuste válido con descripción
3. Guardar; revisar identidad/referencia/saldo/stock e intentar sólo preparación local si referencia tiene control</x:v>
      </x:c>
      <x:c r="E664" s="13" t="str">
        <x:v>Identidad R no bloquea comercialmente nota 08; ajustes/referencia vigentes. Preparación requiere equivalencias/control real; no acreditar emisión HKA real de notas. No cambiar comprador por uno jurídico para obtener éxito.</x:v>
      </x:c>
      <x:c r="F664" s="13" t="str">
        <x:v>Fuentes: app/Services/SalesCustomerIdentityPolicy.php; .codex/skills/gestionar-clientes-venezuela/SKILL.md; .codex/skills/mantener-facturas-notas-venta-sin-boleta/references/contrato.md
Entrada: Flujo real de cada canal identificado en QA-ENT</x:v>
      </x:c>
    </x:row>
    <x:row r="665" ht="56" customHeight="1">
      <x:c r="A665" s="13" t="str">
        <x:v>QA-NEG-001</x:v>
      </x:c>
      <x:c r="B665" s="13" t="str">
        <x:v>Comprobantes web: rechazo de Boleta 03</x:v>
      </x:c>
      <x:c r="C665" s="13" t="str">
        <x:v>Payload válido de canal; sustituir únicamente tipo/operación; doble HKAy línea base completa.
Venta válida de Comprobantes web; identidad activa y serie autorizada.</x:v>
      </x:c>
      <x:c r="D665" s="13" t="str">
        <x:v>1. Guardar línea base de conteos/pagos/stock
2. Sustituir document_type_id por 03 y enviar por HTTP sin depender del selector
3. Leer rechazo y comparar todas las relaciones/contador HTTP</x:v>
      </x:c>
      <x:c r="E665" s="13" t="str">
        <x:v>Servidor rechaza creación 03 antes de efectos comerciales o fiscales; no mapea Boleta a Factura/NVni restringe por prefijo de serie.</x:v>
      </x:c>
      <x:c r="F665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66" ht="56" customHeight="1">
      <x:c r="A666" s="13" t="str">
        <x:v>QA-NEG-002</x:v>
      </x:c>
      <x:c r="B666" s="13" t="str">
        <x:v>POS: rechazo de Boleta 03</x:v>
      </x:c>
      <x:c r="C666" s="13" t="str">
        <x:v>Payload válido de canal; sustituir únicamente tipo/operación; doble HKAy línea base completa.
Venta válida de POS; identidad activa y serie autorizada.</x:v>
      </x:c>
      <x:c r="D666" s="13" t="str">
        <x:v>1. Guardar línea base de conteos/pagos/stock
2. Sustituir document_type_id por 03 y enviar por HTTP sin depender del selector
3. Leer rechazo y comparar todas las relaciones/contador HTTP</x:v>
      </x:c>
      <x:c r="E666" s="13" t="str">
        <x:v>Servidor rechaza creación 03 antes de efectos comerciales o fiscales; no mapea Boleta a Factura/NVni restringe por prefijo de serie.</x:v>
      </x:c>
      <x:c r="F666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67" ht="56" customHeight="1">
      <x:c r="A667" s="13" t="str">
        <x:v>QA-NEG-003</x:v>
      </x:c>
      <x:c r="B667" s="13" t="str">
        <x:v>Vende Ya / Garage: rechazo de Boleta 03</x:v>
      </x:c>
      <x:c r="C667" s="13" t="str">
        <x:v>Payload válido de canal; sustituir únicamente tipo/operación; doble HKAy línea base completa.
Venta válida de Vende Ya / Garage; identidad activa y serie autorizada.</x:v>
      </x:c>
      <x:c r="D667" s="13" t="str">
        <x:v>1. Guardar línea base de conteos/pagos/stock
2. Sustituir document_type_id por 03 y enviar por HTTP sin depender del selector
3. Leer rechazo y comparar todas las relaciones/contador HTTP</x:v>
      </x:c>
      <x:c r="E667" s="13" t="str">
        <x:v>Servidor rechaza creación 03 antes de efectos comerciales o fiscales; no mapea Boleta a Factura/NVni restringe por prefijo de serie.</x:v>
      </x:c>
      <x:c r="F667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68" ht="56" customHeight="1">
      <x:c r="A668" s="13" t="str">
        <x:v>QA-NEG-004</x:v>
      </x:c>
      <x:c r="B668" s="13" t="str">
        <x:v>Venta rápida: rechazo de Boleta 03</x:v>
      </x:c>
      <x:c r="C668" s="13" t="str">
        <x:v>Payload válido de canal; sustituir únicamente tipo/operación; doble HKAy línea base completa.
Venta válida de Venta rápida; identidad activa y serie autorizada.</x:v>
      </x:c>
      <x:c r="D668" s="13" t="str">
        <x:v>1. Guardar línea base de conteos/pagos/stock
2. Sustituir document_type_id por 03 y enviar por HTTP sin depender del selector
3. Leer rechazo y comparar todas las relaciones/contador HTTP</x:v>
      </x:c>
      <x:c r="E668" s="13" t="str">
        <x:v>Servidor rechaza creación 03 antes de efectos comerciales o fiscales; no mapea Boleta a Factura/NVni restringe por prefijo de serie.</x:v>
      </x:c>
      <x:c r="F668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69" ht="56" customHeight="1">
      <x:c r="A669" s="13" t="str">
        <x:v>QA-NEG-005</x:v>
      </x:c>
      <x:c r="B669" s="13" t="str">
        <x:v>API de venta: rechazo de Boleta 03</x:v>
      </x:c>
      <x:c r="C669" s="13" t="str">
        <x:v>Payload válido de canal; sustituir únicamente tipo/operación; doble HKAy línea base completa.
Venta válida de API de venta; identidad activa y serie autorizada.</x:v>
      </x:c>
      <x:c r="D669" s="13" t="str">
        <x:v>1. Guardar línea base de conteos/pagos/stock
2. Sustituir document_type_id por 03 y enviar por HTTP sin depender del selector
3. Leer rechazo y comparar todas las relaciones/contador HTTP</x:v>
      </x:c>
      <x:c r="E669" s="13" t="str">
        <x:v>Servidor rechaza creación 03 antes de efectos comerciales o fiscales; no mapea Boleta a Factura/NVni restringe por prefijo de serie.</x:v>
      </x:c>
      <x:c r="F669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70" ht="56" customHeight="1">
      <x:c r="A670" s="13" t="str">
        <x:v>QA-NEG-006</x:v>
      </x:c>
      <x:c r="B670" s="13" t="str">
        <x:v>Hotel: rechazo de Boleta 03</x:v>
      </x:c>
      <x:c r="C670" s="13" t="str">
        <x:v>Payload válido de canal; sustituir únicamente tipo/operación; doble HKAy línea base completa.
Venta válida de Hotel; identidad activa y serie autorizada.</x:v>
      </x:c>
      <x:c r="D670" s="13" t="str">
        <x:v>1. Guardar línea base de conteos/pagos/stock
2. Sustituir document_type_id por 03 y enviar por HTTP sin depender del selector
3. Leer rechazo y comparar todas las relaciones/contador HTTP</x:v>
      </x:c>
      <x:c r="E670" s="13" t="str">
        <x:v>Servidor rechaza creación 03 antes de efectos comerciales o fiscales; no mapea Boleta a Factura/NVni restringe por prefijo de serie.</x:v>
      </x:c>
      <x:c r="F670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71" ht="56" customHeight="1">
      <x:c r="A671" s="13" t="str">
        <x:v>QA-NEG-007</x:v>
      </x:c>
      <x:c r="B671" s="13" t="str">
        <x:v>Restaurante: rechazo de Boleta 03</x:v>
      </x:c>
      <x:c r="C671" s="13" t="str">
        <x:v>Payload válido de canal; sustituir únicamente tipo/operación; doble HKAy línea base completa.
Venta válida de Restaurante; identidad activa y serie autorizada.</x:v>
      </x:c>
      <x:c r="D671" s="13" t="str">
        <x:v>1. Guardar línea base de conteos/pagos/stock
2. Sustituir document_type_id por 03 y enviar por HTTP sin depender del selector
3. Leer rechazo y comparar todas las relaciones/contador HTTP</x:v>
      </x:c>
      <x:c r="E671" s="13" t="str">
        <x:v>Servidor rechaza creación 03 antes de efectos comerciales o fiscales; no mapea Boleta a Factura/NVni restringe por prefijo de serie.</x:v>
      </x:c>
      <x:c r="F671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72" ht="56" customHeight="1">
      <x:c r="A672" s="13" t="str">
        <x:v>QA-NEG-008</x:v>
      </x:c>
      <x:c r="B672" s="13" t="str">
        <x:v>Ecommerce: rechazo de Boleta 03</x:v>
      </x:c>
      <x:c r="C672" s="13" t="str">
        <x:v>Payload válido de canal; sustituir únicamente tipo/operación; doble HKAy línea base completa.
Venta válida de Ecommerce; identidad activa y serie autorizada.</x:v>
      </x:c>
      <x:c r="D672" s="13" t="str">
        <x:v>1. Guardar línea base de conteos/pagos/stock
2. Sustituir document_type_id por 03 y enviar por HTTP sin depender del selector
3. Leer rechazo y comparar todas las relaciones/contador HTTP</x:v>
      </x:c>
      <x:c r="E672" s="13" t="str">
        <x:v>Servidor rechaza creación 03 antes de efectos comerciales o fiscales; no mapea Boleta a Factura/NVni restringe por prefijo de serie.</x:v>
      </x:c>
      <x:c r="F672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73" ht="56" customHeight="1">
      <x:c r="A673" s="13" t="str">
        <x:v>QA-NEG-009</x:v>
      </x:c>
      <x:c r="B673" s="13" t="str">
        <x:v>Mi Tienda / Store: rechazo de Boleta 03</x:v>
      </x:c>
      <x:c r="C673" s="13" t="str">
        <x:v>Payload válido de canal; sustituir únicamente tipo/operación; doble HKAy línea base completa.
Venta válida de Mi Tienda / Store; identidad activa y serie autorizada.</x:v>
      </x:c>
      <x:c r="D673" s="13" t="str">
        <x:v>1. Guardar línea base de conteos/pagos/stock
2. Sustituir document_type_id por 03 y enviar por HTTP sin depender del selector
3. Leer rechazo y comparar todas las relaciones/contador HTTP</x:v>
      </x:c>
      <x:c r="E673" s="13" t="str">
        <x:v>Servidor rechaza creación 03 antes de efectos comerciales o fiscales; no mapea Boleta a Factura/NVni restringe por prefijo de serie.</x:v>
      </x:c>
      <x:c r="F673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74" ht="56" customHeight="1">
      <x:c r="A674" s="13" t="str">
        <x:v>QA-NEG-010</x:v>
      </x:c>
      <x:c r="B674" s="13" t="str">
        <x:v>Pedidos: rechazo de Boleta 03</x:v>
      </x:c>
      <x:c r="C674" s="13" t="str">
        <x:v>Payload válido de canal; sustituir únicamente tipo/operación; doble HKAy línea base completa.
Venta válida de Pedidos; identidad activa y serie autorizada.</x:v>
      </x:c>
      <x:c r="D674" s="13" t="str">
        <x:v>1. Guardar línea base de conteos/pagos/stock
2. Sustituir document_type_id por 03 y enviar por HTTP sin depender del selector
3. Leer rechazo y comparar todas las relaciones/contador HTTP</x:v>
      </x:c>
      <x:c r="E674" s="13" t="str">
        <x:v>Servidor rechaza creación 03 antes de efectos comerciales o fiscales; no mapea Boleta a Factura/NVni restringe por prefijo de serie.</x:v>
      </x:c>
      <x:c r="F674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75" ht="56" customHeight="1">
      <x:c r="A675" s="13" t="str">
        <x:v>QA-NEG-011</x:v>
      </x:c>
      <x:c r="B675" s="13" t="str">
        <x:v>Servicio técnico: rechazo de Boleta 03</x:v>
      </x:c>
      <x:c r="C675" s="13" t="str">
        <x:v>Payload válido de canal; sustituir únicamente tipo/operación; doble HKAy línea base completa.
Venta válida de Servicio técnico; identidad activa y serie autorizada.</x:v>
      </x:c>
      <x:c r="D675" s="13" t="str">
        <x:v>1. Guardar línea base de conteos/pagos/stock
2. Sustituir document_type_id por 03 y enviar por HTTP sin depender del selector
3. Leer rechazo y comparar todas las relaciones/contador HTTP</x:v>
      </x:c>
      <x:c r="E675" s="13" t="str">
        <x:v>Servidor rechaza creación 03 antes de efectos comerciales o fiscales; no mapea Boleta a Factura/NVni restringe por prefijo de serie.</x:v>
      </x:c>
      <x:c r="F675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76" ht="56" customHeight="1">
      <x:c r="A676" s="13" t="str">
        <x:v>QA-NEG-012</x:v>
      </x:c>
      <x:c r="B676" s="13" t="str">
        <x:v>WhatsApp Bot: rechazo de Boleta 03</x:v>
      </x:c>
      <x:c r="C676" s="13" t="str">
        <x:v>Payload válido de canal; sustituir únicamente tipo/operación; doble HKAy línea base completa.
Venta válida de WhatsApp Bot; identidad activa y serie autorizada.</x:v>
      </x:c>
      <x:c r="D676" s="13" t="str">
        <x:v>1. Guardar línea base de conteos/pagos/stock
2. Sustituir document_type_id por 03 y enviar por HTTP sin depender del selector
3. Leer rechazo y comparar todas las relaciones/contador HTTP</x:v>
      </x:c>
      <x:c r="E676" s="13" t="str">
        <x:v>Servidor rechaza creación 03 antes de efectos comerciales o fiscales; no mapea Boleta a Factura/NVni restringe por prefijo de serie.</x:v>
      </x:c>
      <x:c r="F676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77" ht="56" customHeight="1">
      <x:c r="A677" s="13" t="str">
        <x:v>QA-NEG-013</x:v>
      </x:c>
      <x:c r="B677" s="13" t="str">
        <x:v>Procesamiento fiscal común rechaza tipo FE</x:v>
      </x:c>
      <x:c r="C677" s="13" t="str">
        <x:v>Payload válido de canal; sustituir únicamente tipo/operación; doble HKAy línea base completa.
Payload invoice/credit/debit común válido en QA.</x:v>
      </x:c>
      <x:c r="D677" s="13" t="str">
        <x:v>1. Sustituir tipo por FE
2. Enviar al procesamiento de Facturas/notas
3. Leer error y conteos</x:v>
      </x:c>
      <x:c r="E677" s="13" t="str">
        <x:v>Procesamiento 01/07/08 no acepta tipos de otros módulos/retirados/desconocidos. La presencia en catálogo no habilita nuevo flujo; conservar sus módulos comerciales propios si existen.</x:v>
      </x:c>
      <x:c r="F677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78" ht="56" customHeight="1">
      <x:c r="A678" s="13" t="str">
        <x:v>QA-NEG-014</x:v>
      </x:c>
      <x:c r="B678" s="13" t="str">
        <x:v>Procesamiento fiscal común rechaza tipo 09</x:v>
      </x:c>
      <x:c r="C678" s="13" t="str">
        <x:v>Payload válido de canal; sustituir únicamente tipo/operación; doble HKAy línea base completa.
Payload invoice/credit/debit común válido en QA.</x:v>
      </x:c>
      <x:c r="D678" s="13" t="str">
        <x:v>1. Sustituir tipo por 09
2. Enviar al procesamiento de Facturas/notas
3. Leer error y conteos</x:v>
      </x:c>
      <x:c r="E678" s="13" t="str">
        <x:v>Procesamiento 01/07/08 no acepta tipos de otros módulos/retirados/desconocidos. La presencia en catálogo no habilita nuevo flujo; conservar sus módulos comerciales propios si existen.</x:v>
      </x:c>
      <x:c r="F678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79" ht="56" customHeight="1">
      <x:c r="A679" s="13" t="str">
        <x:v>QA-NEG-015</x:v>
      </x:c>
      <x:c r="B679" s="13" t="str">
        <x:v>Procesamiento fiscal común rechaza tipo 20</x:v>
      </x:c>
      <x:c r="C679" s="13" t="str">
        <x:v>Payload válido de canal; sustituir únicamente tipo/operación; doble HKAy línea base completa.
Payload invoice/credit/debit común válido en QA.</x:v>
      </x:c>
      <x:c r="D679" s="13" t="str">
        <x:v>1. Sustituir tipo por 20
2. Enviar al procesamiento de Facturas/notas
3. Leer error y conteos</x:v>
      </x:c>
      <x:c r="E679" s="13" t="str">
        <x:v>Procesamiento 01/07/08 no acepta tipos de otros módulos/retirados/desconocidos. La presencia en catálogo no habilita nuevo flujo; conservar sus módulos comerciales propios si existen.</x:v>
      </x:c>
      <x:c r="F679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80" ht="56" customHeight="1">
      <x:c r="A680" s="13" t="str">
        <x:v>QA-NEG-016</x:v>
      </x:c>
      <x:c r="B680" s="13" t="str">
        <x:v>Procesamiento fiscal común rechaza tipo ISLR</x:v>
      </x:c>
      <x:c r="C680" s="13" t="str">
        <x:v>Payload válido de canal; sustituir únicamente tipo/operación; doble HKAy línea base completa.
Payload invoice/credit/debit común válido en QA.</x:v>
      </x:c>
      <x:c r="D680" s="13" t="str">
        <x:v>1. Sustituir tipo por ISLR
2. Enviar al procesamiento de Facturas/notas
3. Leer error y conteos</x:v>
      </x:c>
      <x:c r="E680" s="13" t="str">
        <x:v>Procesamiento 01/07/08 no acepta tipos de otros módulos/retirados/desconocidos. La presencia en catálogo no habilita nuevo flujo; conservar sus módulos comerciales propios si existen.</x:v>
      </x:c>
      <x:c r="F680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81" ht="56" customHeight="1">
      <x:c r="A681" s="13" t="str">
        <x:v>QA-NEG-017</x:v>
      </x:c>
      <x:c r="B681" s="13" t="str">
        <x:v>Procesamiento fiscal común rechaza tipo ARCV</x:v>
      </x:c>
      <x:c r="C681" s="13" t="str">
        <x:v>Payload válido de canal; sustituir únicamente tipo/operación; doble HKAy línea base completa.
Payload invoice/credit/debit común válido en QA.</x:v>
      </x:c>
      <x:c r="D681" s="13" t="str">
        <x:v>1. Sustituir tipo por ARCV
2. Enviar al procesamiento de Facturas/notas
3. Leer error y conteos</x:v>
      </x:c>
      <x:c r="E681" s="13" t="str">
        <x:v>Procesamiento 01/07/08 no acepta tipos de otros módulos/retirados/desconocidos. La presencia en catálogo no habilita nuevo flujo; conservar sus módulos comerciales propios si existen.</x:v>
      </x:c>
      <x:c r="F681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82" ht="56" customHeight="1">
      <x:c r="A682" s="13" t="str">
        <x:v>QA-NEG-018</x:v>
      </x:c>
      <x:c r="B682" s="13" t="str">
        <x:v>Procesamiento fiscal común rechaza tipo 99</x:v>
      </x:c>
      <x:c r="C682" s="13" t="str">
        <x:v>Payload válido de canal; sustituir únicamente tipo/operación; doble HKAy línea base completa.
Payload invoice/credit/debit común válido en QA.</x:v>
      </x:c>
      <x:c r="D682" s="13" t="str">
        <x:v>1. Sustituir tipo por 99
2. Enviar al procesamiento de Facturas/notas
3. Leer error y conteos</x:v>
      </x:c>
      <x:c r="E682" s="13" t="str">
        <x:v>Procesamiento 01/07/08 no acepta tipos de otros módulos/retirados/desconocidos. La presencia en catálogo no habilita nuevo flujo; conservar sus módulos comerciales propios si existen.</x:v>
      </x:c>
      <x:c r="F682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83" ht="56" customHeight="1">
      <x:c r="A683" s="13" t="str">
        <x:v>QA-NEG-019</x:v>
      </x:c>
      <x:c r="B683" s="13" t="str">
        <x:v>Procesamiento fiscal común rechaza tipo __unknown__</x:v>
      </x:c>
      <x:c r="C683" s="13" t="str">
        <x:v>Payload válido de canal; sustituir únicamente tipo/operación; doble HKAy línea base completa.
Payload invoice/credit/debit común válido en QA.</x:v>
      </x:c>
      <x:c r="D683" s="13" t="str">
        <x:v>1. Sustituir tipo por__unknown__
2. Enviar al procesamiento de Facturas/notas
3. Leer error y conteos</x:v>
      </x:c>
      <x:c r="E683" s="13" t="str">
        <x:v>Procesamiento 01/07/08 no acepta tipos de otros módulos/retirados/desconocidos. La presencia en catálogo no habilita nuevo flujo; conservar sus módulos comerciales propios si existen.</x:v>
      </x:c>
      <x:c r="F683" s="13" t="str">
        <x:v>Fuentes: app/Services/SalesDocumentTypePolicy.php; app/Services/ExportInvoicePolicy.php; app/Services/ThirdPartyInvoicePolicy.php; .codex/skills/mantener-facturas-notas-venta-sin-boleta/references/contrato.md
Entrada: HTTP del creador real de cada canal y política común</x:v>
      </x:c>
    </x:row>
    <x:row r="684" ht="44" customHeight="1">
      <x:c r="A684" s="13" t="str">
        <x:v>QA-PRE-001</x:v>
      </x:c>
      <x:c r="B684" s="13" t="str">
        <x:v>Factura de anticipo gravado</x:v>
      </x:c>
      <x:c r="C684" s="13" t="str">
        <x:v>Factura de anticipo QA del mismo cliente/moneda/sucursal con saldo deducible; referencia con serie vacía y con guiones; proveedor doble.
Opción de anticipo disponible en configuración QA</x:v>
      </x:c>
      <x:c r="D684" s="13" t="str">
        <x:v>1. Activar Anticipo
2. Seleccionar afectación gravada vigente y registrar pago real
3. Generar y revisar indicador/saldo de anticipo/IVA/estado fiscal</x:v>
      </x:c>
      <x:c r="E684" s="13" t="str">
        <x:v>Documento de anticipo conserva principal, condición y saldo deducible; no se inventan artículos/aceptación HKA. Si adaptador no representa el anticipo, registrar el límite y la discrepancia visible.</x:v>
      </x:c>
      <x:c r="F684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85" ht="44" customHeight="1">
      <x:c r="A685" s="13" t="str">
        <x:v>QA-PRE-002</x:v>
      </x:c>
      <x:c r="B685" s="13" t="str">
        <x:v>Factura de anticipo exento</x:v>
      </x:c>
      <x:c r="C685" s="13" t="str">
        <x:v>Factura de anticipo QA del mismo cliente/moneda/sucursal con saldo deducible; referencia con serie vacía y con guiones; proveedor doble.
Opción de anticipo exento vigente</x:v>
      </x:c>
      <x:c r="D685" s="13" t="str">
        <x:v>1. Crear anticipo exento 50
2. Guardar
3. Leer total, IVA y saldo deducible</x:v>
      </x:c>
      <x:c r="E685" s="13" t="str">
        <x:v>IVA 0 y saldo de anticipo 50; no clasificarlo como exportación. Aceptación HKA se verifica aparte.</x:v>
      </x:c>
      <x:c r="F685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86" ht="44" customHeight="1">
      <x:c r="A686" s="13" t="str">
        <x:v>QA-PRE-003</x:v>
      </x:c>
      <x:c r="B686" s="13" t="str">
        <x:v>Deducir un anticipo</x:v>
      </x:c>
      <x:c r="C686" s="13" t="str">
        <x:v>Factura de anticipo QA del mismo cliente/moneda/sucursal con saldo deducible; referencia con serie vacía y con guiones; proveedor doble.
Anticipo 30 y venta 116 del mismo comprador</x:v>
      </x:c>
      <x:c r="D686" s="13" t="str">
        <x:v>1. Activar Deducción
2. Seleccionar referencia y aplicar 30
3. Guardar y consultar venta/origen</x:v>
      </x:c>
      <x:c r="E686" s="13" t="str">
        <x:v>Deducción 30 una vez, saldo de origen actualizado y saldo final según política de anticipo; no se vuelve a cobrar la recepción histórica ni se deduce dos veces.</x:v>
      </x:c>
      <x:c r="F686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87" ht="44" customHeight="1">
      <x:c r="A687" s="13" t="str">
        <x:v>QA-PRE-004</x:v>
      </x:c>
      <x:c r="B687" s="13" t="str">
        <x:v>Deducir varios anticipos</x:v>
      </x:c>
      <x:c r="C687" s="13" t="str">
        <x:v>Factura de anticipo QA del mismo cliente/moneda/sucursal con saldo deducible; referencia con serie vacía y con guiones; proveedor doble.
Anticipos 10 y 20 compatibles</x:v>
      </x:c>
      <x:c r="D687" s="13" t="str">
        <x:v>1. Seleccionar ambos
2. Aplicar importes y guardar
3. Leer vínculos y saldos</x:v>
      </x:c>
      <x:c r="E687" s="13" t="str">
        <x:v>Aplicación total 30 y saldos independientes conservados; referencias y resumen concilian.</x:v>
      </x:c>
      <x:c r="F687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88" ht="44" customHeight="1">
      <x:c r="A688" s="13" t="str">
        <x:v>QA-PRE-005</x:v>
      </x:c>
      <x:c r="B688" s="13" t="str">
        <x:v>Deducción parcial y agotamiento</x:v>
      </x:c>
      <x:c r="C688" s="13" t="str">
        <x:v>Factura de anticipo QA del mismo cliente/moneda/sucursal con saldo deducible; referencia con serie vacía y con guiones; proveedor doble.
Anticipo 50</x:v>
      </x:c>
      <x:c r="D688" s="13" t="str">
        <x:v>1. Aplicar 20 en una factura
2. Aplicar 30 en otra
3. Reintentar referencia agotada</x:v>
      </x:c>
      <x:c r="E688" s="13" t="str">
        <x:v>Saldo 50→30→0; no se permite aplicación superior o reutilización agotada; flags corresponden al saldo real.</x:v>
      </x:c>
      <x:c r="F688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89" ht="44" customHeight="1">
      <x:c r="A689" s="13" t="str">
        <x:v>QA-PRE-006</x:v>
      </x:c>
      <x:c r="B689" s="13" t="str">
        <x:v>Anticipo ajeno o incompatible</x:v>
      </x:c>
      <x:c r="C689" s="13" t="str">
        <x:v>Factura de anticipo QA del mismo cliente/moneda/sucursal con saldo deducible; referencia con serie vacía y con guiones; proveedor doble.
Anticipos de otro cliente/moneda/sucursal/tenant</x:v>
      </x:c>
      <x:c r="D689" s="13" t="str">
        <x:v>1. Intentar seleccionar y enviar ID ajeno en cada variante
2. Guardar
3. Leer saldo origen/destino</x:v>
      </x:c>
      <x:c r="E689" s="13" t="str">
        <x:v>Referencia autorizada y compatible obligatoria; no se aplica dinero ajeno por conocer su número.</x:v>
      </x:c>
      <x:c r="F689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90" ht="44" customHeight="1">
      <x:c r="A690" s="13" t="str">
        <x:v>QA-PRE-007</x:v>
      </x:c>
      <x:c r="B690" s="13" t="str">
        <x:v>Referencias vacías y con guiones</x:v>
      </x:c>
      <x:c r="C690" s="13" t="str">
        <x:v>Factura de anticipo QA del mismo cliente/moneda/sucursal con saldo deducible; referencia con serie vacía y con guiones; proveedor doble.
Anticipos 25 y QA-ANT-01-25 en sucursales controladas</x:v>
      </x:c>
      <x:c r="D690" s="13" t="str">
        <x:v>1. Buscar por referencia visible
2. Aplicar uno de cada clase
3. Leer número original y vínculo</x:v>
      </x:c>
      <x:c r="E690" s="13" t="str">
        <x:v>Parseo por último guion y sucursal; ocho dígitos de presentación no cambian identidad ni monto.</x:v>
      </x:c>
      <x:c r="F690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91" ht="44" customHeight="1">
      <x:c r="A691" s="13" t="str">
        <x:v>QA-PRE-008</x:v>
      </x:c>
      <x:c r="B691" s="13" t="str">
        <x:v>Exceso y concurrencia de anticipos</x:v>
      </x:c>
      <x:c r="C691" s="13" t="str">
        <x:v>Factura de anticipo QA del mismo cliente/moneda/sucursal con saldo deducible; referencia con serie vacía y con guiones; proveedor doble.
Anticipo saldo 30, dos sesiones</x:v>
      </x:c>
      <x:c r="D691" s="13" t="str">
        <x:v>1. Aplicar 31 en un intento
2. Aplicar 20 desde dos sesiones simultáneas
3. Leer saldos y facturas</x:v>
      </x:c>
      <x:c r="E691" s="13" t="str">
        <x:v>No se aplica más del saldo deducible; bloqueo/transacción evita saldo negativo y duplicación.</x:v>
      </x:c>
      <x:c r="F691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92" ht="44" customHeight="1">
      <x:c r="A692" s="13" t="str">
        <x:v>QA-PRE-009</x:v>
      </x:c>
      <x:c r="B692" s="13" t="str">
        <x:v>Cancelar y rollback de deducción</x:v>
      </x:c>
      <x:c r="C692" s="13" t="str">
        <x:v>Factura de anticipo QA del mismo cliente/moneda/sucursal con saldo deducible; referencia con serie vacía y con guiones; proveedor doble.
Borrador con anticipo elegido</x:v>
      </x:c>
      <x:c r="D692" s="13" t="str">
        <x:v>1. Cancelar sin guardar
2. Repetir con error antes del commit
3. Leer anticipo/stock/emisión</x:v>
      </x:c>
      <x:c r="E692" s="13" t="str">
        <x:v>Ninguna deducción persistida al cancelar/fallar; no se llama HKA por transacción revertida.</x:v>
      </x:c>
      <x:c r="F692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93" ht="44" customHeight="1">
      <x:c r="A693" s="13" t="str">
        <x:v>QA-PRE-010</x:v>
      </x:c>
      <x:c r="B693" s="13" t="str">
        <x:v>Afectaciones de anticipo retiradas</x:v>
      </x:c>
      <x:c r="C693" s="13" t="str">
        <x:v>Factura de anticipo QA del mismo cliente/moneda/sucursal con saldo deducible; referencia con serie vacía y con guiones; proveedor doble.
Pantalla con selector de anticipo</x:v>
      </x:c>
      <x:c r="D693" s="13" t="str">
        <x:v>1. Inventariar opciones reales de anticipos
2. Intentar Inafecto u otra afectación retirada
3. Comparar UI, backend y contrato 10/20</x:v>
      </x:c>
      <x:c r="E693" s="13" t="str">
        <x:v>No se restablecen afectaciones retiradas por controles heredados; cualquier selector activo incompatible es defecto. Se conserva evidencia del valor exacto.</x:v>
      </x:c>
      <x:c r="F693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94" ht="44" customHeight="1">
      <x:c r="A694" s="13" t="str">
        <x:v>QA-PRE-011</x:v>
      </x:c>
      <x:c r="B694" s="13" t="str">
        <x:v>Puntos del cliente y descuentos comerciales</x:v>
      </x:c>
      <x:c r="C694" s="13" t="str">
        <x:v>Factura de anticipo QA del mismo cliente/moneda/sucursal con saldo deducible; referencia con serie vacía y con guiones; proveedor doble.
Flag enabled_point_system y cliente QA con puntos</x:v>
      </x:c>
      <x:c r="D694" s="13" t="str">
        <x:v>1. Canjear cantidad autorizada por flujo visible
2. Guardar y leer consumo/descuento
3. Repetir operación y probar exceso</x:v>
      </x:c>
      <x:c r="E694" s="13" t="str">
        <x:v>Puntos consumidos una vez y descuento conciliado sin alterar IVA fuera de su regla; cada opción de canje disponible tiene subcaso individual.</x:v>
      </x:c>
      <x:c r="F694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95" ht="44" customHeight="1">
      <x:c r="A695" s="13" t="str">
        <x:v>QA-PRE-012</x:v>
      </x:c>
      <x:c r="B695" s="13" t="str">
        <x:v>Condicionales de Hotel, transporte y TAP</x:v>
      </x:c>
      <x:c r="C695" s="13" t="str">
        <x:v>Factura de anticipo QA del mismo cliente/moneda/sucursal con saldo deducible; referencia con serie vacía y con guiones; proveedor doble.
Giros QA habilitados en fixtures separados</x:v>
      </x:c>
      <x:c r="D695" s="13" t="str">
        <x:v>1. Completar campos de habitación/transporte/placa realmente disponibles
2. Guardar y consultar PDF/detalle
3. Cambiar giro y recargar</x:v>
      </x:c>
      <x:c r="E695" s="13" t="str">
        <x:v>Datos del giro correcto conservados sin contaminar otro documento ni sugerir una integración fiscal especial sólo por ver campos comerciales.</x:v>
      </x:c>
      <x:c r="F695" s="13" t="str">
        <x:v>Fuentes: app/CoreFacturalo/Facturalo.php; app/Services/Fiscal/FiscalDocumentPersistence.php; resources/js/views/tenant/documents/invoice_generate.vue; modules/Document/Routes/web.php
Entrada: Información adicional → Anticipos/Deducciones; documents/prepayments/{type}</x:v>
      </x:c>
    </x:row>
    <x:row r="696" ht="56" customHeight="1">
      <x:c r="A696" s="13" t="str">
        <x:v>QA-COM-001</x:v>
      </x:c>
      <x:c r="B696" s="13" t="str">
        <x:v>Factura 01 / VES / Gravado / Contado</x:v>
      </x:c>
      <x:c r="C696" s="13" t="str">
        <x:v>Por variante: serie nueva o continuación autorizada, comprador doméstico, P-G 116/P-E 50 en la moneda seleccionada; R 1; estado HKA separado.
Moneda VES; fixture Gravado; condición 01; total 116; tasa R 1.</x:v>
      </x:c>
      <x:c r="D696" s="13" t="str">
        <x:v>1. Crear Factura 01 venta interna en VES y agregar fixture Gravado
2. Elegir Contado; pago completo si Contado, vencimiento/cuotas válidas si Crédito
3. Guardar y consultar líneas, IVA, saldo, caja, stock, calendario y resultado fiscal</x:v>
      </x:c>
      <x:c r="E696" s="13" t="str">
        <x:v>Total 116 VES; IVA 16 VES; saldo 0 en contado pagado o 116 en crédito sin cobros; no entrada ficticia de caja. Tasa/símbolo/condición conservados. La validación comercial y la preparación/aceptación HKA se registran aparte; condición 03 no se traduce por su posición.</x:v>
      </x:c>
      <x:c r="F696" s="13" t="str">
        <x:v>Fuentes: app/Services/Fiscal/FiscalDocumentPersistence.php; resources/js/views/tenant/documents/invoice_generate.vue; config/venezuela.php
Entrada: Comprobantes web y formulario de notas</x:v>
      </x:c>
    </x:row>
    <x:row r="697" ht="56" customHeight="1">
      <x:c r="A697" s="13" t="str">
        <x:v>QA-COM-002</x:v>
      </x:c>
      <x:c r="B697" s="13" t="str">
        <x:v>Factura 01 / VES / Gravado / Crédito</x:v>
      </x:c>
      <x:c r="C697" s="13" t="str">
        <x:v>Por variante: serie nueva o continuación autorizada, comprador doméstico, P-G 116/P-E 50 en la moneda seleccionada; R 1; estado HKA separado.
Moneda VES; fixture Gravado; condición 02; total 116; tasa R 1.</x:v>
      </x:c>
      <x:c r="D697" s="13" t="str">
        <x:v>1. Crear Factura 01 venta interna en VES y agregar fixture Gravado
2. Elegir Crédito; pago completo si Contado, vencimiento/cuotas válidas si Crédito
3. Guardar y consultar líneas, IVA, saldo, caja, stock, calendario y resultado fiscal</x:v>
      </x:c>
      <x:c r="E697" s="13" t="str">
        <x:v>Total 116 VES; IVA 16 VES; saldo 0 en contado pagado o 116 en crédito sin cobros; no entrada ficticia de caja. Tasa/símbolo/condición conservados. La validación comercial y la preparación/aceptación HKA se registran aparte; condición 03 no se traduce por su posición.</x:v>
      </x:c>
      <x:c r="F697" s="13" t="str">
        <x:v>Fuentes: app/Services/Fiscal/FiscalDocumentPersistence.php; resources/js/views/tenant/documents/invoice_generate.vue; config/venezuela.php
Entrada: Comprobantes web y formulario de notas</x:v>
      </x:c>
    </x:row>
    <x:row r="698" ht="56" customHeight="1">
      <x:c r="A698" s="13" t="str">
        <x:v>QA-COM-003</x:v>
      </x:c>
      <x:c r="B698" s="13" t="str">
        <x:v>Factura 01 / VES / Gravado / Crédito con cuotas</x:v>
      </x:c>
      <x:c r="C698" s="13" t="str">
        <x:v>Por variante: serie nueva o continuación autorizada, comprador doméstico, P-G 116/P-E 50 en la moneda seleccionada; R 1; estado HKA separado.
Moneda VES; fixture Gravado; condición 03; total 116; tasa R 1.</x:v>
      </x:c>
      <x:c r="D698" s="13" t="str">
        <x:v>1. Crear Factura 01 venta interna en VES y agregar fixture Gravado
2. Elegir Crédito con cuotas; pago completo si Contado, vencimiento/cuotas válidas si Crédito
3. Guardar y consultar líneas, IVA, saldo, caja, stock, calendario y resultado fiscal</x:v>
      </x:c>
      <x:c r="E698" s="13" t="str">
        <x:v>Total 116 VES; IVA 16 VES; saldo 0 en contado pagado o 116 en crédito sin cobros; no entrada ficticia de caja. Tasa/símbolo/condición conservados. La validación comercial y la preparación/aceptación HKA se registran aparte; condición 03 no se traduce por su posición.</x:v>
      </x:c>
      <x:c r="F698" s="13" t="str">
        <x:v>Fuentes: app/Services/Fiscal/FiscalDocumentPersistence.php; resources/js/views/tenant/documents/invoice_generate.vue; config/venezuela.php
Entrada: Comprobantes web y formulario de notas</x:v>
      </x:c>
    </x:row>
    <x:row r="699" ht="56" customHeight="1">
      <x:c r="A699" s="13" t="str">
        <x:v>QA-COM-004</x:v>
      </x:c>
      <x:c r="B699" s="13" t="str">
        <x:v>Factura 01 / VES / Exento / Contado</x:v>
      </x:c>
      <x:c r="C699" s="13" t="str">
        <x:v>Por variante: serie nueva o continuación autorizada, comprador doméstico, P-G 116/P-E 50 en la moneda seleccionada; R 1; estado HKA separado.
Moneda VES; fixture Exento; condición 01; total 50; tasa R 1.</x:v>
      </x:c>
      <x:c r="D699" s="13" t="str">
        <x:v>1. Crear Factura 01 venta interna en VES y agregar fixture Exento
2. Elegir Contado; pago completo si Contado, vencimiento/cuotas válidas si Crédito
3. Guardar y consultar líneas, IVA, saldo, caja, stock, calendario y resultado fiscal</x:v>
      </x:c>
      <x:c r="E699" s="13" t="str">
        <x:v>Total 50 VES; IVA 0 VES; saldo 0 en contado pagado o 50 en crédito sin cobros; no entrada ficticia de caja. Tasa/símbolo/condición conservados. La validación comercial y la preparación/aceptación HKA se registran aparte; condición 03 no se traduce por su posición.</x:v>
      </x:c>
      <x:c r="F699" s="13" t="str">
        <x:v>Fuentes: app/Services/Fiscal/FiscalDocumentPersistence.php; resources/js/views/tenant/documents/invoice_generate.vue; config/venezuela.php
Entrada: Comprobantes web y formulario de notas</x:v>
      </x:c>
    </x:row>
    <x:row r="700" ht="56" customHeight="1">
      <x:c r="A700" s="13" t="str">
        <x:v>QA-COM-005</x:v>
      </x:c>
      <x:c r="B700" s="13" t="str">
        <x:v>Factura 01 / VES / Exento / Crédito</x:v>
      </x:c>
      <x:c r="C700" s="13" t="str">
        <x:v>Por variante: serie nueva o continuación autorizada, comprador doméstico, P-G 116/P-E 50 en la moneda seleccionada; R 1; estado HKA separado.
Moneda VES; fixture Exento; condición 02; total 50; tasa R 1.</x:v>
      </x:c>
      <x:c r="D700" s="13" t="str">
        <x:v>1. Crear Factura 01 venta interna en VES y agregar fixture Exento
2. Elegir Crédito; pago completo si Contado, vencimiento/cuotas válidas si Crédito
3. Guardar y consultar líneas, IVA, saldo, caja, stock, calendario y resultado fiscal</x:v>
      </x:c>
      <x:c r="E700" s="13" t="str">
        <x:v>Total 50 VES; IVA 0 VES; saldo 0 en contado pagado o 50 en crédito sin cobros; no entrada ficticia de caja. Tasa/símbolo/condición conservados. La validación comercial y la preparación/aceptación HKA se registran aparte; condición 03 no se traduce por su posición.</x:v>
      </x:c>
      <x:c r="F700" s="13" t="str">
        <x:v>Fuentes: app/Services/Fiscal/FiscalDocumentPersistence.php; resources/js/views/tenant/documents/invoice_generate.vue; config/venezuela.php
Entrada: Comprobantes web y formulario de notas</x:v>
      </x:c>
    </x:row>
    <x:row r="701" ht="56" customHeight="1">
      <x:c r="A701" s="13" t="str">
        <x:v>QA-COM-006</x:v>
      </x:c>
      <x:c r="B701" s="13" t="str">
        <x:v>Factura 01 / VES / Exento / Crédito con cuotas</x:v>
      </x:c>
      <x:c r="C701" s="13" t="str">
        <x:v>Por variante: serie nueva o continuación autorizada, comprador doméstico, P-G 116/P-E 50 en la moneda seleccionada; R 1; estado HKA separado.
Moneda VES; fixture Exento; condición 03; total 50; tasa R 1.</x:v>
      </x:c>
      <x:c r="D701" s="13" t="str">
        <x:v>1. Crear Factura 01 venta interna en VES y agregar fixture Exento
2. Elegir Crédito con cuotas; pago completo si Contado, vencimiento/cuotas válidas si Crédito
3. Guardar y consultar líneas, IVA, saldo, caja, stock, calendario y resultado fiscal</x:v>
      </x:c>
      <x:c r="E701" s="13" t="str">
        <x:v>Total 50 VES; IVA 0 VES; saldo 0 en contado pagado o 50 en crédito sin cobros; no entrada ficticia de caja. Tasa/símbolo/condición conservados. La validación comercial y la preparación/aceptación HKA se registran aparte; condición 03 no se traduce por su posición.</x:v>
      </x:c>
      <x:c r="F701" s="13" t="str">
        <x:v>Fuentes: app/Services/Fiscal/FiscalDocumentPersistence.php; resources/js/views/tenant/documents/invoice_generate.vue; config/venezuela.php
Entrada: Comprobantes web y formulario de notas</x:v>
      </x:c>
    </x:row>
    <x:row r="702" ht="56" customHeight="1">
      <x:c r="A702" s="13" t="str">
        <x:v>QA-COM-007</x:v>
      </x:c>
      <x:c r="B702" s="13" t="str">
        <x:v>Factura 01 / VES / Mixto / Contado</x:v>
      </x:c>
      <x:c r="C702" s="13" t="str">
        <x:v>Por variante: serie nueva o continuación autorizada, comprador doméstico, P-G 116/P-E 50 en la moneda seleccionada; R 1; estado HKA separado.
Moneda VES; fixture Mixto; condición 01; total 166; tasa R 1.</x:v>
      </x:c>
      <x:c r="D702" s="13" t="str">
        <x:v>1. Crear Factura 01 venta interna en VES y agregar fixture Mixto
2. Elegir Contado; pago completo si Contado, vencimiento/cuotas válidas si Crédito
3. Guardar y consultar líneas, IVA, saldo, caja, stock, calendario y resultado fiscal</x:v>
      </x:c>
      <x:c r="E702" s="13" t="str">
        <x:v>Total 166 VES; IVA 16 VES; saldo 0 en contado pagado o 166 en crédito sin cobros; no entrada ficticia de caja. Tasa/símbolo/condición conservados. La validación comercial y la preparación/aceptación HKA se registran aparte; condición 03 no se traduce por su posición.</x:v>
      </x:c>
      <x:c r="F702" s="13" t="str">
        <x:v>Fuentes: app/Services/Fiscal/FiscalDocumentPersistence.php; resources/js/views/tenant/documents/invoice_generate.vue; config/venezuela.php
Entrada: Comprobantes web y formulario de notas</x:v>
      </x:c>
    </x:row>
    <x:row r="703" ht="56" customHeight="1">
      <x:c r="A703" s="13" t="str">
        <x:v>QA-COM-008</x:v>
      </x:c>
      <x:c r="B703" s="13" t="str">
        <x:v>Factura 01 / VES / Mixto / Crédito</x:v>
      </x:c>
      <x:c r="C703" s="13" t="str">
        <x:v>Por variante: serie nueva o continuación autorizada, comprador doméstico, P-G 116/P-E 50 en la moneda seleccionada; R 1; estado HKA separado.
Moneda VES; fixture Mixto; condición 02; total 166; tasa R 1.</x:v>
      </x:c>
      <x:c r="D703" s="13" t="str">
        <x:v>1. Crear Factura 01 venta interna en VES y agregar fixture Mixto
2. Elegir Crédito; pago completo si Contado, vencimiento/cuotas válidas si Crédito
3. Guardar y consultar líneas, IVA, saldo, caja, stock, calendario y resultado fiscal</x:v>
      </x:c>
      <x:c r="E703" s="13" t="str">
        <x:v>Total 166 VES; IVA 16 VES; saldo 0 en contado pagado o 166 en crédito sin cobros; no entrada ficticia de caja. Tasa/símbolo/condición conservados. La validación comercial y la preparación/aceptación HKA se registran aparte; condición 03 no se traduce por su posición.</x:v>
      </x:c>
      <x:c r="F703" s="13" t="str">
        <x:v>Fuentes: app/Services/Fiscal/FiscalDocumentPersistence.php; resources/js/views/tenant/documents/invoice_generate.vue; config/venezuela.php
Entrada: Comprobantes web y formulario de notas</x:v>
      </x:c>
    </x:row>
    <x:row r="704" ht="56" customHeight="1">
      <x:c r="A704" s="13" t="str">
        <x:v>QA-COM-009</x:v>
      </x:c>
      <x:c r="B704" s="13" t="str">
        <x:v>Factura 01 / VES / Mixto / Crédito con cuotas</x:v>
      </x:c>
      <x:c r="C704" s="13" t="str">
        <x:v>Por variante: serie nueva o continuación autorizada, comprador doméstico, P-G 116/P-E 50 en la moneda seleccionada; R 1; estado HKA separado.
Moneda VES; fixture Mixto; condición 03; total 166; tasa R 1.</x:v>
      </x:c>
      <x:c r="D704" s="13" t="str">
        <x:v>1. Crear Factura 01 venta interna en VES y agregar fixture Mixto
2. Elegir Crédito con cuotas; pago completo si Contado, vencimiento/cuotas válidas si Crédito
3. Guardar y consultar líneas, IVA, saldo, caja, stock, calendario y resultado fiscal</x:v>
      </x:c>
      <x:c r="E704" s="13" t="str">
        <x:v>Total 166 VES; IVA 16 VES; saldo 0 en contado pagado o 166 en crédito sin cobros; no entrada ficticia de caja. Tasa/símbolo/condición conservados. La validación comercial y la preparación/aceptación HKA se registran aparte; condición 03 no se traduce por su posición.</x:v>
      </x:c>
      <x:c r="F704" s="13" t="str">
        <x:v>Fuentes: app/Services/Fiscal/FiscalDocumentPersistence.php; resources/js/views/tenant/documents/invoice_generate.vue; config/venezuela.php
Entrada: Comprobantes web y formulario de notas</x:v>
      </x:c>
    </x:row>
    <x:row r="705" ht="56" customHeight="1">
      <x:c r="A705" s="13" t="str">
        <x:v>QA-COM-010</x:v>
      </x:c>
      <x:c r="B705" s="13" t="str">
        <x:v>Factura 01 / USD / Gravado / Contado</x:v>
      </x:c>
      <x:c r="C705" s="13" t="str">
        <x:v>Por variante: serie nueva o continuación autorizada, comprador doméstico, P-G 116/P-E 50 en la moneda seleccionada; R 1; estado HKA separado.
Moneda USD; fixture Gravado; condición 01; total 116; tasa R 1.</x:v>
      </x:c>
      <x:c r="D705" s="13" t="str">
        <x:v>1. Crear Factura 01 venta interna en USD y agregar fixture Gravado
2. Elegir Contado; pago completo si Contado, vencimiento/cuotas válidas si Crédito
3. Guardar y consultar líneas, IVA, saldo, caja, stock, calendario y resultado fiscal</x:v>
      </x:c>
      <x:c r="E705" s="13" t="str">
        <x:v>Total 116 USD; IVA 16 USD; saldo 0 en contado pagado o 116 en crédito sin cobros; no entrada ficticia de caja. Tasa/símbolo/condición conservados. La validación comercial y la preparación/aceptación HKA se registran aparte; condición 03 no se traduce por su posición.</x:v>
      </x:c>
      <x:c r="F705" s="13" t="str">
        <x:v>Fuentes: app/Services/Fiscal/FiscalDocumentPersistence.php; resources/js/views/tenant/documents/invoice_generate.vue; config/venezuela.php
Entrada: Comprobantes web y formulario de notas</x:v>
      </x:c>
    </x:row>
    <x:row r="706" ht="56" customHeight="1">
      <x:c r="A706" s="13" t="str">
        <x:v>QA-COM-011</x:v>
      </x:c>
      <x:c r="B706" s="13" t="str">
        <x:v>Factura 01 / USD / Gravado / Crédito</x:v>
      </x:c>
      <x:c r="C706" s="13" t="str">
        <x:v>Por variante: serie nueva o continuación autorizada, comprador doméstico, P-G 116/P-E 50 en la moneda seleccionada; R 1; estado HKA separado.
Moneda USD; fixture Gravado; condición 02; total 116; tasa R 1.</x:v>
      </x:c>
      <x:c r="D706" s="13" t="str">
        <x:v>1. Crear Factura 01 venta interna en USD y agregar fixture Gravado
2. Elegir Crédito; pago completo si Contado, vencimiento/cuotas válidas si Crédito
3. Guardar y consultar líneas, IVA, saldo, caja, stock, calendario y resultado fiscal</x:v>
      </x:c>
      <x:c r="E706" s="13" t="str">
        <x:v>Total 116 USD; IVA 16 USD; saldo 0 en contado pagado o 116 en crédito sin cobros; no entrada ficticia de caja. Tasa/símbolo/condición conservados. La validación comercial y la preparación/aceptación HKA se registran aparte; condición 03 no se traduce por su posición.</x:v>
      </x:c>
      <x:c r="F706" s="13" t="str">
        <x:v>Fuentes: app/Services/Fiscal/FiscalDocumentPersistence.php; resources/js/views/tenant/documents/invoice_generate.vue; config/venezuela.php
Entrada: Comprobantes web y formulario de notas</x:v>
      </x:c>
    </x:row>
    <x:row r="707" ht="56" customHeight="1">
      <x:c r="A707" s="13" t="str">
        <x:v>QA-COM-012</x:v>
      </x:c>
      <x:c r="B707" s="13" t="str">
        <x:v>Factura 01 / USD / Gravado / Crédito con cuotas</x:v>
      </x:c>
      <x:c r="C707" s="13" t="str">
        <x:v>Por variante: serie nueva o continuación autorizada, comprador doméstico, P-G 116/P-E 50 en la moneda seleccionada; R 1; estado HKA separado.
Moneda USD; fixture Gravado; condición 03; total 116; tasa R 1.</x:v>
      </x:c>
      <x:c r="D707" s="13" t="str">
        <x:v>1. Crear Factura 01 venta interna en USD y agregar fixture Gravado
2. Elegir Crédito con cuotas; pago completo si Contado, vencimiento/cuotas válidas si Crédito
3. Guardar y consultar líneas, IVA, saldo, caja, stock, calendario y resultado fiscal</x:v>
      </x:c>
      <x:c r="E707" s="13" t="str">
        <x:v>Total 116 USD; IVA 16 USD; saldo 0 en contado pagado o 116 en crédito sin cobros; no entrada ficticia de caja. Tasa/símbolo/condición conservados. La validación comercial y la preparación/aceptación HKA se registran aparte; condición 03 no se traduce por su posición.</x:v>
      </x:c>
      <x:c r="F707" s="13" t="str">
        <x:v>Fuentes: app/Services/Fiscal/FiscalDocumentPersistence.php; resources/js/views/tenant/documents/invoice_generate.vue; config/venezuela.php
Entrada: Comprobantes web y formulario de notas</x:v>
      </x:c>
    </x:row>
    <x:row r="708" ht="56" customHeight="1">
      <x:c r="A708" s="13" t="str">
        <x:v>QA-COM-013</x:v>
      </x:c>
      <x:c r="B708" s="13" t="str">
        <x:v>Factura 01 / USD / Exento / Contado</x:v>
      </x:c>
      <x:c r="C708" s="13" t="str">
        <x:v>Por variante: serie nueva o continuación autorizada, comprador doméstico, P-G 116/P-E 50 en la moneda seleccionada; R 1; estado HKA separado.
Moneda USD; fixture Exento; condición 01; total 50; tasa R 1.</x:v>
      </x:c>
      <x:c r="D708" s="13" t="str">
        <x:v>1. Crear Factura 01 venta interna en USD y agregar fixture Exento
2. Elegir Contado; pago completo si Contado, vencimiento/cuotas válidas si Crédito
3. Guardar y consultar líneas, IVA, saldo, caja, stock, calendario y resultado fiscal</x:v>
      </x:c>
      <x:c r="E708" s="13" t="str">
        <x:v>Total 50 USD; IVA 0 USD; saldo 0 en contado pagado o 50 en crédito sin cobros; no entrada ficticia de caja. Tasa/símbolo/condición conservados. La validación comercial y la preparación/aceptación HKA se registran aparte; condición 03 no se traduce por su posición.</x:v>
      </x:c>
      <x:c r="F708" s="13" t="str">
        <x:v>Fuentes: app/Services/Fiscal/FiscalDocumentPersistence.php; resources/js/views/tenant/documents/invoice_generate.vue; config/venezuela.php
Entrada: Comprobantes web y formulario de notas</x:v>
      </x:c>
    </x:row>
    <x:row r="709" ht="56" customHeight="1">
      <x:c r="A709" s="13" t="str">
        <x:v>QA-COM-014</x:v>
      </x:c>
      <x:c r="B709" s="13" t="str">
        <x:v>Factura 01 / USD / Exento / Crédito</x:v>
      </x:c>
      <x:c r="C709" s="13" t="str">
        <x:v>Por variante: serie nueva o continuación autorizada, comprador doméstico, P-G 116/P-E 50 en la moneda seleccionada; R 1; estado HKA separado.
Moneda USD; fixture Exento; condición 02; total 50; tasa R 1.</x:v>
      </x:c>
      <x:c r="D709" s="13" t="str">
        <x:v>1. Crear Factura 01 venta interna en USD y agregar fixture Exento
2. Elegir Crédito; pago completo si Contado, vencimiento/cuotas válidas si Crédito
3. Guardar y consultar líneas, IVA, saldo, caja, stock, calendario y resultado fiscal</x:v>
      </x:c>
      <x:c r="E709" s="13" t="str">
        <x:v>Total 50 USD; IVA 0 USD; saldo 0 en contado pagado o 50 en crédito sin cobros; no entrada ficticia de caja. Tasa/símbolo/condición conservados. La validación comercial y la preparación/aceptación HKA se registran aparte; condición 03 no se traduce por su posición.</x:v>
      </x:c>
      <x:c r="F709" s="13" t="str">
        <x:v>Fuentes: app/Services/Fiscal/FiscalDocumentPersistence.php; resources/js/views/tenant/documents/invoice_generate.vue; config/venezuela.php
Entrada: Comprobantes web y formulario de notas</x:v>
      </x:c>
    </x:row>
    <x:row r="710" ht="56" customHeight="1">
      <x:c r="A710" s="13" t="str">
        <x:v>QA-COM-015</x:v>
      </x:c>
      <x:c r="B710" s="13" t="str">
        <x:v>Factura 01 / USD / Exento / Crédito con cuotas</x:v>
      </x:c>
      <x:c r="C710" s="13" t="str">
        <x:v>Por variante: serie nueva o continuación autorizada, comprador doméstico, P-G 116/P-E 50 en la moneda seleccionada; R 1; estado HKA separado.
Moneda USD; fixture Exento; condición 03; total 50; tasa R 1.</x:v>
      </x:c>
      <x:c r="D710" s="13" t="str">
        <x:v>1. Crear Factura 01 venta interna en USD y agregar fixture Exento
2. Elegir Crédito con cuotas; pago completo si Contado, vencimiento/cuotas válidas si Crédito
3. Guardar y consultar líneas, IVA, saldo, caja, stock, calendario y resultado fiscal</x:v>
      </x:c>
      <x:c r="E710" s="13" t="str">
        <x:v>Total 50 USD; IVA 0 USD; saldo 0 en contado pagado o 50 en crédito sin cobros; no entrada ficticia de caja. Tasa/símbolo/condición conservados. La validación comercial y la preparación/aceptación HKA se registran aparte; condición 03 no se traduce por su posición.</x:v>
      </x:c>
      <x:c r="F710" s="13" t="str">
        <x:v>Fuentes: app/Services/Fiscal/FiscalDocumentPersistence.php; resources/js/views/tenant/documents/invoice_generate.vue; config/venezuela.php
Entrada: Comprobantes web y formulario de notas</x:v>
      </x:c>
    </x:row>
    <x:row r="711" ht="56" customHeight="1">
      <x:c r="A711" s="13" t="str">
        <x:v>QA-COM-016</x:v>
      </x:c>
      <x:c r="B711" s="13" t="str">
        <x:v>Factura 01 / USD / Mixto / Contado</x:v>
      </x:c>
      <x:c r="C711" s="13" t="str">
        <x:v>Por variante: serie nueva o continuación autorizada, comprador doméstico, P-G 116/P-E 50 en la moneda seleccionada; R 1; estado HKA separado.
Moneda USD; fixture Mixto; condición 01; total 166; tasa R 1.</x:v>
      </x:c>
      <x:c r="D711" s="13" t="str">
        <x:v>1. Crear Factura 01 venta interna en USD y agregar fixture Mixto
2. Elegir Contado; pago completo si Contado, vencimiento/cuotas válidas si Crédito
3. Guardar y consultar líneas, IVA, saldo, caja, stock, calendario y resultado fiscal</x:v>
      </x:c>
      <x:c r="E711" s="13" t="str">
        <x:v>Total 166 USD; IVA 16 USD; saldo 0 en contado pagado o 166 en crédito sin cobros; no entrada ficticia de caja. Tasa/símbolo/condición conservados. La validación comercial y la preparación/aceptación HKA se registran aparte; condición 03 no se traduce por su posición.</x:v>
      </x:c>
      <x:c r="F711" s="13" t="str">
        <x:v>Fuentes: app/Services/Fiscal/FiscalDocumentPersistence.php; resources/js/views/tenant/documents/invoice_generate.vue; config/venezuela.php
Entrada: Comprobantes web y formulario de notas</x:v>
      </x:c>
    </x:row>
    <x:row r="712" ht="56" customHeight="1">
      <x:c r="A712" s="13" t="str">
        <x:v>QA-COM-017</x:v>
      </x:c>
      <x:c r="B712" s="13" t="str">
        <x:v>Factura 01 / USD / Mixto / Crédito</x:v>
      </x:c>
      <x:c r="C712" s="13" t="str">
        <x:v>Por variante: serie nueva o continuación autorizada, comprador doméstico, P-G 116/P-E 50 en la moneda seleccionada; R 1; estado HKA separado.
Moneda USD; fixture Mixto; condición 02; total 166; tasa R 1.</x:v>
      </x:c>
      <x:c r="D712" s="13" t="str">
        <x:v>1. Crear Factura 01 venta interna en USD y agregar fixture Mixto
2. Elegir Crédito; pago completo si Contado, vencimiento/cuotas válidas si Crédito
3. Guardar y consultar líneas, IVA, saldo, caja, stock, calendario y resultado fiscal</x:v>
      </x:c>
      <x:c r="E712" s="13" t="str">
        <x:v>Total 166 USD; IVA 16 USD; saldo 0 en contado pagado o 166 en crédito sin cobros; no entrada ficticia de caja. Tasa/símbolo/condición conservados. La validación comercial y la preparación/aceptación HKA se registran aparte; condición 03 no se traduce por su posición.</x:v>
      </x:c>
      <x:c r="F712" s="13" t="str">
        <x:v>Fuentes: app/Services/Fiscal/FiscalDocumentPersistence.php; resources/js/views/tenant/documents/invoice_generate.vue; config/venezuela.php
Entrada: Comprobantes web y formulario de notas</x:v>
      </x:c>
    </x:row>
    <x:row r="713" ht="56" customHeight="1">
      <x:c r="A713" s="13" t="str">
        <x:v>QA-COM-018</x:v>
      </x:c>
      <x:c r="B713" s="13" t="str">
        <x:v>Factura 01 / USD / Mixto / Crédito con cuotas</x:v>
      </x:c>
      <x:c r="C713" s="13" t="str">
        <x:v>Por variante: serie nueva o continuación autorizada, comprador doméstico, P-G 116/P-E 50 en la moneda seleccionada; R 1; estado HKA separado.
Moneda USD; fixture Mixto; condición 03; total 166; tasa R 1.</x:v>
      </x:c>
      <x:c r="D713" s="13" t="str">
        <x:v>1. Crear Factura 01 venta interna en USD y agregar fixture Mixto
2. Elegir Crédito con cuotas; pago completo si Contado, vencimiento/cuotas válidas si Crédito
3. Guardar y consultar líneas, IVA, saldo, caja, stock, calendario y resultado fiscal</x:v>
      </x:c>
      <x:c r="E713" s="13" t="str">
        <x:v>Total 166 USD; IVA 16 USD; saldo 0 en contado pagado o 166 en crédito sin cobros; no entrada ficticia de caja. Tasa/símbolo/condición conservados. La validación comercial y la preparación/aceptación HKA se registran aparte; condición 03 no se traduce por su posición.</x:v>
      </x:c>
      <x:c r="F713" s="13" t="str">
        <x:v>Fuentes: app/Services/Fiscal/FiscalDocumentPersistence.php; resources/js/views/tenant/documents/invoice_generate.vue; config/venezuela.php
Entrada: Comprobantes web y formulario de notas</x:v>
      </x:c>
    </x:row>
    <x:row r="714" ht="68" customHeight="1">
      <x:c r="A714" s="13" t="str">
        <x:v>QA-COM-019</x:v>
      </x:c>
      <x:c r="B714" s="13" t="str">
        <x:v>Nota 07 / VES / Gravado</x:v>
      </x:c>
      <x:c r="C714" s="13" t="str">
        <x:v>Por variante: serie nueva o continuación autorizada, comprador doméstico, P-G 116/P-E 50 en la moneda seleccionada; R 1; estado HKA separado.
Factura ordinaria de referencia en VES, afectaciones Gravado, cliente/sucursal/ambiente compatibles.</x:v>
      </x:c>
      <x:c r="D714" s="13" t="str">
        <x:v>1. Abrir nota 07 y escoger motivo vigente
2. Agregar ajuste/devolución compatible con afectaciones Gravado
3. Guardar y consultar base/IVA/total/referencia/saldo/inventario</x:v>
      </x:c>
      <x:c r="E714" s="13" t="str">
        <x:v>Nota 07 conserva moneda VES; cada línea usa 10/20 según su naturaleza. Bases/IVA y ajuste concilian con la referencia; no se presupone aceptación remota de notas.</x:v>
      </x:c>
      <x:c r="F714" s="13" t="str">
        <x:v>Fuentes: app/Services/Fiscal/FiscalDocumentPersistence.php; resources/js/views/tenant/documents/invoice_generate.vue; config/venezuela.php
Entrada: Comprobantes web y formulario de notas</x:v>
      </x:c>
    </x:row>
    <x:row r="715" ht="68" customHeight="1">
      <x:c r="A715" s="13" t="str">
        <x:v>QA-COM-020</x:v>
      </x:c>
      <x:c r="B715" s="13" t="str">
        <x:v>Nota 07 / VES / Exento</x:v>
      </x:c>
      <x:c r="C715" s="13" t="str">
        <x:v>Por variante: serie nueva o continuación autorizada, comprador doméstico, P-G 116/P-E 50 en la moneda seleccionada; R 1; estado HKA separado.
Factura ordinaria de referencia en VES, afectaciones Exento, cliente/sucursal/ambiente compatibles.</x:v>
      </x:c>
      <x:c r="D715" s="13" t="str">
        <x:v>1. Abrir nota 07 y escoger motivo vigente
2. Agregar ajuste/devolución compatible con afectaciones Exento
3. Guardar y consultar base/IVA/total/referencia/saldo/inventario</x:v>
      </x:c>
      <x:c r="E715" s="13" t="str">
        <x:v>Nota 07 conserva moneda VES; cada línea usa 10/20 según su naturaleza. Bases/IVA y ajuste concilian con la referencia; no se presupone aceptación remota de notas.</x:v>
      </x:c>
      <x:c r="F715" s="13" t="str">
        <x:v>Fuentes: app/Services/Fiscal/FiscalDocumentPersistence.php; resources/js/views/tenant/documents/invoice_generate.vue; config/venezuela.php
Entrada: Comprobantes web y formulario de notas</x:v>
      </x:c>
    </x:row>
    <x:row r="716" ht="68" customHeight="1">
      <x:c r="A716" s="13" t="str">
        <x:v>QA-COM-021</x:v>
      </x:c>
      <x:c r="B716" s="13" t="str">
        <x:v>Nota 07 / VES / Mixto</x:v>
      </x:c>
      <x:c r="C716" s="13" t="str">
        <x:v>Por variante: serie nueva o continuación autorizada, comprador doméstico, P-G 116/P-E 50 en la moneda seleccionada; R 1; estado HKA separado.
Factura ordinaria de referencia en VES, afectaciones Mixto, cliente/sucursal/ambiente compatibles.</x:v>
      </x:c>
      <x:c r="D716" s="13" t="str">
        <x:v>1. Abrir nota 07 y escoger motivo vigente
2. Agregar ajuste/devolución compatible con afectaciones Mixto
3. Guardar y consultar base/IVA/total/referencia/saldo/inventario</x:v>
      </x:c>
      <x:c r="E716" s="13" t="str">
        <x:v>Nota 07 conserva moneda VES; cada línea usa 10/20 según su naturaleza. Bases/IVA y ajuste concilian con la referencia; no se presupone aceptación remota de notas.</x:v>
      </x:c>
      <x:c r="F716" s="13" t="str">
        <x:v>Fuentes: app/Services/Fiscal/FiscalDocumentPersistence.php; resources/js/views/tenant/documents/invoice_generate.vue; config/venezuela.php
Entrada: Comprobantes web y formulario de notas</x:v>
      </x:c>
    </x:row>
    <x:row r="717" ht="68" customHeight="1">
      <x:c r="A717" s="13" t="str">
        <x:v>QA-COM-022</x:v>
      </x:c>
      <x:c r="B717" s="13" t="str">
        <x:v>Nota 07 / USD / Gravado</x:v>
      </x:c>
      <x:c r="C717" s="13" t="str">
        <x:v>Por variante: serie nueva o continuación autorizada, comprador doméstico, P-G 116/P-E 50 en la moneda seleccionada; R 1; estado HKA separado.
Factura ordinaria de referencia en USD, afectaciones Gravado, cliente/sucursal/ambiente compatibles.</x:v>
      </x:c>
      <x:c r="D717" s="13" t="str">
        <x:v>1. Abrir nota 07 y escoger motivo vigente
2. Agregar ajuste/devolución compatible con afectaciones Gravado
3. Guardar y consultar base/IVA/total/referencia/saldo/inventario</x:v>
      </x:c>
      <x:c r="E717" s="13" t="str">
        <x:v>Nota 07 conserva moneda USD; cada línea usa 10/20 según su naturaleza. Bases/IVA y ajuste concilian con la referencia; no se presupone aceptación remota de notas.</x:v>
      </x:c>
      <x:c r="F717" s="13" t="str">
        <x:v>Fuentes: app/Services/Fiscal/FiscalDocumentPersistence.php; resources/js/views/tenant/documents/invoice_generate.vue; config/venezuela.php
Entrada: Comprobantes web y formulario de notas</x:v>
      </x:c>
    </x:row>
    <x:row r="718" ht="68" customHeight="1">
      <x:c r="A718" s="13" t="str">
        <x:v>QA-COM-023</x:v>
      </x:c>
      <x:c r="B718" s="13" t="str">
        <x:v>Nota 07 / USD / Exento</x:v>
      </x:c>
      <x:c r="C718" s="13" t="str">
        <x:v>Por variante: serie nueva o continuación autorizada, comprador doméstico, P-G 116/P-E 50 en la moneda seleccionada; R 1; estado HKA separado.
Factura ordinaria de referencia en USD, afectaciones Exento, cliente/sucursal/ambiente compatibles.</x:v>
      </x:c>
      <x:c r="D718" s="13" t="str">
        <x:v>1. Abrir nota 07 y escoger motivo vigente
2. Agregar ajuste/devolución compatible con afectaciones Exento
3. Guardar y consultar base/IVA/total/referencia/saldo/inventario</x:v>
      </x:c>
      <x:c r="E718" s="13" t="str">
        <x:v>Nota 07 conserva moneda USD; cada línea usa 10/20 según su naturaleza. Bases/IVA y ajuste concilian con la referencia; no se presupone aceptación remota de notas.</x:v>
      </x:c>
      <x:c r="F718" s="13" t="str">
        <x:v>Fuentes: app/Services/Fiscal/FiscalDocumentPersistence.php; resources/js/views/tenant/documents/invoice_generate.vue; config/venezuela.php
Entrada: Comprobantes web y formulario de notas</x:v>
      </x:c>
    </x:row>
    <x:row r="719" ht="68" customHeight="1">
      <x:c r="A719" s="13" t="str">
        <x:v>QA-COM-024</x:v>
      </x:c>
      <x:c r="B719" s="13" t="str">
        <x:v>Nota 07 / USD / Mixto</x:v>
      </x:c>
      <x:c r="C719" s="13" t="str">
        <x:v>Por variante: serie nueva o continuación autorizada, comprador doméstico, P-G 116/P-E 50 en la moneda seleccionada; R 1; estado HKA separado.
Factura ordinaria de referencia en USD, afectaciones Mixto, cliente/sucursal/ambiente compatibles.</x:v>
      </x:c>
      <x:c r="D719" s="13" t="str">
        <x:v>1. Abrir nota 07 y escoger motivo vigente
2. Agregar ajuste/devolución compatible con afectaciones Mixto
3. Guardar y consultar base/IVA/total/referencia/saldo/inventario</x:v>
      </x:c>
      <x:c r="E719" s="13" t="str">
        <x:v>Nota 07 conserva moneda USD; cada línea usa 10/20 según su naturaleza. Bases/IVA y ajuste concilian con la referencia; no se presupone aceptación remota de notas.</x:v>
      </x:c>
      <x:c r="F719" s="13" t="str">
        <x:v>Fuentes: app/Services/Fiscal/FiscalDocumentPersistence.php; resources/js/views/tenant/documents/invoice_generate.vue; config/venezuela.php
Entrada: Comprobantes web y formulario de notas</x:v>
      </x:c>
    </x:row>
    <x:row r="720" ht="68" customHeight="1">
      <x:c r="A720" s="13" t="str">
        <x:v>QA-COM-025</x:v>
      </x:c>
      <x:c r="B720" s="13" t="str">
        <x:v>Nota 08 / VES / Gravado</x:v>
      </x:c>
      <x:c r="C720" s="13" t="str">
        <x:v>Por variante: serie nueva o continuación autorizada, comprador doméstico, P-G 116/P-E 50 en la moneda seleccionada; R 1; estado HKA separado.
Factura ordinaria de referencia en VES, afectaciones Gravado, cliente/sucursal/ambiente compatibles.</x:v>
      </x:c>
      <x:c r="D720" s="13" t="str">
        <x:v>1. Abrir nota 08 y escoger motivo vigente
2. Agregar ajuste/devolución compatible con afectaciones Gravado
3. Guardar y consultar base/IVA/total/referencia/saldo/inventario</x:v>
      </x:c>
      <x:c r="E720" s="13" t="str">
        <x:v>Nota 08 conserva moneda VES; cada línea usa 10/20 según su naturaleza. Bases/IVA y ajuste concilian con la referencia; no se presupone aceptación remota de notas.</x:v>
      </x:c>
      <x:c r="F720" s="13" t="str">
        <x:v>Fuentes: app/Services/Fiscal/FiscalDocumentPersistence.php; resources/js/views/tenant/documents/invoice_generate.vue; config/venezuela.php
Entrada: Comprobantes web y formulario de notas</x:v>
      </x:c>
    </x:row>
    <x:row r="721" ht="68" customHeight="1">
      <x:c r="A721" s="13" t="str">
        <x:v>QA-COM-026</x:v>
      </x:c>
      <x:c r="B721" s="13" t="str">
        <x:v>Nota 08 / VES / Exento</x:v>
      </x:c>
      <x:c r="C721" s="13" t="str">
        <x:v>Por variante: serie nueva o continuación autorizada, comprador doméstico, P-G 116/P-E 50 en la moneda seleccionada; R 1; estado HKA separado.
Factura ordinaria de referencia en VES, afectaciones Exento, cliente/sucursal/ambiente compatibles.</x:v>
      </x:c>
      <x:c r="D721" s="13" t="str">
        <x:v>1. Abrir nota 08 y escoger motivo vigente
2. Agregar ajuste/devolución compatible con afectaciones Exento
3. Guardar y consultar base/IVA/total/referencia/saldo/inventario</x:v>
      </x:c>
      <x:c r="E721" s="13" t="str">
        <x:v>Nota 08 conserva moneda VES; cada línea usa 10/20 según su naturaleza. Bases/IVA y ajuste concilian con la referencia; no se presupone aceptación remota de notas.</x:v>
      </x:c>
      <x:c r="F721" s="13" t="str">
        <x:v>Fuentes: app/Services/Fiscal/FiscalDocumentPersistence.php; resources/js/views/tenant/documents/invoice_generate.vue; config/venezuela.php
Entrada: Comprobantes web y formulario de notas</x:v>
      </x:c>
    </x:row>
    <x:row r="722" ht="68" customHeight="1">
      <x:c r="A722" s="13" t="str">
        <x:v>QA-COM-027</x:v>
      </x:c>
      <x:c r="B722" s="13" t="str">
        <x:v>Nota 08 / VES / Mixto</x:v>
      </x:c>
      <x:c r="C722" s="13" t="str">
        <x:v>Por variante: serie nueva o continuación autorizada, comprador doméstico, P-G 116/P-E 50 en la moneda seleccionada; R 1; estado HKA separado.
Factura ordinaria de referencia en VES, afectaciones Mixto, cliente/sucursal/ambiente compatibles.</x:v>
      </x:c>
      <x:c r="D722" s="13" t="str">
        <x:v>1. Abrir nota 08 y escoger motivo vigente
2. Agregar ajuste/devolución compatible con afectaciones Mixto
3. Guardar y consultar base/IVA/total/referencia/saldo/inventario</x:v>
      </x:c>
      <x:c r="E722" s="13" t="str">
        <x:v>Nota 08 conserva moneda VES; cada línea usa 10/20 según su naturaleza. Bases/IVA y ajuste concilian con la referencia; no se presupone aceptación remota de notas.</x:v>
      </x:c>
      <x:c r="F722" s="13" t="str">
        <x:v>Fuentes: app/Services/Fiscal/FiscalDocumentPersistence.php; resources/js/views/tenant/documents/invoice_generate.vue; config/venezuela.php
Entrada: Comprobantes web y formulario de notas</x:v>
      </x:c>
    </x:row>
    <x:row r="723" ht="68" customHeight="1">
      <x:c r="A723" s="13" t="str">
        <x:v>QA-COM-028</x:v>
      </x:c>
      <x:c r="B723" s="13" t="str">
        <x:v>Nota 08 / USD / Gravado</x:v>
      </x:c>
      <x:c r="C723" s="13" t="str">
        <x:v>Por variante: serie nueva o continuación autorizada, comprador doméstico, P-G 116/P-E 50 en la moneda seleccionada; R 1; estado HKA separado.
Factura ordinaria de referencia en USD, afectaciones Gravado, cliente/sucursal/ambiente compatibles.</x:v>
      </x:c>
      <x:c r="D723" s="13" t="str">
        <x:v>1. Abrir nota 08 y escoger motivo vigente
2. Agregar ajuste/devolución compatible con afectaciones Gravado
3. Guardar y consultar base/IVA/total/referencia/saldo/inventario</x:v>
      </x:c>
      <x:c r="E723" s="13" t="str">
        <x:v>Nota 08 conserva moneda USD; cada línea usa 10/20 según su naturaleza. Bases/IVA y ajuste concilian con la referencia; no se presupone aceptación remota de notas.</x:v>
      </x:c>
      <x:c r="F723" s="13" t="str">
        <x:v>Fuentes: app/Services/Fiscal/FiscalDocumentPersistence.php; resources/js/views/tenant/documents/invoice_generate.vue; config/venezuela.php
Entrada: Comprobantes web y formulario de notas</x:v>
      </x:c>
    </x:row>
    <x:row r="724" ht="68" customHeight="1">
      <x:c r="A724" s="13" t="str">
        <x:v>QA-COM-029</x:v>
      </x:c>
      <x:c r="B724" s="13" t="str">
        <x:v>Nota 08 / USD / Exento</x:v>
      </x:c>
      <x:c r="C724" s="13" t="str">
        <x:v>Por variante: serie nueva o continuación autorizada, comprador doméstico, P-G 116/P-E 50 en la moneda seleccionada; R 1; estado HKA separado.
Factura ordinaria de referencia en USD, afectaciones Exento, cliente/sucursal/ambiente compatibles.</x:v>
      </x:c>
      <x:c r="D724" s="13" t="str">
        <x:v>1. Abrir nota 08 y escoger motivo vigente
2. Agregar ajuste/devolución compatible con afectaciones Exento
3. Guardar y consultar base/IVA/total/referencia/saldo/inventario</x:v>
      </x:c>
      <x:c r="E724" s="13" t="str">
        <x:v>Nota 08 conserva moneda USD; cada línea usa 10/20 según su naturaleza. Bases/IVA y ajuste concilian con la referencia; no se presupone aceptación remota de notas.</x:v>
      </x:c>
      <x:c r="F724" s="13" t="str">
        <x:v>Fuentes: app/Services/Fiscal/FiscalDocumentPersistence.php; resources/js/views/tenant/documents/invoice_generate.vue; config/venezuela.php
Entrada: Comprobantes web y formulario de notas</x:v>
      </x:c>
    </x:row>
    <x:row r="725" ht="68" customHeight="1">
      <x:c r="A725" s="13" t="str">
        <x:v>QA-COM-030</x:v>
      </x:c>
      <x:c r="B725" s="13" t="str">
        <x:v>Nota 08 / USD / Mixto</x:v>
      </x:c>
      <x:c r="C725" s="13" t="str">
        <x:v>Por variante: serie nueva o continuación autorizada, comprador doméstico, P-G 116/P-E 50 en la moneda seleccionada; R 1; estado HKA separado.
Factura ordinaria de referencia en USD, afectaciones Mixto, cliente/sucursal/ambiente compatibles.</x:v>
      </x:c>
      <x:c r="D725" s="13" t="str">
        <x:v>1. Abrir nota 08 y escoger motivo vigente
2. Agregar ajuste/devolución compatible con afectaciones Mixto
3. Guardar y consultar base/IVA/total/referencia/saldo/inventario</x:v>
      </x:c>
      <x:c r="E725" s="13" t="str">
        <x:v>Nota 08 conserva moneda USD; cada línea usa 10/20 según su naturaleza. Bases/IVA y ajuste concilian con la referencia; no se presupone aceptación remota de notas.</x:v>
      </x:c>
      <x:c r="F725" s="13" t="str">
        <x:v>Fuentes: app/Services/Fiscal/FiscalDocumentPersistence.php; resources/js/views/tenant/documents/invoice_generate.vue; config/venezuela.php
Entrada: Comprobantes web y formulario de notas</x:v>
      </x:c>
    </x:row>
    <x:row r="726" ht="156" customHeight="1">
      <x:c r="A726" s="13" t="str">
        <x:v>QA-RGE-001</x:v>
      </x:c>
      <x:c r="B726" s="13" t="str">
        <x:v>Régimen 1: Zonas económicas especiales / VES / venta propia</x:v>
      </x:c>
      <x:c r="C726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special_tax_regime_id=1, operación 0101, moneda VES, venta propia; tercero T-1 sólo cuando corresponda. Tres líneas P-G/P-S/P-E y pago real 282 VES, tasa 50.00000000; UUID nuevo independiente de las otras 27 combinaciones.</x:v>
      </x:c>
      <x:c r="D726" s="13" t="str">
        <x:v>1. Seleccionar Zonas económicas especiales desde el catálogo; elegir venta propia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26" s="13" t="str">
        <x:v>Snapshot régimen 1/Zonas económicas especiales exacto y transacción 01;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26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27" ht="156" customHeight="1">
      <x:c r="A727" s="13" t="str">
        <x:v>QA-RGE-002</x:v>
      </x:c>
      <x:c r="B727" s="13" t="str">
        <x:v>Régimen 1: Zonas económicas especiales / VES / venta por terceros</x:v>
      </x:c>
      <x:c r="C727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special_tax_regime_id=1, operación 0101, moneda VES, venta por terceros; tercero T-1 sólo cuando corresponda. Tres líneas P-G/P-S/P-E y pago real 282 VES, tasa 50.00000000; UUID nuevo independiente de las otras 27 combinaciones.</x:v>
      </x:c>
      <x:c r="D727" s="13" t="str">
        <x:v>1. Seleccionar Zonas económicas especiales desde el catálogo; elegir venta por terceros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27" s="13" t="str">
        <x:v>Snapshot régimen 1/Zonas económicas especiales exacto y transacción 99;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27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28" ht="156" customHeight="1">
      <x:c r="A728" s="13" t="str">
        <x:v>QA-RGE-003</x:v>
      </x:c>
      <x:c r="B728" s="13" t="str">
        <x:v>Régimen 1: Zonas económicas especiales / USD / venta propia</x:v>
      </x:c>
      <x:c r="C728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special_tax_regime_id=1, operación 0101, moneda USD, venta propia; tercero T-1 sólo cuando corresponda. Tres líneas P-G/P-S/P-E y pago real 282 USD, tasa 50.00000000; UUID nuevo independiente de las otras 27 combinaciones.</x:v>
      </x:c>
      <x:c r="D728" s="13" t="str">
        <x:v>1. Seleccionar Zonas económicas especiales desde el catálogo; elegir venta propia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28" s="13" t="str">
        <x:v>Snapshot régimen 1/Zonas económicas especiales exacto y transacción 01;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28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29" ht="156" customHeight="1">
      <x:c r="A729" s="13" t="str">
        <x:v>QA-RGE-004</x:v>
      </x:c>
      <x:c r="B729" s="13" t="str">
        <x:v>Régimen 1: Zonas económicas especiales / USD / venta por terceros</x:v>
      </x:c>
      <x:c r="C729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special_tax_regime_id=1, operación 0101, moneda USD, venta por terceros; tercero T-1 sólo cuando corresponda. Tres líneas P-G/P-S/P-E y pago real 282 USD, tasa 50.00000000; UUID nuevo independiente de las otras 27 combinaciones.</x:v>
      </x:c>
      <x:c r="D729" s="13" t="str">
        <x:v>1. Seleccionar Zonas económicas especiales desde el catálogo; elegir venta por terceros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29" s="13" t="str">
        <x:v>Snapshot régimen 1/Zonas económicas especiales exacto y transacción 99;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29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30" ht="156" customHeight="1">
      <x:c r="A730" s="13" t="str">
        <x:v>QA-RGE-005</x:v>
      </x:c>
      <x:c r="B730" s="13" t="str">
        <x:v>Régimen 2: Zona franca de Paraguaná / VES / venta propia</x:v>
      </x:c>
      <x:c r="C730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special_tax_regime_id=2, operación 0101, moneda VES, venta propia; tercero T-1 sólo cuando corresponda. Tres líneas P-G/P-S/P-E y pago real 282 VES, tasa 50.00000000; UUID nuevo independiente de las otras 27 combinaciones.</x:v>
      </x:c>
      <x:c r="D730" s="13" t="str">
        <x:v>1. Seleccionar Zona franca de Paraguaná desde el catálogo; elegir venta propia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30" s="13" t="str">
        <x:v>Snapshot régimen 2/Zona franca de Paraguaná exacto y transacción 01;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30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31" ht="156" customHeight="1">
      <x:c r="A731" s="13" t="str">
        <x:v>QA-RGE-006</x:v>
      </x:c>
      <x:c r="B731" s="13" t="str">
        <x:v>Régimen 2: Zona franca de Paraguaná / VES / venta por terceros</x:v>
      </x:c>
      <x:c r="C731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special_tax_regime_id=2, operación 0101, moneda VES, venta por terceros; tercero T-1 sólo cuando corresponda. Tres líneas P-G/P-S/P-E y pago real 282 VES, tasa 50.00000000; UUID nuevo independiente de las otras 27 combinaciones.</x:v>
      </x:c>
      <x:c r="D731" s="13" t="str">
        <x:v>1. Seleccionar Zona franca de Paraguaná desde el catálogo; elegir venta por terceros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31" s="13" t="str">
        <x:v>Snapshot régimen 2/Zona franca de Paraguaná exacto y transacción 99;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31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32" ht="156" customHeight="1">
      <x:c r="A732" s="13" t="str">
        <x:v>QA-RGE-007</x:v>
      </x:c>
      <x:c r="B732" s="13" t="str">
        <x:v>Régimen 2: Zona franca de Paraguaná / USD / venta propia</x:v>
      </x:c>
      <x:c r="C732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special_tax_regime_id=2, operación 0101, moneda USD, venta propia; tercero T-1 sólo cuando corresponda. Tres líneas P-G/P-S/P-E y pago real 282 USD, tasa 50.00000000; UUID nuevo independiente de las otras 27 combinaciones.</x:v>
      </x:c>
      <x:c r="D732" s="13" t="str">
        <x:v>1. Seleccionar Zona franca de Paraguaná desde el catálogo; elegir venta propia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32" s="13" t="str">
        <x:v>Snapshot régimen 2/Zona franca de Paraguaná exacto y transacción 01;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32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33" ht="156" customHeight="1">
      <x:c r="A733" s="13" t="str">
        <x:v>QA-RGE-008</x:v>
      </x:c>
      <x:c r="B733" s="13" t="str">
        <x:v>Régimen 2: Zona franca de Paraguaná / USD / venta por terceros</x:v>
      </x:c>
      <x:c r="C733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special_tax_regime_id=2, operación 0101, moneda USD, venta por terceros; tercero T-1 sólo cuando corresponda. Tres líneas P-G/P-S/P-E y pago real 282 USD, tasa 50.00000000; UUID nuevo independiente de las otras 27 combinaciones.</x:v>
      </x:c>
      <x:c r="D733" s="13" t="str">
        <x:v>1. Seleccionar Zona franca de Paraguaná desde el catálogo; elegir venta por terceros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33" s="13" t="str">
        <x:v>Snapshot régimen 2/Zona franca de Paraguaná exacto y transacción 99;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33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34" ht="156" customHeight="1">
      <x:c r="A734" s="13" t="str">
        <x:v>QA-RGE-009</x:v>
      </x:c>
      <x:c r="B734" s="13" t="str">
        <x:v>Régimen 3: Zona libre de Paraguaná / VES / venta propia</x:v>
      </x:c>
      <x:c r="C734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special_tax_regime_id=3, operación 0101, moneda VES, venta propia; tercero T-1 sólo cuando corresponda. Tres líneas P-G/P-S/P-E y pago real 282 VES, tasa 50.00000000; UUID nuevo independiente de las otras 27 combinaciones.</x:v>
      </x:c>
      <x:c r="D734" s="13" t="str">
        <x:v>1. Seleccionar Zona libre de Paraguaná desde el catálogo; elegir venta propia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34" s="13" t="str">
        <x:v>Snapshot régimen 3/Zona libre de Paraguaná exacto y transacción 01;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34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35" ht="156" customHeight="1">
      <x:c r="A735" s="13" t="str">
        <x:v>QA-RGE-010</x:v>
      </x:c>
      <x:c r="B735" s="13" t="str">
        <x:v>Régimen 3: Zona libre de Paraguaná / VES / venta por terceros</x:v>
      </x:c>
      <x:c r="C735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special_tax_regime_id=3, operación 0101, moneda VES, venta por terceros; tercero T-1 sólo cuando corresponda. Tres líneas P-G/P-S/P-E y pago real 282 VES, tasa 50.00000000; UUID nuevo independiente de las otras 27 combinaciones.</x:v>
      </x:c>
      <x:c r="D735" s="13" t="str">
        <x:v>1. Seleccionar Zona libre de Paraguaná desde el catálogo; elegir venta por terceros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35" s="13" t="str">
        <x:v>Snapshot régimen 3/Zona libre de Paraguaná exacto y transacción 99;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35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36" ht="156" customHeight="1">
      <x:c r="A736" s="13" t="str">
        <x:v>QA-RGE-011</x:v>
      </x:c>
      <x:c r="B736" s="13" t="str">
        <x:v>Régimen 3: Zona libre de Paraguaná / USD / venta propia</x:v>
      </x:c>
      <x:c r="C736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special_tax_regime_id=3, operación 0101, moneda USD, venta propia; tercero T-1 sólo cuando corresponda. Tres líneas P-G/P-S/P-E y pago real 282 USD, tasa 50.00000000; UUID nuevo independiente de las otras 27 combinaciones.</x:v>
      </x:c>
      <x:c r="D736" s="13" t="str">
        <x:v>1. Seleccionar Zona libre de Paraguaná desde el catálogo; elegir venta propia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36" s="13" t="str">
        <x:v>Snapshot régimen 3/Zona libre de Paraguaná exacto y transacción 01;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36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37" ht="156" customHeight="1">
      <x:c r="A737" s="13" t="str">
        <x:v>QA-RGE-012</x:v>
      </x:c>
      <x:c r="B737" s="13" t="str">
        <x:v>Régimen 3: Zona libre de Paraguaná / USD / venta por terceros</x:v>
      </x:c>
      <x:c r="C737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special_tax_regime_id=3, operación 0101, moneda USD, venta por terceros; tercero T-1 sólo cuando corresponda. Tres líneas P-G/P-S/P-E y pago real 282 USD, tasa 50.00000000; UUID nuevo independiente de las otras 27 combinaciones.</x:v>
      </x:c>
      <x:c r="D737" s="13" t="str">
        <x:v>1. Seleccionar Zona libre de Paraguaná desde el catálogo; elegir venta por terceros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37" s="13" t="str">
        <x:v>Snapshot régimen 3/Zona libre de Paraguaná exacto y transacción 99;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37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38" ht="156" customHeight="1">
      <x:c r="A738" s="13" t="str">
        <x:v>QA-RGE-013</x:v>
      </x:c>
      <x:c r="B738" s="13" t="str">
        <x:v>Régimen 4: Puerto libre Santa Elena de Uairén / VES / venta propia</x:v>
      </x:c>
      <x:c r="C738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special_tax_regime_id=4, operación 0101, moneda VES, venta propia; tercero T-1 sólo cuando corresponda. Tres líneas P-G/P-S/P-E y pago real 282 VES, tasa 50.00000000; UUID nuevo independiente de las otras 27 combinaciones.</x:v>
      </x:c>
      <x:c r="D738" s="13" t="str">
        <x:v>1. Seleccionar Puerto libre Santa Elena de Uairén desde el catálogo; elegir venta propia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38" s="13" t="str">
        <x:v>Snapshot régimen 4/Puerto libre Santa Elena de Uairén exacto y transacción 01;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38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39" ht="156" customHeight="1">
      <x:c r="A739" s="13" t="str">
        <x:v>QA-RGE-014</x:v>
      </x:c>
      <x:c r="B739" s="13" t="str">
        <x:v>Régimen 4: Puerto libre Santa Elena de Uairén / VES / venta por terceros</x:v>
      </x:c>
      <x:c r="C739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special_tax_regime_id=4, operación 0101, moneda VES, venta por terceros; tercero T-1 sólo cuando corresponda. Tres líneas P-G/P-S/P-E y pago real 282 VES, tasa 50.00000000; UUID nuevo independiente de las otras 27 combinaciones.</x:v>
      </x:c>
      <x:c r="D739" s="13" t="str">
        <x:v>1. Seleccionar Puerto libre Santa Elena de Uairén desde el catálogo; elegir venta por terceros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39" s="13" t="str">
        <x:v>Snapshot régimen 4/Puerto libre Santa Elena de Uairén exacto y transacción 99;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39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40" ht="156" customHeight="1">
      <x:c r="A740" s="13" t="str">
        <x:v>QA-RGE-015</x:v>
      </x:c>
      <x:c r="B740" s="13" t="str">
        <x:v>Régimen 4: Puerto libre Santa Elena de Uairén / USD / venta propia</x:v>
      </x:c>
      <x:c r="C740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special_tax_regime_id=4, operación 0101, moneda USD, venta propia; tercero T-1 sólo cuando corresponda. Tres líneas P-G/P-S/P-E y pago real 282 USD, tasa 50.00000000; UUID nuevo independiente de las otras 27 combinaciones.</x:v>
      </x:c>
      <x:c r="D740" s="13" t="str">
        <x:v>1. Seleccionar Puerto libre Santa Elena de Uairén desde el catálogo; elegir venta propia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40" s="13" t="str">
        <x:v>Snapshot régimen 4/Puerto libre Santa Elena de Uairén exacto y transacción 01;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40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41" ht="156" customHeight="1">
      <x:c r="A741" s="13" t="str">
        <x:v>QA-RGE-016</x:v>
      </x:c>
      <x:c r="B741" s="13" t="str">
        <x:v>Régimen 4: Puerto libre Santa Elena de Uairén / USD / venta por terceros</x:v>
      </x:c>
      <x:c r="C741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special_tax_regime_id=4, operación 0101, moneda USD, venta por terceros; tercero T-1 sólo cuando corresponda. Tres líneas P-G/P-S/P-E y pago real 282 USD, tasa 50.00000000; UUID nuevo independiente de las otras 27 combinaciones.</x:v>
      </x:c>
      <x:c r="D741" s="13" t="str">
        <x:v>1. Seleccionar Puerto libre Santa Elena de Uairén desde el catálogo; elegir venta por terceros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41" s="13" t="str">
        <x:v>Snapshot régimen 4/Puerto libre Santa Elena de Uairén exacto y transacción 99;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41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42" ht="156" customHeight="1">
      <x:c r="A742" s="13" t="str">
        <x:v>QA-RGE-017</x:v>
      </x:c>
      <x:c r="B742" s="13" t="str">
        <x:v>Régimen 5: Zona Libre de Mérida / VES / venta propia</x:v>
      </x:c>
      <x:c r="C742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special_tax_regime_id=5, operación 0101, moneda VES, venta propia; tercero T-1 sólo cuando corresponda. Tres líneas P-G/P-S/P-E y pago real 282 VES, tasa 50.00000000; UUID nuevo independiente de las otras 27 combinaciones.</x:v>
      </x:c>
      <x:c r="D742" s="13" t="str">
        <x:v>1. Seleccionar Zona Libre de Mérida desde el catálogo; elegir venta propia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42" s="13" t="str">
        <x:v>Snapshot régimen 5/Zona Libre de Mérida exacto y transacción 01;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42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43" ht="156" customHeight="1">
      <x:c r="A743" s="13" t="str">
        <x:v>QA-RGE-018</x:v>
      </x:c>
      <x:c r="B743" s="13" t="str">
        <x:v>Régimen 5: Zona Libre de Mérida / VES / venta por terceros</x:v>
      </x:c>
      <x:c r="C743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special_tax_regime_id=5, operación 0101, moneda VES, venta por terceros; tercero T-1 sólo cuando corresponda. Tres líneas P-G/P-S/P-E y pago real 282 VES, tasa 50.00000000; UUID nuevo independiente de las otras 27 combinaciones.</x:v>
      </x:c>
      <x:c r="D743" s="13" t="str">
        <x:v>1. Seleccionar Zona Libre de Mérida desde el catálogo; elegir venta por terceros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43" s="13" t="str">
        <x:v>Snapshot régimen 5/Zona Libre de Mérida exacto y transacción 99;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43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44" ht="156" customHeight="1">
      <x:c r="A744" s="13" t="str">
        <x:v>QA-RGE-019</x:v>
      </x:c>
      <x:c r="B744" s="13" t="str">
        <x:v>Régimen 5: Zona Libre de Mérida / USD / venta propia</x:v>
      </x:c>
      <x:c r="C744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special_tax_regime_id=5, operación 0101, moneda USD, venta propia; tercero T-1 sólo cuando corresponda. Tres líneas P-G/P-S/P-E y pago real 282 USD, tasa 50.00000000; UUID nuevo independiente de las otras 27 combinaciones.</x:v>
      </x:c>
      <x:c r="D744" s="13" t="str">
        <x:v>1. Seleccionar Zona Libre de Mérida desde el catálogo; elegir venta propia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44" s="13" t="str">
        <x:v>Snapshot régimen 5/Zona Libre de Mérida exacto y transacción 01;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44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45" ht="156" customHeight="1">
      <x:c r="A745" s="13" t="str">
        <x:v>QA-RGE-020</x:v>
      </x:c>
      <x:c r="B745" s="13" t="str">
        <x:v>Régimen 5: Zona Libre de Mérida / USD / venta por terceros</x:v>
      </x:c>
      <x:c r="C745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special_tax_regime_id=5, operación 0101, moneda USD, venta por terceros; tercero T-1 sólo cuando corresponda. Tres líneas P-G/P-S/P-E y pago real 282 USD, tasa 50.00000000; UUID nuevo independiente de las otras 27 combinaciones.</x:v>
      </x:c>
      <x:c r="D745" s="13" t="str">
        <x:v>1. Seleccionar Zona Libre de Mérida desde el catálogo; elegir venta por terceros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45" s="13" t="str">
        <x:v>Snapshot régimen 5/Zona Libre de Mérida exacto y transacción 99;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45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46" ht="156" customHeight="1">
      <x:c r="A746" s="13" t="str">
        <x:v>QA-RGE-021</x:v>
      </x:c>
      <x:c r="B746" s="13" t="str">
        <x:v>Régimen 6: Puerto libre Estado Nueva Esparta / VES / venta propia</x:v>
      </x:c>
      <x:c r="C746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special_tax_regime_id=6, operación 0101, moneda VES, venta propia; tercero T-1 sólo cuando corresponda. Tres líneas P-G/P-S/P-E y pago real 282 VES, tasa 50.00000000; UUID nuevo independiente de las otras 27 combinaciones.</x:v>
      </x:c>
      <x:c r="D746" s="13" t="str">
        <x:v>1. Seleccionar Puerto libre Estado Nueva Esparta desde el catálogo; elegir venta propia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46" s="13" t="str">
        <x:v>Snapshot régimen 6/Puerto libre Estado Nueva Esparta exacto y transacción 01;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46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47" ht="156" customHeight="1">
      <x:c r="A747" s="13" t="str">
        <x:v>QA-RGE-022</x:v>
      </x:c>
      <x:c r="B747" s="13" t="str">
        <x:v>Régimen 6: Puerto libre Estado Nueva Esparta / VES / venta por terceros</x:v>
      </x:c>
      <x:c r="C747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special_tax_regime_id=6, operación 0101, moneda VES, venta por terceros; tercero T-1 sólo cuando corresponda. Tres líneas P-G/P-S/P-E y pago real 282 VES, tasa 50.00000000; UUID nuevo independiente de las otras 27 combinaciones.</x:v>
      </x:c>
      <x:c r="D747" s="13" t="str">
        <x:v>1. Seleccionar Puerto libre Estado Nueva Esparta desde el catálogo; elegir venta por terceros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47" s="13" t="str">
        <x:v>Snapshot régimen 6/Puerto libre Estado Nueva Esparta exacto y transacción 99;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47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48" ht="156" customHeight="1">
      <x:c r="A748" s="13" t="str">
        <x:v>QA-RGE-023</x:v>
      </x:c>
      <x:c r="B748" s="13" t="str">
        <x:v>Régimen 6: Puerto libre Estado Nueva Esparta / USD / venta propia</x:v>
      </x:c>
      <x:c r="C748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special_tax_regime_id=6, operación 0101, moneda USD, venta propia; tercero T-1 sólo cuando corresponda. Tres líneas P-G/P-S/P-E y pago real 282 USD, tasa 50.00000000; UUID nuevo independiente de las otras 27 combinaciones.</x:v>
      </x:c>
      <x:c r="D748" s="13" t="str">
        <x:v>1. Seleccionar Puerto libre Estado Nueva Esparta desde el catálogo; elegir venta propia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48" s="13" t="str">
        <x:v>Snapshot régimen 6/Puerto libre Estado Nueva Esparta exacto y transacción 01;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48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49" ht="156" customHeight="1">
      <x:c r="A749" s="13" t="str">
        <x:v>QA-RGE-024</x:v>
      </x:c>
      <x:c r="B749" s="13" t="str">
        <x:v>Régimen 6: Puerto libre Estado Nueva Esparta / USD / venta por terceros</x:v>
      </x:c>
      <x:c r="C749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special_tax_regime_id=6, operación 0101, moneda USD, venta por terceros; tercero T-1 sólo cuando corresponda. Tres líneas P-G/P-S/P-E y pago real 282 USD, tasa 50.00000000; UUID nuevo independiente de las otras 27 combinaciones.</x:v>
      </x:c>
      <x:c r="D749" s="13" t="str">
        <x:v>1. Seleccionar Puerto libre Estado Nueva Esparta desde el catálogo; elegir venta por terceros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49" s="13" t="str">
        <x:v>Snapshot régimen 6/Puerto libre Estado Nueva Esparta exacto y transacción 99;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49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50" ht="156" customHeight="1">
      <x:c r="A750" s="13" t="str">
        <x:v>QA-RGE-025</x:v>
      </x:c>
      <x:c r="B750" s="13" t="str">
        <x:v>Régimen 7: Dutty Free / VES / venta propia</x:v>
      </x:c>
      <x:c r="C750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special_tax_regime_id=7, operación 0101, moneda VES, venta propia; tercero T-1 sólo cuando corresponda. Tres líneas P-G/P-S/P-E y pago real 282 VES, tasa 50.00000000; UUID nuevo independiente de las otras 27 combinaciones.</x:v>
      </x:c>
      <x:c r="D750" s="13" t="str">
        <x:v>1. Seleccionar Dutty Free desde el catálogo; elegir venta propia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50" s="13" t="str">
        <x:v>Snapshot régimen 7/Dutty Free exacto y transacción 01;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50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51" ht="156" customHeight="1">
      <x:c r="A751" s="13" t="str">
        <x:v>QA-RGE-026</x:v>
      </x:c>
      <x:c r="B751" s="13" t="str">
        <x:v>Régimen 7: Dutty Free / VES / venta por terceros</x:v>
      </x:c>
      <x:c r="C751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special_tax_regime_id=7, operación 0101, moneda VES, venta por terceros; tercero T-1 sólo cuando corresponda. Tres líneas P-G/P-S/P-E y pago real 282 VES, tasa 50.00000000; UUID nuevo independiente de las otras 27 combinaciones.</x:v>
      </x:c>
      <x:c r="D751" s="13" t="str">
        <x:v>1. Seleccionar Dutty Free desde el catálogo; elegir venta por terceros y registrar titular si corresponde, sin alterar IVA de líneas.
2. Agregar P-G, P-S, P-E; calcular base gravada 200, exenta 50, IVA 32 y total 282 VES;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51" s="13" t="str">
        <x:v>Snapshot régimen 7/Dutty Free exacto y transacción 99; subtotal/IVA no cambian automáticamente por régimen. Local total 282 VES, saldo 0, una recepción 282 y stock P-G/P-E 99; servicio sin stock. Adaptación fiscal: base gravada 200, IVA 32, exenta 50, total 282 VES.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51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52" ht="156" customHeight="1">
      <x:c r="A752" s="13" t="str">
        <x:v>QA-RGE-027</x:v>
      </x:c>
      <x:c r="B752" s="13" t="str">
        <x:v>Régimen 7: Dutty Free / USD / venta propia</x:v>
      </x:c>
      <x:c r="C752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special_tax_regime_id=7, operación 0101, moneda USD, venta propia; tercero T-1 sólo cuando corresponda. Tres líneas P-G/P-S/P-E y pago real 282 USD, tasa 50.00000000; UUID nuevo independiente de las otras 27 combinaciones.</x:v>
      </x:c>
      <x:c r="D752" s="13" t="str">
        <x:v>1. Seleccionar Dutty Free desde el catálogo; elegir venta propia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52" s="13" t="str">
        <x:v>Snapshot régimen 7/Dutty Free exacto y transacción 01;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propia no añade otra conversión. Δstock de cada bien=−1; Δpagos=1.</x:v>
      </x:c>
      <x:c r="F752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53" ht="156" customHeight="1">
      <x:c r="A753" s="13" t="str">
        <x:v>QA-RGE-028</x:v>
      </x:c>
      <x:c r="B753" s="13" t="str">
        <x:v>Régimen 7: Dutty Free / USD / venta por terceros</x:v>
      </x:c>
      <x:c r="C753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special_tax_regime_id=7, operación 0101, moneda USD, venta por terceros; tercero T-1 sólo cuando corresponda. Tres líneas P-G/P-S/P-E y pago real 282 USD, tasa 50.00000000; UUID nuevo independiente de las otras 27 combinaciones.</x:v>
      </x:c>
      <x:c r="D753" s="13" t="str">
        <x:v>1. Seleccionar Dutty Free desde el catálogo; elegir venta por terceros y registrar titular si corresponde, sin alterar IVA de líneas.
2. Agregar P-G, P-S, P-E; calcular base gravada 200, exenta 50, IVA 32 y total 282 USD; cobrar 282 reales y guardar.
3. Recargar detalle y comparar snapshot ID/descripcion, titular, pagos/saldo y stock; preparar y pulsar Enviar HKA explícitamente.
4. Consultar operación y obtener ticket/original PDF cuando corresponda; conservar respuesta remota/doble y resultado individual de esta combinación.</x:v>
      </x:c>
      <x:c r="E753" s="13" t="str">
        <x:v>Snapshot régimen 7/Dutty Free exacto y transacción 99; subtotal/IVA no cambian automáticamente por régimen. Local total 282 USD, saldo 0, una recepción 282 y stock P-G/P-E 99; servicio sin stock. Adaptación fiscal: base gravada 10000, IVA 1600, exenta 2500, total 14100 VES; bloque Otra Moneda conserva 282 USD. regimenEspTributacion lleva descripción, no ID. Registro, envío, consulta y presentación se califican por capa; PDF original puede omitir régimen, ticket debe mostrarlo.
Control independiente: 100+100+50+16+16=282. IVA=200×16/100=32. USD→VES multiplica una sola vez por 50; venta por terceros no añade otra conversión. Δstock de cada bien=−1; Δpagos=1.</x:v>
      </x:c>
      <x:c r="F753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54" ht="156" customHeight="1">
      <x:c r="A754" s="13" t="str">
        <x:v>QA-RGE-029</x:v>
      </x:c>
      <x:c r="B754" s="13" t="str">
        <x:v>Sin régimen y cancelar selector</x:v>
      </x:c>
      <x:c r="C754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Factura ordinaria 282 VES; selector inicialmente vacío.</x:v>
      </x:c>
      <x:c r="D754" s="13" t="str">
        <x:v>1. Abrir selector y revisar vacío/1..7; elegir 1 y cancelar sin guardar.
2. Guardar sin régimen y reabrir detalle.
3. Comparar cálculo y payload ordinario.</x:v>
      </x:c>
      <x:c r="E754" s="13" t="str">
        <x:v>Sin régimen permanece sin régimen; cancelar no crea snapshot ni altera líneas/pagos. Total 282 y saldo 0 con pago 282; sin regimenEspTributacion.
Control independiente: Comparar exactamente los valores y conteos definidos en el criterio. En rechazos: Δdocumentos, Δpagos, Δaplicaciones, Δstock y Δllamadas mutantes HKA = 0.</x:v>
      </x:c>
      <x:c r="F754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55" ht="156" customHeight="1">
      <x:c r="A755" s="13" t="str">
        <x:v>QA-RGE-030</x:v>
      </x:c>
      <x:c r="B755" s="13" t="str">
        <x:v>Cambio de selección no reclasifica IVA</x:v>
      </x:c>
      <x:c r="C755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Borrador P-G gravado 16 %, P-E exento; total 166 VES.</x:v>
      </x:c>
      <x:c r="D755" s="13" t="str">
        <x:v>1. Seleccionar cada régimen 1..7 con variante individual.
2. Capturar affectation_igv_type_id y tasa antes/después, quitar selección.
3. Recalcular sin usar total Pro9 como oráculo.</x:v>
      </x:c>
      <x:c r="E755" s="13" t="str">
        <x:v>Cada selección/retiro conserva base 100, IVA 16, exenta 50, total 166; no exención automática.
Control independiente: Comparar exactamente los valores y conteos definidos en el criterio. En rechazos: Δdocumentos, Δpagos, Δaplicaciones, Δstock y Δllamadas mutantes HKA = 0.</x:v>
      </x:c>
      <x:c r="F755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56" ht="156" customHeight="1">
      <x:c r="A756" s="13" t="str">
        <x:v>QA-RGE-031</x:v>
      </x:c>
      <x:c r="B756" s="13" t="str">
        <x:v>Catálogo inactivo o descripción alterada</x:v>
      </x:c>
      <x:c r="C756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Copia QA del catálogo: ID 1 inactivo; luego descripción ID 2=texto no contractual.</x:v>
      </x:c>
      <x:c r="D756" s="13" t="str">
        <x:v>1. Consultar opciones con cada alteración por separado.
2. Intentar forzar ID por HTTP.
3. Restaurar catálogo y confirmar selector.</x:v>
      </x:c>
      <x:c r="E756" s="13" t="str">
        <x:v>Valores inválidos no seleccionables y backend rechaza antes de stock/pagos; ID válido requiere descripción exacta≤55.
Control independiente: Comparar exactamente los valores y conteos definidos en el criterio. En rechazos: Δdocumentos, Δpagos, Δaplicaciones, Δstock y Δllamadas mutantes HKA = 0.</x:v>
      </x:c>
      <x:c r="F756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57" ht="156" customHeight="1">
      <x:c r="A757" s="13" t="str">
        <x:v>QA-RGE-032</x:v>
      </x:c>
      <x:c r="B757" s="13" t="str">
        <x:v>Snapshot de régimen inyectado</x:v>
      </x:c>
      <x:c r="C757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Factura válida; campos catalog_snapshot /special_tax_regime_description/ regimenEspTributacion manipulados.</x:v>
      </x:c>
      <x:c r="D757" s="13" t="str">
        <x:v>1. Enviar cada campo en raíz y fiscal_data como variantes separadas.
2. Registrar respuesta.
3. Consultar conteos y stock después.</x:v>
      </x:c>
      <x:c r="E757" s="13" t="str">
        <x:v>Servidor rechaza todos los campos autoritativos del navegador; no conserva descripción inventada ni realiza HTTP fiscal.
Control independiente: Comparar exactamente los valores y conteos definidos en el criterio. En rechazos: Δdocumentos, Δpagos, Δaplicaciones, Δstock y Δllamadas mutantes HKA = 0.</x:v>
      </x:c>
      <x:c r="F757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58" ht="156" customHeight="1">
      <x:c r="A758" s="13" t="str">
        <x:v>QA-RGE-033</x:v>
      </x:c>
      <x:c r="B758" s="13" t="str">
        <x:v>ID de régimen fuera de catálogo</x:v>
      </x:c>
      <x:c r="C758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IDs 0, 8,-1, abc, 1.5 como cinco variantes.</x:v>
      </x:c>
      <x:c r="D758" s="13" t="str">
        <x:v>1. Enviar cada valor en factura por lo demás válida.
2. Capturar validación y campo.
3. Verificar efectos cero.</x:v>
      </x:c>
      <x:c r="E758" s="13" t="str">
        <x:v>Sólo entero 1..7 activo con contrato válido; no redondea ni asigna otro ID.
Control independiente: Comparar exactamente los valores y conteos definidos en el criterio. En rechazos: Δdocumentos, Δpagos, Δaplicaciones, Δstock y Δllamadas mutantes HKA = 0.</x:v>
      </x:c>
      <x:c r="F758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59" ht="156" customHeight="1">
      <x:c r="A759" s="13" t="str">
        <x:v>QA-RGE-034</x:v>
      </x:c>
      <x:c r="B759" s="13" t="str">
        <x:v>Descuento sobre base en régimen</x:v>
      </x:c>
      <x:c r="C759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P-G 100+IVA 16; descuento línea 00 10 %, régimen 1, pago 104.40 VES.</x:v>
      </x:c>
      <x:c r="D759" s="13" t="str">
        <x:v>1. Aplicar descuento antes de seleccionar régimen.
2. Guardar contado 104.40 y preparar.
3. Comparar detalle y payload.</x:v>
      </x:c>
      <x:c r="E759" s="13" t="str">
        <x:v>Descuento 10, base 90, IVA 14.40, total 104.40; régimen no pierde descuento ni duplica aplicación. Pago 104.40/saldo 0.
Control independiente: Comparar exactamente los valores y conteos definidos en el criterio. En rechazos: Δdocumentos, Δpagos, Δaplicaciones, Δstock y Δllamadas mutantes HKA = 0.</x:v>
      </x:c>
      <x:c r="F759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60" ht="156" customHeight="1">
      <x:c r="A760" s="13" t="str">
        <x:v>QA-RGE-035</x:v>
      </x:c>
      <x:c r="B760" s="13" t="str">
        <x:v>Cargo sin alterar base de IVA</x:v>
      </x:c>
      <x:c r="C760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P-G 100+IVA 16; cargo línea 10 % de 100, régimen 2, pago 126 VES.</x:v>
      </x:c>
      <x:c r="D760" s="13" t="str">
        <x:v>1. Agregar cargo contractual 10.
2. Guardar y preparar.
3. Comparar totales locales/fiscales y recepción.</x:v>
      </x:c>
      <x:c r="E760" s="13" t="str">
        <x:v>Cargo 10, IVA 16, total 126; separar cargo de base/IVA según código actual, una recepción 126.
Control independiente: Comparar exactamente los valores y conteos definidos en el criterio. En rechazos: Δdocumentos, Δpagos, Δaplicaciones, Δstock y Δllamadas mutantes HKA = 0.</x:v>
      </x:c>
      <x:c r="F760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61" ht="156" customHeight="1">
      <x:c r="A761" s="13" t="str">
        <x:v>QA-RGE-036</x:v>
      </x:c>
      <x:c r="B761" s="13" t="str">
        <x:v>Descuento global distribuido por alícuota</x:v>
      </x:c>
      <x:c r="C761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Dos líneas base 100 IVA 16 cada una; descuento global 00 10 % sobre 200; régimen 3.</x:v>
      </x:c>
      <x:c r="D761" s="13" t="str">
        <x:v>1. Distribuir descuento 20 según reglas actuales.
2. Calcular por línea y documento.
3. Guardar pago 208.80 y preparar fiscal.</x:v>
      </x:c>
      <x:c r="E761" s="13" t="str">
        <x:v>Base 180, IVA 28.80, total 208.80; suma de líneas concilia con global sin duplicar descuento.
Control independiente: Comparar exactamente los valores y conteos definidos en el criterio. En rechazos: Δdocumentos, Δpagos, Δaplicaciones, Δstock y Δllamadas mutantes HKA = 0.</x:v>
      </x:c>
      <x:c r="F761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62" ht="156" customHeight="1">
      <x:c r="A762" s="13" t="str">
        <x:v>QA-RGE-037</x:v>
      </x:c>
      <x:c r="B762" s="13" t="str">
        <x:v>IGTF inicial con régimen y terceros</x:v>
      </x:c>
      <x:c r="C762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Emisor SPE vigente, régimen 4, tercero T-1, P-G 116 USD, pago USD 116 none, IGTF QA 3 %.</x:v>
      </x:c>
      <x:c r="D762" s="13" t="str">
        <x:v>1. Declarar intermediación none y clasificación subject.
2. Calcular IGTF y cobrar principal/impuesto real.
3. Guardar/preparar y consultar snapshots.</x:v>
      </x:c>
      <x:c r="E762" s="13" t="str">
        <x:v>IGTF 3.48 USD, recepción 119.48 USD; principal 116, IVA 16, total con IGTF 119.48. Transacción 99 y régimen presentes; convertir una vez por 50: IGTF 174 VES y total 5974 VES. No nota posterior.
Control independiente: Comparar exactamente los valores y conteos definidos en el criterio. En rechazos: Δdocumentos, Δpagos, Δaplicaciones, Δstock y Δllamadas mutantes HKA = 0.</x:v>
      </x:c>
      <x:c r="F762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63" ht="156" customHeight="1">
      <x:c r="A763" s="13" t="str">
        <x:v>QA-RGE-038</x:v>
      </x:c>
      <x:c r="B763" s="13" t="str">
        <x:v>Crédito y cuotas bloqueados</x:v>
      </x:c>
      <x:c r="C763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Régimen 1, total 116; condiciones crédito/cuotas con abono 0/30.</x:v>
      </x:c>
      <x:c r="D763" s="13" t="str">
        <x:v>1. Probar cada condición/abono con variante.
2. Intentar guardar por UI y HTTP.
3. Verificar stock/pagos/número.</x:v>
      </x:c>
      <x:c r="E763" s="13" t="str">
        <x:v>Rechazo antes de commit; exige Contado con pagos reales completos, ninguna cuota/abono ficticio.
Control independiente: Comparar exactamente los valores y conteos definidos en el criterio. En rechazos: Δdocumentos, Δpagos, Δaplicaciones, Δstock y Δllamadas mutantes HKA = 0.</x:v>
      </x:c>
      <x:c r="F763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64" ht="156" customHeight="1">
      <x:c r="A764" s="13" t="str">
        <x:v>QA-RGE-039</x:v>
      </x:c>
      <x:c r="B764" s="13" t="str">
        <x:v>Contado insuficiente o aplicación en lugar de pago</x:v>
      </x:c>
      <x:c r="C764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Total 116 VES; pago 100, cero pago, previsión 12, fondo 16 como entradas independientes.</x:v>
      </x:c>
      <x:c r="D764" s="13" t="str">
        <x:v>1. Intentar régimen con cada suma no pagada en efectivo/banco.
2. Conservar diagnóstico.
3. Medir documentos/pagos/aplicaciones.</x:v>
      </x:c>
      <x:c r="E764" s="13" t="str">
        <x:v>Saldo 0 por retención/fondo no sustituye contado real completo; cada combinación inválida se rechaza sin efectos.
Control independiente: Comparar exactamente los valores y conteos definidos en el criterio. En rechazos: Δdocumentos, Δpagos, Δaplicaciones, Δstock y Δllamadas mutantes HKA = 0.</x:v>
      </x:c>
      <x:c r="F764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65" ht="156" customHeight="1">
      <x:c r="A765" s="13" t="str">
        <x:v>QA-RGE-040</x:v>
      </x:c>
      <x:c r="B765" s="13" t="str">
        <x:v>Exportación incompatible</x:v>
      </x:c>
      <x:c r="C765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Operaciones 0201/0202/0203, identidad ND, régimen 1.</x:v>
      </x:c>
      <x:c r="D765" s="13" t="str">
        <x:v>1. Intentar cada INCOTERM con variante.
2. Enviar payload forzado.
3. Verificar rollback.</x:v>
      </x:c>
      <x:c r="E765" s="13" t="str">
        <x:v>Regímenes sólo 0101; exportaciones rechazadas aunque bienes, moneda y pago sean válidos.
Control independiente: Comparar exactamente los valores y conteos definidos en el criterio. En rechazos: Δdocumentos, Δpagos, Δaplicaciones, Δstock y Δllamadas mutantes HKA = 0.</x:v>
      </x:c>
      <x:c r="F765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66" ht="156" customHeight="1">
      <x:c r="A766" s="13" t="str">
        <x:v>QA-RGE-041</x:v>
      </x:c>
      <x:c r="B766" s="13" t="str">
        <x:v>Régimen: documentos comerciales y notas heredadas</x:v>
      </x:c>
      <x:c r="C766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Factura interna F1tipo01/0101 digital DEMO vigente confirmed/controlcoincidente, clienteC1/S1; G1dosUNDbase100/IVA16,total 232 VES; cobroreal 232. UUID nuevo, serie autorizada tipo/sucursal. Snapshot original y línea base disponibles.</x:v>
      </x:c>
      <x:c r="D766" s="13" t="str">
        <x:v>1. Identificarfixture/corrida y capturar originales de dinero, stock, referencia y UUID.
2. Abrir acción correspondiente a este caso; registrar petición con identidad/partidasoriginales, rol y sucursal autorizados.
3. Ejecutar creación/preparación/conversión o rechazo según el título, con los datos anteriores. Para varios motivos o valores generar variantes individuales; no agregar un único veredicto.
4. Comparar respuesta, guardado y estado fiscal con la expectativa; consultar misma operación si existe incertidumbre, sin duplicar envío.
5. Reabrir, cotejar snapshots/stock/saldo y conservar evidencia propia; separar emisión/distribución de efectos comerciales.</x:v>
      </x:c>
      <x:c r="E766" s="13" t="str">
        <x:v>Selector de régimen enfactura 01; NVnohereda. NC/NDordinariasdomésticasdesdeFconfirmed/controlcoincidenteheredanrégimenycatálogosdesdesnapshot. No permitir régimenarbitrariomanualennota.
Cálculo independiente: Fbase 200+IVA32=232; NC07 por 1 UND=116 ystock+1; NC monetaria base 10+IVA1.60=11.60/stock0; ND base 10+IVA1.60=11.60/deudapropia; orden desde factura no repite 2 UND físicas. Negativoanteswrite tieneΔnota/stock/pagos/HTTP0.</x:v>
      </x:c>
      <x:c r="F766" s="13" t="str">
        <x:v>[app/Services/SpecialTaxRegimePolicy.php](../../app/Services/SpecialTaxRegimePolicy.php), [app/Services/Fiscal/HkaDomesticInvoicePolicy.php](../../app/Services/Fiscal/HkaDomesticInvoicePolicy.php), [app/Services/Fiscal/HkaDomesticMoney.php](../../app/Services/Fiscal/HkaDomesticMoney.php), [app/Services/Fiscal/HkaPayloadBuilder.php](../../app/Services/Fiscal/HkaPayloadBuilder.php), [tests/Unit/SpecialTaxRegimeTest.php](../../tests/Unit/SpecialTaxRegimeTest.php), [tests/js/special-tax-regime-ui.test.cjs](../../tests/js/special-tax-regime-ui.test.cjs), [informes/facturas_regimenes_especiales_hka.md](../../informes/facturas_regimenes_especiales_hka.md)
Efectos posteriores: Conciliar efectos únicos; conservar payload/control/serie/número/snapshots; nocobros/egresosficticios.
Evidencia: UI/HTTPsaneado/lecturasantesdespués/cálculo y archivos/QRsiaplican; declarar Real DEMO o doble; nunca atribuir evidencia histórica al acorrida.</x:v>
      </x:c>
    </x:row>
    <x:row r="767" ht="156" customHeight="1">
      <x:c r="A767" s="13" t="str">
        <x:v>QA-RGE-042</x:v>
      </x:c>
      <x:c r="B767" s="13" t="str">
        <x:v>Operaciones condicionales incompatibles</x:v>
      </x:c>
      <x:c r="C767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Factura 0101 régimen 1; is_itinerant=true, itinerant.id distinto 1, conditional_data no vacío, transaction_type_id02.</x:v>
      </x:c>
      <x:c r="D767" s="13" t="str">
        <x:v>1. Probar cada campo por separado.
2. Enviar variante 0101 limpia de control.
3. Comparar rechazo vs control válido.</x:v>
      </x:c>
      <x:c r="E767" s="13" t="str">
        <x:v>Condicionales rechazadas, incluido transaction_type_id99 enviado por cliente; tercero determina 99 en servidor a partir de entrada ordinaria 01.
Control independiente: Comparar exactamente los valores y conteos definidos en el criterio. En rechazos: Δdocumentos, Δpagos, Δaplicaciones, Δstock y Δllamadas mutantes HKA = 0.</x:v>
      </x:c>
      <x:c r="F767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68" ht="156" customHeight="1">
      <x:c r="A768" s="13" t="str">
        <x:v>QA-RGE-043</x:v>
      </x:c>
      <x:c r="B768" s="13" t="str">
        <x:v>Monedas incompatibles</x:v>
      </x:c>
      <x:c r="C768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Factura web régimen 1; PEN/VED/EUR como variantes.</x:v>
      </x:c>
      <x:c r="D768" s="13" t="str">
        <x:v>1. Forzar cada moneda en request.
2. Consultar resultado.
3. Comparar pagos y numeración.</x:v>
      </x:c>
      <x:c r="E768" s="13" t="str">
        <x:v>Sólo VES/USD; sin conversión silenciosa ni consumo fiscal parcial.
Control independiente: Comparar exactamente los valores y conteos definidos en el criterio. En rechazos: Δdocumentos, Δpagos, Δaplicaciones, Δstock y Δllamadas mutantes HKA = 0.</x:v>
      </x:c>
      <x:c r="F768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69" ht="156" customHeight="1">
      <x:c r="A769" s="13" t="str">
        <x:v>QA-RGE-044</x:v>
      </x:c>
      <x:c r="B769" s="13" t="str">
        <x:v>Notas ordinarias de régimen habilitadas e IGTF separado</x:v>
      </x:c>
      <x:c r="C769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Factura interna F1tipo01/0101 digital DEMO vigente confirmed/controlcoincidente, clienteC1/S1; G1dosUNDbase100/IVA16,total 232 VES; cobroreal 232. UUID nuevo, serie autorizada tipo/sucursal. Snapshot original y línea base disponibles.</x:v>
      </x:c>
      <x:c r="D769" s="13" t="str">
        <x:v>1. Identificarfixture/corrida y capturar originales de dinero, stock, referencia y UUID.
2. Abrir acción correspondiente a este caso; registrar petición con identidad/partidasoriginales, rol y sucursal autorizados.
3. Ejecutar creación/preparación/conversión o rechazo según el título, con los datos anteriores. Para varios motivos o valores generar variantes individuales; no agregar un único veredicto.
4. Comparar respuesta, guardado y estado fiscal con la expectativa; consultar misma operación si existe incertidumbre, sin duplicar envío.
5. Reabrir, cotejar snapshots/stock/saldo y conservar evidencia propia; separar emisión/distribución de efectos comerciales.</x:v>
      </x:c>
      <x:c r="E769" s="13" t="str">
        <x:v>NC/NDordinariasdomésticashabilitadasconrégimenheredado/controlcoherente. IGTF98 posterior conserva guardactualsegúncategoría/contrato; no habilitar ajuste IGT Fde NC sin contrato fiscal.
Cálculo independiente: Fbase 200+IVA32=232; NC07 por 1 UND=116 ystock+1; NC monetaria base 10+IVA1.60=11.60/stock0; ND base 10+IVA1.60=11.60/deudapropia; orden desde factura no repite 2 UND físicas. Negativoanteswrite tieneΔnota/stock/pagos/HTTP0.</x:v>
      </x:c>
      <x:c r="F769" s="13" t="str">
        <x:v>[app/Services/SpecialTaxRegimePolicy.php](../../app/Services/SpecialTaxRegimePolicy.php), [app/Services/Fiscal/HkaDomesticInvoicePolicy.php](../../app/Services/Fiscal/HkaDomesticInvoicePolicy.php), [app/Services/Fiscal/HkaDomesticMoney.php](../../app/Services/Fiscal/HkaDomesticMoney.php), [app/Services/Fiscal/HkaPayloadBuilder.php](../../app/Services/Fiscal/HkaPayloadBuilder.php), [tests/Unit/SpecialTaxRegimeTest.php](../../tests/Unit/SpecialTaxRegimeTest.php), [tests/js/special-tax-regime-ui.test.cjs](../../tests/js/special-tax-regime-ui.test.cjs), [informes/facturas_regimenes_especiales_hka.md](../../informes/facturas_regimenes_especiales_hka.md)
Efectos posteriores: Conciliar efectos únicos; conservar payload/control/serie/número/snapshots; nocobros/egresosficticios.
Evidencia: UI/HTTPsaneado/lecturasantesdespués/cálculo y archivos/QRsiaplican; declarar Real DEMO o doble; nunca atribuir evidencia histórica al acorrida.</x:v>
      </x:c>
    </x:row>
    <x:row r="770" ht="156" customHeight="1">
      <x:c r="A770" s="13" t="str">
        <x:v>QA-RGE-045</x:v>
      </x:c>
      <x:c r="B770" s="13" t="str">
        <x:v>Agregar régimen al editar not_requested</x:v>
      </x:c>
      <x:c r="C770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Factura web propia 282 VES sin régimen, not_requested, pago 282.</x:v>
      </x:c>
      <x:c r="D770" s="13" t="str">
        <x:v>1. Capturar UUIDK 1/serie/número/pagos.
2. Editar y agregar régimen 1; guardar.
3. Recargar y enviar explícitamente nueva preparación.</x:v>
      </x:c>
      <x:c r="E770" s="13" t="str">
        <x:v>UUIDK 2≠K1, régimen congelado; número/moneda/categoría/pagos/saldo 0 intactos. Cero Emision automático al guardar.
Control independiente: Comparar exactamente los valores y conteos definidos en el criterio. En rechazos: Δdocumentos, Δpagos, Δaplicaciones, Δstock y Δllamadas mutantes HKA = 0.</x:v>
      </x:c>
      <x:c r="F770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71" ht="156" customHeight="1">
      <x:c r="A771" s="13" t="str">
        <x:v>QA-RGE-046</x:v>
      </x:c>
      <x:c r="B771" s="13" t="str">
        <x:v>Cambiar régimen en prepared</x:v>
      </x:c>
      <x:c r="C771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Factura régimen 1 preparada, sin control, pago 282; K1/payload H 1.</x:v>
      </x:c>
      <x:c r="D771" s="13" t="str">
        <x:v>1. Editar régimen 2.
2. Guardar y comparar historial preparación.
3. Preparar/enviar explícitamente K2.</x:v>
      </x:c>
      <x:c r="E771" s="13" t="str">
        <x:v>K2 distinto, not_requested tras edición, descripción 2 actual; histórico H 1 conservado y nunca enviado tras cambio.
Control independiente: Comparar exactamente los valores y conteos definidos en el criterio. En rechazos: Δdocumentos, Δpagos, Δaplicaciones, Δstock y Δllamadas mutantes HKA = 0.</x:v>
      </x:c>
      <x:c r="F771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72" ht="156" customHeight="1">
      <x:c r="A772" s="13" t="str">
        <x:v>QA-RGE-047</x:v>
      </x:c>
      <x:c r="B772" s="13" t="str">
        <x:v>Retirar régimen manteniendo contado</x:v>
      </x:c>
      <x:c r="C772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Factura régimen 1 not_requested o prepared como dos variantes, pago 282.</x:v>
      </x:c>
      <x:c r="D772" s="13" t="str">
        <x:v>1. Capturar categoría y UUID.
2. Quitar régimen y guardar.
3. Verificar identidad/pagos y nueva preparación ordinaria.</x:v>
      </x:c>
      <x:c r="E772" s="13" t="str">
        <x:v>Retiro válido renueva UUID por política de categoría fiscal, conserva contado real, saldo 0 y número; elimina régimen nuevo sin borrar historial.
Control independiente: Comparar exactamente los valores y conteos definidos en el criterio. En rechazos: Δdocumentos, Δpagos, Δaplicaciones, Δstock y Δllamadas mutantes HKA = 0.</x:v>
      </x:c>
      <x:c r="F772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73" ht="156" customHeight="1">
      <x:c r="A773" s="13" t="str">
        <x:v>QA-RGE-048</x:v>
      </x:c>
      <x:c r="B773" s="13" t="str">
        <x:v>Edición rechazada conserva régimen</x:v>
      </x:c>
      <x:c r="C773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Factura régimen 1; proposed total 100 menor que pago 116 o cambio moneda USD.</x:v>
      </x:c>
      <x:c r="D773" s="13" t="str">
        <x:v>1. Probar cada edición inválida separada.
2. Capturar respuesta y recargar.
3. Comparar snapshot/pagos/UUID/historial.</x:v>
      </x:c>
      <x:c r="E773" s="13" t="str">
        <x:v>Rollback completo; ninguna renovación UUID ni eliminación de régimen en edición rechazada.
Control independiente: Comparar exactamente los valores y conteos definidos en el criterio. En rechazos: Δdocumentos, Δpagos, Δaplicaciones, Δstock y Δllamadas mutantes HKA = 0.</x:v>
      </x:c>
      <x:c r="F773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74" ht="156" customHeight="1">
      <x:c r="A774" s="13" t="str">
        <x:v>QA-RGE-049</x:v>
      </x:c>
      <x:c r="B774" s="13" t="str">
        <x:v>Control y emisión en curso bloquean edición</x:v>
      </x:c>
      <x:c r="C774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Estados pending/confirmed/control existente con régimen 1 como variantes.</x:v>
      </x:c>
      <x:c r="D774" s="13" t="str">
        <x:v>1. Abrir editor y forzar actualización backend por estado.
2. Registrar respuesta.
3. Consultar snapshot e intento activo.</x:v>
      </x:c>
      <x:c r="E774" s="13" t="str">
        <x:v>Bloqueo mantiene bytes payload/UUID/pagos/stock; no eliminar control para editar.
Control independiente: Comparar exactamente los valores y conteos definidos en el criterio. En rechazos: Δdocumentos, Δpagos, Δaplicaciones, Δstock y Δllamadas mutantes HKA = 0.</x:v>
      </x:c>
      <x:c r="F774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75" ht="156" customHeight="1">
      <x:c r="A775" s="13" t="str">
        <x:v>QA-RGE-050</x:v>
      </x:c>
      <x:c r="B775" s="13" t="str">
        <x:v>Detalle listado ticket y originales</x:v>
      </x:c>
      <x:c r="C775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Factura régimen 6 aceptada DEMO propia o doble identificado; A4/A5/ticket/correo QA.</x:v>
      </x:c>
      <x:c r="D775" s="13" t="str">
        <x:v>1. Abrir cada presentación en variante propia.
2. Extraer texto, renderizar y calcular hash A4.
3. Comparar contra JSON/snapshot sin editar original.</x:v>
      </x:c>
      <x:c r="E775" s="13" t="str">
        <x:v>Detalle/listado/ticket muestran régimen contractual; A4 HKA puede omitirlo aunque payload lo contenga. A5/correo heredan omisión. Informar límite proveedor y conservar original por hash.
Control independiente: Comparar exactamente los valores y conteos definidos en el criterio. En rechazos: Δdocumentos, Δpagos, Δaplicaciones, Δstock y Δllamadas mutantes HKA = 0.</x:v>
      </x:c>
      <x:c r="F775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76" ht="156" customHeight="1">
      <x:c r="A776" s="13" t="str">
        <x:v>QA-RGE-051</x:v>
      </x:c>
      <x:c r="B776" s="13" t="str">
        <x:v>Congelación ante cambio posterior del catálogo</x:v>
      </x:c>
      <x:c r="C776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Factura régimen 7 guardada; después inactivar catálogo sólo en copia QA.</x:v>
      </x:c>
      <x:c r="D776" s="13" t="str">
        <x:v>1. Capturar snapshot/descripción.
2. Preparar/reconsultar documento histórico.
3. Intentar nueva factura con ID inactivo y restaurar.</x:v>
      </x:c>
      <x:c r="E776" s="13" t="str">
        <x:v>Histórico usa descripción congelada; creación nueva rechaza catálogo no válido. No releer descripción actual para reescribir documento fiscal.
Control independiente: Comparar exactamente los valores y conteos definidos en el criterio. En rechazos: Δdocumentos, Δpagos, Δaplicaciones, Δstock y Δllamadas mutantes HKA = 0.</x:v>
      </x:c>
      <x:c r="F776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77" ht="156" customHeight="1">
      <x:c r="A777" s="13" t="str">
        <x:v>QA-RGE-052</x:v>
      </x:c>
      <x:c r="B777" s="13" t="str">
        <x:v>Regímenes no habilitados desde POS</x:v>
      </x:c>
      <x:c r="C777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Canal POS habilitado enQA; payload factura ordinaria válida y fiscal_data.special_tax_regime_id=1.</x:v>
      </x:c>
      <x:c r="D777" s="13" t="str">
        <x:v>1. Crear control ordinario desde POS y registrar su escritor/ source_module real.
2. Forzar régimen 1 en request del canal sin suplantar WEB.
3. Comparar respuesta y conteos/stock/pagos; generar variante por escritor si el canal tiene varios.</x:v>
      </x:c>
      <x:c r="E777" s="13" t="str">
        <x:v>Rechazo de régimen fuera de Comprobantes web antes de commit. El control ordinario mantiene contrato del canal. Una validación fuente no sustituye HTTP/UI de la variante.
Control independiente: Comparar exactamente los valores y conteos definidos en el criterio. En rechazos: Δdocumentos, Δpagos, Δaplicaciones, Δstock y Δllamadas mutantes HKA = 0.</x:v>
      </x:c>
      <x:c r="F777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78" ht="156" customHeight="1">
      <x:c r="A778" s="13" t="str">
        <x:v>QA-RGE-053</x:v>
      </x:c>
      <x:c r="B778" s="13" t="str">
        <x:v>Regímenes no habilitados desde Garage/Vende Ya</x:v>
      </x:c>
      <x:c r="C778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Canal Garage/Vende Ya habilitado enQA; payload factura ordinaria válida y fiscal_data.special_tax_regime_id=1.</x:v>
      </x:c>
      <x:c r="D778" s="13" t="str">
        <x:v>1. Crear control ordinario desde Garage/Vende Ya y registrar su escritor/ source_module real.
2. Forzar régimen 1 en request del canal sin suplantar WEB.
3. Comparar respuesta y conteos/stock/pagos; generar variante por escritor si el canal tiene varios.</x:v>
      </x:c>
      <x:c r="E778" s="13" t="str">
        <x:v>Rechazo de régimen fuera de Comprobantes web antes de commit. El control ordinario mantiene contrato del canal. Una validación fuente no sustituye HTTP/UI de la variante.
Control independiente: Comparar exactamente los valores y conteos definidos en el criterio. En rechazos: Δdocumentos, Δpagos, Δaplicaciones, Δstock y Δllamadas mutantes HKA = 0.</x:v>
      </x:c>
      <x:c r="F778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79" ht="156" customHeight="1">
      <x:c r="A779" s="13" t="str">
        <x:v>QA-RGE-054</x:v>
      </x:c>
      <x:c r="B779" s="13" t="str">
        <x:v>Regímenes no habilitados desde API</x:v>
      </x:c>
      <x:c r="C779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Canal API habilitado enQA; payload factura ordinaria válida y fiscal_data.special_tax_regime_id=1.</x:v>
      </x:c>
      <x:c r="D779" s="13" t="str">
        <x:v>1. Crear control ordinario desde API y registrar su escritor/ source_module real.
2. Forzar régimen 1 en request del canal sin suplantar WEB.
3. Comparar respuesta y conteos/stock/pagos; generar variante por escritor si el canal tiene varios.</x:v>
      </x:c>
      <x:c r="E779" s="13" t="str">
        <x:v>Rechazo de régimen fuera de Comprobantes web antes de commit. El control ordinario mantiene contrato del canal. Una validación fuente no sustituye HTTP/UI de la variante.
Control independiente: Comparar exactamente los valores y conteos definidos en el criterio. En rechazos: Δdocumentos, Δpagos, Δaplicaciones, Δstock y Δllamadas mutantes HKA = 0.</x:v>
      </x:c>
      <x:c r="F779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80" ht="156" customHeight="1">
      <x:c r="A780" s="13" t="str">
        <x:v>QA-RGE-055</x:v>
      </x:c>
      <x:c r="B780" s="13" t="str">
        <x:v>Regímenes no habilitados desde Hotel</x:v>
      </x:c>
      <x:c r="C780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Canal Hotel habilitado enQA; payload factura ordinaria válida y fiscal_data.special_tax_regime_id=1.</x:v>
      </x:c>
      <x:c r="D780" s="13" t="str">
        <x:v>1. Crear control ordinario desde Hotel y registrar su escritor/ source_module real.
2. Forzar régimen 1 en request del canal sin suplantar WEB.
3. Comparar respuesta y conteos/stock/pagos; generar variante por escritor si el canal tiene varios.</x:v>
      </x:c>
      <x:c r="E780" s="13" t="str">
        <x:v>Rechazo de régimen fuera de Comprobantes web antes de commit. El control ordinario mantiene contrato del canal. Una validación fuente no sustituye HTTP/UI de la variante.
Control independiente: Comparar exactamente los valores y conteos definidos en el criterio. En rechazos: Δdocumentos, Δpagos, Δaplicaciones, Δstock y Δllamadas mutantes HKA = 0.</x:v>
      </x:c>
      <x:c r="F780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81" ht="156" customHeight="1">
      <x:c r="A781" s="13" t="str">
        <x:v>QA-RGE-056</x:v>
      </x:c>
      <x:c r="B781" s="13" t="str">
        <x:v>Regímenes no habilitados desde Servicio técnico</x:v>
      </x:c>
      <x:c r="C781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Canal Servicio técnico habilitado enQA; payload factura ordinaria válida y fiscal_data.special_tax_regime_id=1.</x:v>
      </x:c>
      <x:c r="D781" s="13" t="str">
        <x:v>1. Crear control ordinario desde Servicio técnico y registrar su escritor/ source_module real.
2. Forzar régimen 1 en request del canal sin suplantar WEB.
3. Comparar respuesta y conteos/stock/pagos; generar variante por escritor si el canal tiene varios.</x:v>
      </x:c>
      <x:c r="E781" s="13" t="str">
        <x:v>Rechazo de régimen fuera de Comprobantes web antes de commit. El control ordinario mantiene contrato del canal. Una validación fuente no sustituye HTTP/UI de la variante.
Control independiente: Comparar exactamente los valores y conteos definidos en el criterio. En rechazos: Δdocumentos, Δpagos, Δaplicaciones, Δstock y Δllamadas mutantes HKA = 0.</x:v>
      </x:c>
      <x:c r="F781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82" ht="156" customHeight="1">
      <x:c r="A782" s="13" t="str">
        <x:v>QA-RGE-057</x:v>
      </x:c>
      <x:c r="B782" s="13" t="str">
        <x:v>Regímenes no habilitados desde Suscripciones</x:v>
      </x:c>
      <x:c r="C782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Canal Suscripciones habilitado enQA; payload factura ordinaria válida y fiscal_data.special_tax_regime_id=1.</x:v>
      </x:c>
      <x:c r="D782" s="13" t="str">
        <x:v>1. Crear control ordinario desde Suscripciones y registrar su escritor/ source_module real.
2. Forzar régimen 1 en request del canal sin suplantar WEB.
3. Comparar respuesta y conteos/stock/pagos; generar variante por escritor si el canal tiene varios.</x:v>
      </x:c>
      <x:c r="E782" s="13" t="str">
        <x:v>Rechazo de régimen fuera de Comprobantes web antes de commit. El control ordinario mantiene contrato del canal. Una validación fuente no sustituye HTTP/UI de la variante.
Control independiente: Comparar exactamente los valores y conteos definidos en el criterio. En rechazos: Δdocumentos, Δpagos, Δaplicaciones, Δstock y Δllamadas mutantes HKA = 0.</x:v>
      </x:c>
      <x:c r="F782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83" ht="156" customHeight="1">
      <x:c r="A783" s="13" t="str">
        <x:v>QA-RGE-058</x:v>
      </x:c>
      <x:c r="B783" s="13" t="str">
        <x:v>Regímenes no habilitados desde Restaurante</x:v>
      </x:c>
      <x:c r="C783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Canal Restaurante habilitado enQA; payload factura ordinaria válida y fiscal_data.special_tax_regime_id=1.</x:v>
      </x:c>
      <x:c r="D783" s="13" t="str">
        <x:v>1. Crear control ordinario desde Restaurante y registrar su escritor/ source_module real.
2. Forzar régimen 1 en request del canal sin suplantar WEB.
3. Comparar respuesta y conteos/stock/pagos; generar variante por escritor si el canal tiene varios.</x:v>
      </x:c>
      <x:c r="E783" s="13" t="str">
        <x:v>Rechazo de régimen fuera de Comprobantes web antes de commit. El control ordinario mantiene contrato del canal. Una validación fuente no sustituye HTTP/UI de la variante.
Control independiente: Comparar exactamente los valores y conteos definidos en el criterio. En rechazos: Δdocumentos, Δpagos, Δaplicaciones, Δstock y Δllamadas mutantes HKA = 0.</x:v>
      </x:c>
      <x:c r="F783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84" ht="156" customHeight="1">
      <x:c r="A784" s="13" t="str">
        <x:v>QA-RGE-059</x:v>
      </x:c>
      <x:c r="B784" s="13" t="str">
        <x:v>Regímenes no habilitados desde Importación/masiva</x:v>
      </x:c>
      <x:c r="C784" s="13" t="str">
        <x:v>QA-A digital/DEMO, U-ADMIN/U-VENTA autorizados, catálogo contractual activo 1..7; RIF comprador/emisor y tercero distintos, emisor no SPE para matriz monetaria. P-G 100+IVA 16, P-S100+IVA 16, P-E 50: total 282 en moneda nominal elegida, stock P-G/P-E 100; tasa 50.00000000 VES/USD. Contado pago real 282 y saldo 0; snapshot/control doble para integración simulada; variante Real DEMO propia si se dispone del entorno.
Canal Importación/masiva habilitado enQA; payload factura ordinaria válida y fiscal_data.special_tax_regime_id=1.</x:v>
      </x:c>
      <x:c r="D784" s="13" t="str">
        <x:v>1. Crear control ordinario desde Importación/masiva y registrar su escritor/ source_module real.
2. Forzar régimen 1 en request del canal sin suplantar WEB.
3. Comparar respuesta y conteos/stock/pagos; generar variante por escritor si el canal tiene varios.</x:v>
      </x:c>
      <x:c r="E784" s="13" t="str">
        <x:v>Rechazo de régimen fuera de Comprobantes web antes de commit. El control ordinario mantiene contrato del canal. Una validación fuente no sustituye HTTP/UI de la variante.
Control independiente: Comparar exactamente los valores y conteos definidos en el criterio. En rechazos: Δdocumentos, Δpagos, Δaplicaciones, Δstock y Δllamadas mutantes HKA = 0.</x:v>
      </x:c>
      <x:c r="F784" s="13" t="str">
        <x:v>Fuentes: app/Services/SpecialTaxRegimePolicy.php, app/Services/Fiscal/HkaDomesticInvoicePolicy.php, app/Services/Fiscal/HkaDomesticMoney.php, app/Services/Fiscal/HkaPayloadBuilder.php, tests/Unit/SpecialTaxRegimeTest.php, tests/js/special-tax-regime-ui.test.cjs, informes/facturas_regimenes_especiales_hka.md
Entrada: Comprobantes web → encabezado → Régimen especial; generar, editar, enviar explícitamente, detalle/ticket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85" ht="144" customHeight="1">
      <x:c r="A785" s="13" t="str">
        <x:v>QA-SPE-001</x:v>
      </x:c>
      <x:c r="B785" s="13" t="str">
        <x:v>Crear perfil de empresa</x:v>
      </x:c>
      <x:c r="C785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U-ADMIN; RIF perfil coincide empresa, actividad true.</x:v>
      </x:c>
      <x:c r="D785" s="13" t="str">
        <x:v>1. GET historial vacío.
2. POST perfil base completo con fecha 01/10/2026.
3. GET y recargar editor.</x:v>
      </x:c>
      <x:c r="E785" s="13" t="str">
        <x:v>Una versión autoritativa, actor/fecha/version_id; datos persistidos exactos y sin cambio de cédula o numeración.
Control independiente: Comparar exactamente los valores y conteos definidos en el criterio. En rechazos: Δdocumentos, Δpagos, Δaplicaciones, Δstock y Δllamadas mutantes HKA = 0.</x:v>
      </x:c>
      <x:c r="F785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86" ht="144" customHeight="1">
      <x:c r="A786" s="13" t="str">
        <x:v>QA-SPE-002</x:v>
      </x:c>
      <x:c r="B786" s="13" t="str">
        <x:v>Crear perfil de comprador con cédula separada</x:v>
      </x:c>
      <x:c r="C786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Cliente natural V cédula 12345678; RIF perfil V-12345678-0, firma personal true, SPE/notificación válidos.</x:v>
      </x:c>
      <x:c r="D786" s="13" t="str">
        <x:v>1. Registrar perfil fiscal.
2. Reabrir cliente y factura.
3. Comparar identidad doméstica con RIF snapshot.</x:v>
      </x:c>
      <x:c r="E786" s="13" t="str">
        <x:v>Cédula mantiene 12345678; RIF fiscal no sobrescribe número doméstico. Presentación distingue ambas identidades.
Control independiente: Comparar exactamente los valores y conteos definidos en el criterio. En rechazos: Δdocumentos, Δpagos, Δaplicaciones, Δstock y Δllamadas mutantes HKA = 0.</x:v>
      </x:c>
      <x:c r="F786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87" ht="144" customHeight="1">
      <x:c r="A787" s="13" t="str">
        <x:v>QA-SPE-003</x:v>
      </x:c>
      <x:c r="B787" s="13" t="str">
        <x:v>Historial y selección por vigencia</x:v>
      </x:c>
      <x:c r="C787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Versiones v1 desde 01/10 y v2 desde 10/10; campos IVA/ISLR distintos.</x:v>
      </x:c>
      <x:c r="D787" s="13" t="str">
        <x:v>1. Crear v1 y v2 con admin.
2. Evaluar 09/10, 10/10, 12/10 por variantes.
3. Comparar IDs y registros históricos.</x:v>
      </x:c>
      <x:c r="E787" s="13" t="str">
        <x:v>09/10→v1; 10/10 y 12/10→v2. Se resuelve effective_from y luego ID, no último JSON actual para cualquier fecha.
Control independiente: Comparar exactamente los valores y conteos definidos en el criterio. En rechazos: Δdocumentos, Δpagos, Δaplicaciones, Δstock y Δllamadas mutantes HKA = 0.</x:v>
      </x:c>
      <x:c r="F787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88" ht="144" customHeight="1">
      <x:c r="A788" s="13" t="str">
        <x:v>QA-SPE-004</x:v>
      </x:c>
      <x:c r="B788" s="13" t="str">
        <x:v>Empate de fecha entre versiones</x:v>
      </x:c>
      <x:c r="C788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Dos versiones con igual effective_from 10/10, IDs ordenados.</x:v>
      </x:c>
      <x:c r="D788" s="13" t="str">
        <x:v>1. Registrar ambas versiones válidas.
2. Evaluar 10/10.
3. Leer historial.</x:v>
      </x:c>
      <x:c r="E788" s="13" t="str">
        <x:v>Selecciona ID mayor a igualdad de fecha; historial permanece íntegro.
Control independiente: Comparar exactamente los valores y conteos definidos en el criterio. En rechazos: Δdocumentos, Δpagos, Δaplicaciones, Δstock y Δllamadas mutantes HKA = 0.</x:v>
      </x:c>
      <x:c r="F788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89" ht="144" customHeight="1">
      <x:c r="A789" s="13" t="str">
        <x:v>QA-SPE-005</x:v>
      </x:c>
      <x:c r="B789" s="13" t="str">
        <x:v>Sin versión vigente</x:v>
      </x:c>
      <x:c r="C789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Primera versión desde 13/10; factura/pago 12/10.</x:v>
      </x:c>
      <x:c r="D789" s="13" t="str">
        <x:v>1. GET/evaluar 12/10.
2. Crear documento antes de vigencia.
3. Comparar propuesta y snapshot.</x:v>
      </x:c>
      <x:c r="E789" s="13" t="str">
        <x:v>No inventar SPE ni facultades para fecha sin perfil vigente; decisiones se limitan a datos disponibles.
Control independiente: Comparar exactamente los valores y conteos definidos en el criterio. En rechazos: Δdocumentos, Δpagos, Δaplicaciones, Δstock y Δllamadas mutantes HKA = 0.</x:v>
      </x:c>
      <x:c r="F789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90" ht="144" customHeight="1">
      <x:c r="A790" s="13" t="str">
        <x:v>QA-SPE-006</x:v>
      </x:c>
      <x:c r="B790" s="13" t="str">
        <x:v>Fin de vigencia inclusive</x:v>
      </x:c>
      <x:c r="C790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desde 01/10 hasta 12/10.</x:v>
      </x:c>
      <x:c r="D790" s="13" t="str">
        <x:v>1. Evaluar 11/10, 12/10, 13/10 en variantes.
2. Consultar versión y decisión.
3. Comparar frontera exacta.</x:v>
      </x:c>
      <x:c r="E790" s="13" t="str">
        <x:v>Activo 11 y 12, inactivo 13; effective_until inclusive. Cero mutación de factura histórica.
Control independiente: Comparar exactamente los valores y conteos definidos en el criterio. En rechazos: Δdocumentos, Δpagos, Δaplicaciones, Δstock y Δllamadas mutantes HKA = 0.</x:v>
      </x:c>
      <x:c r="F790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91" ht="144" customHeight="1">
      <x:c r="A791" s="13" t="str">
        <x:v>QA-SPE-007</x:v>
      </x:c>
      <x:c r="B791" s="13" t="str">
        <x:v>Revocación SPE desde fecha</x:v>
      </x:c>
      <x:c r="C791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SPE v1 revoked_at =12/10; ISLR independiente true.</x:v>
      </x:c>
      <x:c r="D791" s="13" t="str">
        <x:v>1. Evaluar SPE 11/10 y 12/10.
2. Evaluar facultad ISLR mismas fechas.
3. Consultar histórico invoice 11/10.</x:v>
      </x:c>
      <x:c r="E791" s="13" t="str">
        <x:v>SPE 11 true y 12 false; revocación no borra facultad ISLR independiente vigente ni histórico.
Control independiente: Comparar exactamente los valores y conteos definidos en el criterio. En rechazos: Δdocumentos, Δpagos, Δaplicaciones, Δstock y Δllamadas mutantes HKA = 0.</x:v>
      </x:c>
      <x:c r="F791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92" ht="144" customHeight="1">
      <x:c r="A792" s="13" t="str">
        <x:v>QA-SPE-008</x:v>
      </x:c>
      <x:c r="B792" s="13" t="str">
        <x:v>SPE sin notificación suficiente</x:v>
      </x:c>
      <x:c r="C792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Variantes referencia vacía, fecha omitida, notificación 13/10&gt;vigencia 12/10.</x:v>
      </x:c>
      <x:c r="D792" s="13" t="str">
        <x:v>1. Intentar guardar cada variante.
2. Capturar validación.
3. GET conteo versiones.</x:v>
      </x:c>
      <x:c r="E792" s="13" t="str">
        <x:v>Rechazo sin nueva versión; SPE requiere referencia y fecha≤ effective_from.
Control independiente: Comparar exactamente los valores y conteos definidos en el criterio. En rechazos: Δdocumentos, Δpagos, Δaplicaciones, Δstock y Δllamadas mutantes HKA = 0.</x:v>
      </x:c>
      <x:c r="F792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93" ht="144" customHeight="1">
      <x:c r="A793" s="13" t="str">
        <x:v>QA-SPE-009</x:v>
      </x:c>
      <x:c r="B793" s="13" t="str">
        <x:v>Vigencia inválida</x:v>
      </x:c>
      <x:c r="C793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 effective_until / revoked_at anteriores a effective_from, fecha formato inválido.</x:v>
      </x:c>
      <x:c r="D793" s="13" t="str">
        <x:v>1. POST cada variante por separado.
2. Conservar respuesta.
3. Verificar historial/pagos.</x:v>
      </x:c>
      <x:c r="E793" s="13" t="str">
        <x:v>Validación de fechas antes de versión y sin reclasificar documentos anteriores.
Control independiente: Comparar exactamente los valores y conteos definidos en el criterio. En rechazos: Δdocumentos, Δpagos, Δaplicaciones, Δstock y Δllamadas mutantes HKA = 0.</x:v>
      </x:c>
      <x:c r="F793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94" ht="144" customHeight="1">
      <x:c r="A794" s="13" t="str">
        <x:v>QA-SPE-010</x:v>
      </x:c>
      <x:c r="B794" s="13" t="str">
        <x:v>RIF formato y naturaleza</x:v>
      </x:c>
      <x:c r="C794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Prefijo/número longitud/separadores inválidos; legal con V y natural con J.</x:v>
      </x:c>
      <x:c r="D794" s="13" t="str">
        <x:v>1. POST cada entrada como variante.
2. Capturar campo error.
3. Comparar perfil anterior.</x:v>
      </x:c>
      <x:c r="E794" s="13" t="str">
        <x:v>Formato/prefijo concordante obligatorio. No realizar consulta oficial ni afirmar checksum/SENIAT validado.
Control independiente: Comparar exactamente los valores y conteos definidos en el criterio. En rechazos: Δdocumentos, Δpagos, Δaplicaciones, Δstock y Δllamadas mutantes HKA = 0.</x:v>
      </x:c>
      <x:c r="F794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95" ht="144" customHeight="1">
      <x:c r="A795" s="13" t="str">
        <x:v>QA-SPE-011</x:v>
      </x:c>
      <x:c r="B795" s="13" t="str">
        <x:v>Firma personal sólo natural</x:v>
      </x:c>
      <x:c r="C795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legal/public con personal_firm =true.</x:v>
      </x:c>
      <x:c r="D795" s="13" t="str">
        <x:v>1. Intentar cada naturaleza inválida.
2. Control natural confirma true.
3. Comparar historial.</x:v>
      </x:c>
      <x:c r="E795" s="13" t="str">
        <x:v>Legal/public true rechazado; natural firma true válido conforme otros campos.
Control independiente: Comparar exactamente los valores y conteos definidos en el criterio. En rechazos: Δdocumentos, Δpagos, Δaplicaciones, Δstock y Δllamadas mutantes HKA = 0.</x:v>
      </x:c>
      <x:c r="F795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96" ht="144" customHeight="1">
      <x:c r="A796" s="13" t="str">
        <x:v>QA-SPE-012</x:v>
      </x:c>
      <x:c r="B796" s="13" t="str">
        <x:v>Clase pública requerida y exclusiva</x:v>
      </x:c>
      <x:c r="C796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Nature public sin public_kind; legal con public_kind national.</x:v>
      </x:c>
      <x:c r="D796" s="13" t="str">
        <x:v>1. Probar ambos rechazos.
2. Control public national.
3. Consultar perfil.</x:v>
      </x:c>
      <x:c r="E796" s="13" t="str">
        <x:v>Clase obligatoria sólo naturaleza pública; no asignar público a jurídica por SPE.
Control independiente: Comparar exactamente los valores y conteos definidos en el criterio. En rechazos: Δdocumentos, Δpagos, Δaplicaciones, Δstock y Δllamadas mutantes HKA = 0.</x:v>
      </x:c>
      <x:c r="F796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97" ht="144" customHeight="1">
      <x:c r="A797" s="13" t="str">
        <x:v>QA-SPE-013</x:v>
      </x:c>
      <x:c r="B797" s="13" t="str">
        <x:v>Emisor RIF y actividad</x:v>
      </x:c>
      <x:c r="C797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empresa RIF distinto de empresa; commercial_activity =false.</x:v>
      </x:c>
      <x:c r="D797" s="13" t="str">
        <x:v>1. Intentar cada variante admin.
2. Capturar respuesta.
3. GET perfil y empresa.</x:v>
      </x:c>
      <x:c r="E797" s="13" t="str">
        <x:v>Perfil de empresa exige RIF correspondiente y actividad comercial; rollback no cambia empresa.
Control independiente: Comparar exactamente los valores y conteos definidos en el criterio. En rechazos: Δdocumentos, Δpagos, Δaplicaciones, Δstock y Δllamadas mutantes HKA = 0.</x:v>
      </x:c>
      <x:c r="F797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98" ht="144" customHeight="1">
      <x:c r="A798" s="13" t="str">
        <x:v>QA-SPE-014</x:v>
      </x:c>
      <x:c r="B798" s="13" t="str">
        <x:v>Proveedor fuera del endpoint</x:v>
      </x:c>
      <x:c r="C798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kind=supplier o ID de proveedor sobre kind customer.</x:v>
      </x:c>
      <x:c r="D798" s="13" t="str">
        <x:v>1. GET/POST kind no admitido y cliente inexistente.
2. Control cliente legítimo.
3. Verificar cero versiones ajenas.</x:v>
      </x:c>
      <x:c r="E798" s="13" t="str">
        <x:v>Sólo company/customer del tenant y tipo permitido; no crear perfil proveedor por ID conocido.
Control independiente: Comparar exactamente los valores y conteos definidos en el criterio. En rechazos: Δdocumentos, Δpagos, Δaplicaciones, Δstock y Δllamadas mutantes HKA = 0.</x:v>
      </x:c>
      <x:c r="F798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799" ht="144" customHeight="1">
      <x:c r="A799" s="13" t="str">
        <x:v>QA-SPE-015</x:v>
      </x:c>
      <x:c r="B799" s="13" t="str">
        <x:v>Editor fiscal sólo administrador</x:v>
      </x:c>
      <x:c r="C799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U-VENTA yU-SINPERMISO; perfil visible con can_edit =false.</x:v>
      </x:c>
      <x:c r="D799" s="13" t="str">
        <x:v>1. GET perfil con roles permitidos lectura.
2. Intentar POST/evaluación con rol sin facultad según endpoint.
3. Control admin y verificar cero escritura no autorizada.</x:v>
      </x:c>
      <x:c r="E799" s="13" t="str">
        <x:v> can_edit y autorización backend coherentes; POST no administrador rechazado sin nueva versión.
Control independiente: Comparar exactamente los valores y conteos definidos en el criterio. En rechazos: Δdocumentos, Δpagos, Δaplicaciones, Δstock y Δllamadas mutantes HKA = 0.</x:v>
      </x:c>
      <x:c r="F799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00" ht="144" customHeight="1">
      <x:c r="A800" s="13" t="str">
        <x:v>QA-SPE-016</x:v>
      </x:c>
      <x:c r="B800" s="13" t="str">
        <x:v>Ruta general no escribe perfil</x:v>
      </x:c>
      <x:c r="C800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PUT cliente/empresa contienefiscal_profile/versions adulterados.</x:v>
      </x:c>
      <x:c r="D800" s="13" t="str">
        <x:v>1. Enviar campos por rutas generales de guardado.
2. Comparar historial.
3. Guardar por endpoint fiscal admin de control.</x:v>
      </x:c>
      <x:c r="E800" s="13" t="str">
        <x:v>Escritura directa por formulario general prohibida; sólo servicio fiscal versionado bajo autorización.
Control independiente: Comparar exactamente los valores y conteos definidos en el criterio. En rechazos: Δdocumentos, Δpagos, Δaplicaciones, Δstock y Δllamadas mutantes HKA = 0.</x:v>
      </x:c>
      <x:c r="F800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01" ht="144" customHeight="1">
      <x:c r="A801" s="13" t="str">
        <x:v>QA-SPE-017</x:v>
      </x:c>
      <x:c r="B801" s="13" t="str">
        <x:v>Sin tabla de versiones</x:v>
      </x:c>
      <x:c r="C801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Entorno QA legacy/doble esquema sin tabla fiscal_profile_versions.</x:v>
      </x:c>
      <x:c r="D801" s="13" t="str">
        <x:v>1. GET perfil de empresa/cliente.
2. Consultar can_edit.
3. Intentar creación según contrato y capturar diagnóstico.</x:v>
      </x:c>
      <x:c r="E801" s="13" t="str">
        <x:v>Lectura entrega perfil vacío/ can_edit false sin inventar seed; no certificar SPE desde un campo antiguo.
Control independiente: Comparar exactamente los valores y conteos definidos en el criterio. En rechazos: Δdocumentos, Δpagos, Δaplicaciones, Δstock y Δllamadas mutantes HKA = 0.</x:v>
      </x:c>
      <x:c r="F801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02" ht="144" customHeight="1">
      <x:c r="A802" s="13" t="str">
        <x:v>QA-SPE-018</x:v>
      </x:c>
      <x:c r="B802" s="13" t="str">
        <x:v>Facultades IVA e ISLR independientes</x:v>
      </x:c>
      <x:c r="C802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Cuatro perfiles: ninguno, sólo IVA, sólo ISLR, ambos; bases independientes.</x:v>
      </x:c>
      <x:c r="D802" s="13" t="str">
        <x:v>1. Evaluar propuestas IVA 12 e ISLR 3 para cada variante.
2. Comparar eligible/islr_eligible.
3. Guardar factura snapshot.</x:v>
      </x:c>
      <x:c r="E802" s="13" t="str">
        <x:v>Ninguno→false/false; sólo IVA→true/false; sólo ISLR→false/true; ambos→true/true. SPE solo no asigna ISLR ni porcentajes.
Control independiente: Comparar exactamente los valores y conteos definidos en el criterio. En rechazos: Δdocumentos, Δpagos, Δaplicaciones, Δstock y Δllamadas mutantes HKA = 0.</x:v>
      </x:c>
      <x:c r="F802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03" ht="144" customHeight="1">
      <x:c r="A803" s="13" t="str">
        <x:v>QA-SPE-019</x:v>
      </x:c>
      <x:c r="B803" s="13" t="str">
        <x:v>ISLR necesita fundamento independiente</x:v>
      </x:c>
      <x:c r="C803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 islr_agent =true; islr_basis vacío.</x:v>
      </x:c>
      <x:c r="D803" s="13" t="str">
        <x:v>1. POST perfil sin base.
2. Control con QA-ISLR-LEGAL.
3. Consultar snapshot.</x:v>
      </x:c>
      <x:c r="E803" s="13" t="str">
        <x:v>Sin fundamento rechaza; con base persiste sin derivarlo de SPE o IVA.
Control independiente: Comparar exactamente los valores y conteos definidos en el criterio. En rechazos: Δdocumentos, Δpagos, Δaplicaciones, Δstock y Δllamadas mutantes HKA = 0.</x:v>
      </x:c>
      <x:c r="F803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04" ht="144" customHeight="1">
      <x:c r="A804" s="13" t="str">
        <x:v>QA-SPE-020</x:v>
      </x:c>
      <x:c r="B804" s="13" t="str">
        <x:v>Agente IVA general inválido</x:v>
      </x:c>
      <x:c r="C804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Natural sin firma personal o ente público específico con SNAT/2025/000054.</x:v>
      </x:c>
      <x:c r="D804" s="13" t="str">
        <x:v>1. Probar cada perfil independiente.
2. Control jurídico SPE válido.
3. Revisar diagnóstico.</x:v>
      </x:c>
      <x:c r="E804" s="13" t="str">
        <x:v>General no habilita estas naturalezas; público específico usa su fundamento propio cuando corresponde.
Control independiente: Comparar exactamente los valores y conteos definidos en el criterio. En rechazos: Δdocumentos, Δpagos, Δaplicaciones, Δstock y Δllamadas mutantes HKA = 0.</x:v>
      </x:c>
      <x:c r="F804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05" ht="144" customHeight="1">
      <x:c r="A805" s="13" t="str">
        <x:v>QA-SPE-021</x:v>
      </x:c>
      <x:c r="B805" s="13" t="str">
        <x:v>Agente público sin evidencia</x:v>
      </x:c>
      <x:c r="C805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Public national, SNAT/2013/0029 sin evidence_reference.</x:v>
      </x:c>
      <x:c r="D805" s="13" t="str">
        <x:v>1. Guardar sin referencia.
2. Control con QA-PUBLIC-REF.
3. Evaluar con/sinpublic_scope.</x:v>
      </x:c>
      <x:c r="E805" s="13" t="str">
        <x:v>Sin referencia no registra facultad; adquirir elegibilidad exige también contexto operación sujeto y public_scope_reference.
Control independiente: Comparar exactamente los valores y conteos definidos en el criterio. En rechazos: Δdocumentos, Δpagos, Δaplicaciones, Δstock y Δllamadas mutantes HKA = 0.</x:v>
      </x:c>
      <x:c r="F805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06" ht="144" customHeight="1">
      <x:c r="A806" s="13" t="str">
        <x:v>QA-SPE-022</x:v>
      </x:c>
      <x:c r="B806" s="13" t="str">
        <x:v>Perfil IVA 100 sin sustento</x:v>
      </x:c>
      <x:c r="C806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iva_retention_rate 100, base o evidencia ausente.</x:v>
      </x:c>
      <x:c r="D806" s="13" t="str">
        <x:v>1. Probar fundamento omitido y evidencia omitida.
2. Controlportal_100+QA-PORTAL.
3. Comparar historial.</x:v>
      </x:c>
      <x:c r="E806" s="13" t="str">
        <x:v>100 requiere fundamento válido y evidencia; sin ellos no escribir perfil ni inferir porcentaje 100.
Control independiente: Comparar exactamente los valores y conteos definidos en el criterio. En rechazos: Δdocumentos, Δpagos, Δaplicaciones, Δstock y Δllamadas mutantes HKA = 0.</x:v>
      </x:c>
      <x:c r="F806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07" ht="144" customHeight="1">
      <x:c r="A807" s="13" t="str">
        <x:v>QA-SPE-023</x:v>
      </x:c>
      <x:c r="B807" s="13" t="str">
        <x:v>Snapshot factura por emisión</x:v>
      </x:c>
      <x:c r="C807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Factura fecha 09/10, v2 creada 10/10; emitir con fecha 09.</x:v>
      </x:c>
      <x:c r="D807" s="13" t="str">
        <x:v>1. Guardar con fecha 09.
2. Leer issuer/customer.fiscal_profile.version_id.
3. Crear v3 posterior y reconsultar.</x:v>
      </x:c>
      <x:c r="E807" s="13" t="str">
        <x:v>Factura 9 conserva v1 para emisor/comprador; nueva versión no reescribe histórico.
Control independiente: Comparar exactamente los valores y conteos definidos en el criterio. En rechazos: Δdocumentos, Δpagos, Δaplicaciones, Δstock y Δllamadas mutantes HKA = 0.</x:v>
      </x:c>
      <x:c r="F807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08" ht="144" customHeight="1">
      <x:c r="A808" s="13" t="str">
        <x:v>QA-SPE-024</x:v>
      </x:c>
      <x:c r="B808" s="13" t="str">
        <x:v>Snapshot pago y comprobante por sus fechas</x:v>
      </x:c>
      <x:c r="C808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Factura fecha 09/10 perfil v1; pago/comprobante 12/10 perfil v2.</x:v>
      </x:c>
      <x:c r="D808" s="13" t="str">
        <x:v>1. Registrar cobro legítimo 12/10 y comprobante válido.
2. Consultar snapshots de ambos.
3. Comparar factura original.</x:v>
      </x:c>
      <x:c r="E808" s="13" t="str">
        <x:v>Operaciones usan perfil vigente a sus fechas propias; factura conserva perfil v1. Sin recalcular cobros históricos.
Control independiente: Comparar exactamente los valores y conteos definidos en el criterio. En rechazos: Δdocumentos, Δpagos, Δaplicaciones, Δstock y Δllamadas mutantes HKA = 0.</x:v>
      </x:c>
      <x:c r="F808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09" ht="144" customHeight="1">
      <x:c r="A809" s="13" t="str">
        <x:v>QA-SPE-025</x:v>
      </x:c>
      <x:c r="B809" s="13" t="str">
        <x:v>Edición comprador mantiene fecha fiscal</x:v>
      </x:c>
      <x:c r="C809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Factura 09/10 sin control; snapshot v1; v2 actual.</x:v>
      </x:c>
      <x:c r="D809" s="13" t="str">
        <x:v>1. Editar comprador autorizadamente sin cambiar fecha emisión.
2. Guardar y recargar.
3. Comparar versiones de ambas entidades.</x:v>
      </x:c>
      <x:c r="E809" s="13" t="str">
        <x:v>Comprador renovado a versión aplicable 09/10, no perfil 12/10; emisor preservado.
Control independiente: Comparar exactamente los valores y conteos definidos en el criterio. En rechazos: Δdocumentos, Δpagos, Δaplicaciones, Δstock y Δllamadas mutantes HKA = 0.</x:v>
      </x:c>
      <x:c r="F809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10" ht="144" customHeight="1">
      <x:c r="A810" s="13" t="str">
        <x:v>QA-SPE-026</x:v>
      </x:c>
      <x:c r="B810" s="13" t="str">
        <x:v>Leyenda SPE en payload y ticket</x:v>
      </x:c>
      <x:c r="C810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Emisor/Comprador SPE vigentes como variantes individuales yambos.</x:v>
      </x:c>
      <x:c r="D810" s="13" t="str">
        <x:v>1. Preparar factura.
2. Revisar infoAdicional y ticket.
3. Comparar original HKA por hash si hubo Real DEMO.</x:v>
      </x:c>
      <x:c r="E810" s="13" t="str">
        <x:v>campo Condición fiscal Emisor/Comprador valorSujetoPasivoEspecial según snapshot; no usar régimen especial ni tipoProveedor. Original puede omitir leyendas; conservar hash y reportar límite.
Control independiente: Comparar exactamente los valores y conteos definidos en el criterio. En rechazos: Δdocumentos, Δpagos, Δaplicaciones, Δstock y Δllamadas mutantes HKA = 0.</x:v>
      </x:c>
      <x:c r="F810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11" ht="144" customHeight="1">
      <x:c r="A811" s="13" t="str">
        <x:v>QA-SPE-027</x:v>
      </x:c>
      <x:c r="B811" s="13" t="str">
        <x:v>ND no hereda perfil doméstico indebido</x:v>
      </x:c>
      <x:c r="C811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ND manual o IGTF posterior local derivada de Factura SPE.</x:v>
      </x:c>
      <x:c r="D811" s="13" t="str">
        <x:v>1. Generar nota según contrato local.
2. Revisar snapshot/payload y referencia.
3. Comparar factura afectada.</x:v>
      </x:c>
      <x:c r="E811" s="13" t="str">
        <x:v>Nota limpia perfil doméstico conforme contrato, conserva relación; no acredita emisión remota ni homologación SPE.
Control independiente: Comparar exactamente los valores y conteos definidos en el criterio. En rechazos: Δdocumentos, Δpagos, Δaplicaciones, Δstock y Δllamadas mutantes HKA = 0.</x:v>
      </x:c>
      <x:c r="F811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12" ht="144" customHeight="1">
      <x:c r="A812" s="13" t="str">
        <x:v>QA-SPE-028</x:v>
      </x:c>
      <x:c r="B812" s="13" t="str">
        <x:v>Excepción administrativa IGTF</x:v>
      </x:c>
      <x:c r="C812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Admin emisor SPE, 100 USD none, tasa 3; exempt motivo QA y fundamento QA-EX.</x:v>
      </x:c>
      <x:c r="D812" s="13" t="str">
        <x:v>1. Registrar excepción completa.
2. Comparar impuesto y authorized_by.
3. Reabrir pago y reportes.</x:v>
      </x:c>
      <x:c r="E812" s="13" t="str">
        <x:v>Impuesto 0, recepción 100; motivo/base/actor inmutables y diferenciados de not_applicable.
Control independiente: Comparar exactamente los valores y conteos definidos en el criterio. En rechazos: Δdocumentos, Δpagos, Δaplicaciones, Δstock y Δllamadas mutantes HKA = 0.</x:v>
      </x:c>
      <x:c r="F812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13" ht="144" customHeight="1">
      <x:c r="A813" s="13" t="str">
        <x:v>QA-SPE-029</x:v>
      </x:c>
      <x:c r="B813" s="13" t="str">
        <x:v>Excepción IGTF incompleta o vendedor</x:v>
      </x:c>
      <x:c r="C813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Exempt sin motivo/sin base/no admin como 3 variantes.</x:v>
      </x:c>
      <x:c r="D813" s="13" t="str">
        <x:v>1. Intentar cada cobro.
2. Capturar 422/403 según falla.
3. Medir saldo/caja/recibos.</x:v>
      </x:c>
      <x:c r="E813" s="13" t="str">
        <x:v>Cada rechazo sin cobro parcial; no basta ocultar opción enUI.
Control independiente: Comparar exactamente los valores y conteos definidos en el criterio. En rechazos: Δdocumentos, Δpagos, Δaplicaciones, Δstock y Δllamadas mutantes HKA = 0.</x:v>
      </x:c>
      <x:c r="F813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14" ht="144" customHeight="1">
      <x:c r="A814" s="13" t="str">
        <x:v>QA-SPE-030</x:v>
      </x:c>
      <x:c r="B814" s="13" t="str">
        <x:v>Clasificación IGTF adulterada</x:v>
      </x:c>
      <x:c r="C814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SPE/USD/noneconnot_applicable; emisor ordinario/VES con subject.</x:v>
      </x:c>
      <x:c r="D814" s="13" t="str">
        <x:v>1. Forzar cada clasificación.
2. Control sin clasificación adversaria.
3. Comparar resultado/snapshots.</x:v>
      </x:c>
      <x:c r="E814" s="13" t="str">
        <x:v>Cliente no elige clasificación contradictoria; servidor decide por hechos fechados.
Control independiente: Comparar exactamente los valores y conteos definidos en el criterio. En rechazos: Δdocumentos, Δpagos, Δaplicaciones, Δstock y Δllamadas mutantes HKA = 0.</x:v>
      </x:c>
      <x:c r="F814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15" ht="144" customHeight="1">
      <x:c r="A815" s="13" t="str">
        <x:v>QA-SPE-031</x:v>
      </x:c>
      <x:c r="B815" s="13" t="str">
        <x:v>UUID de pago y contexto fiscal</x:v>
      </x:c>
      <x:c r="C815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Pago 100 USD none fecha 12/10 UUIDK, emisor SPE.</x:v>
      </x:c>
      <x:c r="D815" s="13" t="str">
        <x:v>1. Repetir mismos datos K.
2. Cambiar fecha/intermediación/fundamento/importe por variantes conK.
3. Consultar caja y snapshot original.</x:v>
      </x:c>
      <x:c r="E815" s="13" t="str">
        <x:v>Replay idéntico estable; reutilización con otro contexto rechazada. Una recepción 103 y un IGTF 3; nuevos perfiles no reevalúan pago K.
Control independiente: Comparar exactamente los valores y conteos definidos en el criterio. En rechazos: Δdocumentos, Δpagos, Δaplicaciones, Δstock y Δllamadas mutantes HKA = 0.</x:v>
      </x:c>
      <x:c r="F815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16" ht="144" customHeight="1">
      <x:c r="A816" s="13" t="str">
        <x:v>QA-SPE-032</x:v>
      </x:c>
      <x:c r="B816" s="13" t="str">
        <x:v>IGTF deshabilitado con cobro sujeto</x:v>
      </x:c>
      <x:c r="C816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SPE/USD/none; IGTF disabled o tasa 0 como 2 variantes.</x:v>
      </x:c>
      <x:c r="D816" s="13" t="str">
        <x:v>1. Intentar cobro sujeto 100.
2. Capturar diagnóstico.
3. Control habilitado tasa 3.</x:v>
      </x:c>
      <x:c r="E816" s="13" t="str">
        <x:v>Sujeto requiere configuración válida; no cobrar sólo principal para ocultar impuesto requerido.
Control independiente: Comparar exactamente los valores y conteos definidos en el criterio. En rechazos: Δdocumentos, Δpagos, Δaplicaciones, Δstock y Δllamadas mutantes HKA = 0.</x:v>
      </x:c>
      <x:c r="F816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17" ht="144" customHeight="1">
      <x:c r="A817" s="13" t="str">
        <x:v>QA-SPE-033</x:v>
      </x:c>
      <x:c r="B817" s="13" t="str">
        <x:v>Aislamiento de perfiles</x:v>
      </x:c>
      <x:c r="C817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QA-A/QA-B con mismo ID local y RIF diferentes; S1/S2 y roles.</x:v>
      </x:c>
      <x:c r="D817" s="13" t="str">
        <x:v>1. Leer/escribir por otro tenant/sucursal en variantes.
2. Control legítimo.
3. Comparar historial de cada entidad.</x:v>
      </x:c>
      <x:c r="E817" s="13" t="str">
        <x:v>Tenantaislado: cero lecturas/escrituras o caché de otro tenant. Cliente/perfil compartidos del mismo tenant no tienen una prohibición inventada de lectura por sucursal: verificar middleware/permisos efectivos. Escritura de versiones sólo admin; operaciones de factura/pagos/retenciones sí exigen scope de sucursal autorizado.
Control independiente: Comparar exactamente los valores y conteos definidos en el criterio. En rechazos: Δdocumentos, Δpagos, Δaplicaciones, Δstock y Δllamadas mutantes HKA = 0.</x:v>
      </x:c>
      <x:c r="F817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18" ht="144" customHeight="1">
      <x:c r="A818" s="13" t="str">
        <x:v>QA-SPE-034</x:v>
      </x:c>
      <x:c r="B818" s="13" t="str">
        <x:v>Concurrencia de versiones y pago</x:v>
      </x:c>
      <x:c r="C818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Dos admin actualizan misma entidad mientras vendedor registra pago.</x:v>
      </x:c>
      <x:c r="D818" s="13" t="str">
        <x:v>1. Sincronizar dos peticiones y guardar respuestas.
2. Registrar qué versión vigente se congeló.
3. Comparar historial y una aplicación de pago.</x:v>
      </x:c>
      <x:c r="E818" s="13" t="str">
        <x:v>Bloqueo empresa→entidad previene mezcla de campos; cada versión completa y pago snapshot coherente sin duplicación.
Control independiente: Comparar exactamente los valores y conteos definidos en el criterio. En rechazos: Δdocumentos, Δpagos, Δaplicaciones, Δstock y Δllamadas mutantes HKA = 0.</x:v>
      </x:c>
      <x:c r="F818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19" ht="144" customHeight="1">
      <x:c r="A819" s="13" t="str">
        <x:v>QA-SPE-035</x:v>
      </x:c>
      <x:c r="B819" s="13" t="str">
        <x:v>Evidencia DEMO con emisor formal</x:v>
      </x:c>
      <x:c r="C819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Cuenta HKA disponible identificada FORMAL; compradores SPE.</x:v>
      </x:c>
      <x:c r="D819" s="13" t="str">
        <x:v>1. Inventariar perfil real cuenta DEMO sin secretos.
2. Ejecutar sólo aceptaciones permitidas.
3. Separar evidencia mock emisor SPE.</x:v>
      </x:c>
      <x:c r="E819" s="13" t="str">
        <x:v>Aceptación comprador SPE no acredita emisor SPE, retención neta ni notas. Anotar limitación; casos remotos no disponibles quedan Bloqueada.
Control independiente: Comparar exactamente los valores y conteos definidos en el criterio. En rechazos: Δdocumentos, Δpagos, Δaplicaciones, Δstock y Δllamadas mutantes HKA = 0.</x:v>
      </x:c>
      <x:c r="F819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20" ht="144" customHeight="1">
      <x:c r="A820" s="13" t="str">
        <x:v>QA-SPE-036</x:v>
      </x:c>
      <x:c r="B820" s="13" t="str">
        <x:v>Naturaleza natural, firma false, clase ninguna</x:v>
      </x:c>
      <x:c r="C820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comprador RIFV-87654321-0, nature=natural, personal_firm =false, public_kind =null; SPE notificado vigente; iva_agent_basis =none, islr_agent =false. Contexto público subject+QA-PRESUPUESTO cuando aplica.</x:v>
      </x:c>
      <x:c r="D820" s="13" t="str">
        <x:v>1. Crear versión completa desde editor admin; verificar todos los selectores.
2. Evaluar facultad IVA para emisor ordinary y base 100/IVA 16 a fecha 12/10.
3. Crear factura y comparar snapshot/leyenda; recargar historial.</x:v>
      </x:c>
      <x:c r="E820" s="13" t="str">
        <x:v>Naturaleza/firma clase persisten exactas. Facultad IVA no elegible según fundamento none; ISLR no elegible. Ninguna naturaleza se convierte automáticamente en otra.
Control independiente: SPE no equivale a facultad IVA/ISLR. Si eligible:16×75/100=12; previsión no reduce saldo 116.</x:v>
      </x:c>
      <x:c r="F820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21" ht="156" customHeight="1">
      <x:c r="A821" s="13" t="str">
        <x:v>QA-SPE-037</x:v>
      </x:c>
      <x:c r="B821" s="13" t="str">
        <x:v>Naturaleza natural, firma true, clase ninguna</x:v>
      </x:c>
      <x:c r="C821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comprador RIFV-87654321-0, nature=natural, personal_firm =true, public_kind =null; SPE notificado vigente; iva_agent_basis =SNAT/2025/000054, islr_agent =false. Contexto público subject+QA-PRESUPUESTO cuando aplica.</x:v>
      </x:c>
      <x:c r="D821" s="13" t="str">
        <x:v>1. Crear versión completa desde editor admin; verificar todos los selectores.
2. Evaluar facultad IVA para emisor ordinary y base 100/IVA 16 a fecha 12/10.
3. Crear factura y comparar snapshot/leyenda; recargar historial.</x:v>
      </x:c>
      <x:c r="E821" s="13" t="str">
        <x:v>Naturaleza/firma clase persisten exactas. Facultad IVA elegible 75 %=12 según fundamento SNAT/2025/000054; ISLR no elegible. Ninguna naturaleza se convierte automáticamente en otra.
Control independiente: SPE no equivale a facultad IVA/ISLR. Si eligible:16×75/100=12; previsión no reduce saldo 116.</x:v>
      </x:c>
      <x:c r="F821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22" ht="156" customHeight="1">
      <x:c r="A822" s="13" t="str">
        <x:v>QA-SPE-038</x:v>
      </x:c>
      <x:c r="B822" s="13" t="str">
        <x:v>Naturaleza legal, firma false, clase ninguna</x:v>
      </x:c>
      <x:c r="C822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comprador RIFJ-87654321-0, nature=legal, personal_firm =false, public_kind =null; SPE notificado vigente; iva_agent_basis =SNAT/2025/000054, islr_agent =false. Contexto público subject+QA-PRESUPUESTO cuando aplica.</x:v>
      </x:c>
      <x:c r="D822" s="13" t="str">
        <x:v>1. Crear versión completa desde editor admin; verificar todos los selectores.
2. Evaluar facultad IVA para emisor ordinary y base 100/IVA 16 a fecha 12/10.
3. Crear factura y comparar snapshot/leyenda; recargar historial.</x:v>
      </x:c>
      <x:c r="E822" s="13" t="str">
        <x:v>Naturaleza/firma clase persisten exactas. Facultad IVA elegible 75 %=12 según fundamento SNAT/2025/000054; ISLR no elegible. Ninguna naturaleza se convierte automáticamente en otra.
Control independiente: SPE no equivale a facultad IVA/ISLR. Si eligible:16×75/100=12; previsión no reduce saldo 116.</x:v>
      </x:c>
      <x:c r="F822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23" ht="156" customHeight="1">
      <x:c r="A823" s="13" t="str">
        <x:v>QA-SPE-039</x:v>
      </x:c>
      <x:c r="B823" s="13" t="str">
        <x:v>Naturaleza public, firma false, clase national</x:v>
      </x:c>
      <x:c r="C823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comprador RIFG-87654321-0, nature=public, personal_firm =false, public_kind =national; SPE notificado vigente; iva_agent_basis =SNAT/2013/0029, islr_agent =false. Contexto público subject+QA-PRESUPUESTO cuando aplica.</x:v>
      </x:c>
      <x:c r="D823" s="13" t="str">
        <x:v>1. Crear versión completa desde editor admin; verificar todos los selectores.
2. Evaluar facultad IVA para emisor ordinary y base 100/IVA 16 a fecha 12/10.
3. Crear factura y comparar snapshot/leyenda; recargar historial.</x:v>
      </x:c>
      <x:c r="E823" s="13" t="str">
        <x:v>Naturaleza/firma clase persisten exactas. Facultad IVA elegible 75 %=12 según fundamento SNAT/2013/0029; ISLR no elegible. Ninguna naturaleza se convierte automáticamente en otra.
Control independiente: SPE no equivale a facultad IVA/ISLR. Si eligible:16×75/100=12; previsión no reduce saldo 116.</x:v>
      </x:c>
      <x:c r="F823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24" ht="156" customHeight="1">
      <x:c r="A824" s="13" t="str">
        <x:v>QA-SPE-040</x:v>
      </x:c>
      <x:c r="B824" s="13" t="str">
        <x:v>Naturaleza public, firma false, clase state</x:v>
      </x:c>
      <x:c r="C824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comprador RIFG-87654321-0, nature=public, personal_firm =false, public_kind =state; SPE notificado vigente; iva_agent_basis =SNAT/2013/0029, islr_agent =false. Contexto público subject+QA-PRESUPUESTO cuando aplica.</x:v>
      </x:c>
      <x:c r="D824" s="13" t="str">
        <x:v>1. Crear versión completa desde editor admin; verificar todos los selectores.
2. Evaluar facultad IVA para emisor ordinary y base 100/IVA 16 a fecha 12/10.
3. Crear factura y comparar snapshot/leyenda; recargar historial.</x:v>
      </x:c>
      <x:c r="E824" s="13" t="str">
        <x:v>Naturaleza/firma clase persisten exactas. Facultad IVA elegible 75 %=12 según fundamento SNAT/2013/0029; ISLR no elegible. Ninguna naturaleza se convierte automáticamente en otra.
Control independiente: SPE no equivale a facultad IVA/ISLR. Si eligible:16×75/100=12; previsión no reduce saldo 116.</x:v>
      </x:c>
      <x:c r="F824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25" ht="156" customHeight="1">
      <x:c r="A825" s="13" t="str">
        <x:v>QA-SPE-041</x:v>
      </x:c>
      <x:c r="B825" s="13" t="str">
        <x:v>Naturaleza public, firma false, clase municipal</x:v>
      </x:c>
      <x:c r="C825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comprador RIFG-87654321-0, nature=public, personal_firm =false, public_kind =municipal; SPE notificado vigente; iva_agent_basis =SNAT/2013/0029, islr_agent =false. Contexto público subject+QA-PRESUPUESTO cuando aplica.</x:v>
      </x:c>
      <x:c r="D825" s="13" t="str">
        <x:v>1. Crear versión completa desde editor admin; verificar todos los selectores.
2. Evaluar facultad IVA para emisor ordinary y base 100/IVA 16 a fecha 12/10.
3. Crear factura y comparar snapshot/leyenda; recargar historial.</x:v>
      </x:c>
      <x:c r="E825" s="13" t="str">
        <x:v>Naturaleza/firma clase persisten exactas. Facultad IVA elegible 75 %=12 según fundamento SNAT/2013/0029; ISLR no elegible. Ninguna naturaleza se convierte automáticamente en otra.
Control independiente: SPE no equivale a facultad IVA/ISLR. Si eligible:16×75/100=12; previsión no reduce saldo 116.</x:v>
      </x:c>
      <x:c r="F825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26" ht="156" customHeight="1">
      <x:c r="A826" s="13" t="str">
        <x:v>QA-SPE-042</x:v>
      </x:c>
      <x:c r="B826" s="13" t="str">
        <x:v>Naturaleza public, firma false, claseautonomous_institute</x:v>
      </x:c>
      <x:c r="C826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comprador RIFG-87654321-0, nature=public, personal_firm =false, public_kind =autonomous_institute; SPE notificado vigente; iva_agent_basis =SNAT/2013/0029, islr_agent =false. Contexto público subject+QA-PRESUPUESTO cuando aplica.</x:v>
      </x:c>
      <x:c r="D826" s="13" t="str">
        <x:v>1. Crear versión completa desde editor admin; verificar todos los selectores.
2. Evaluar facultad IVA para emisor ordinary y base 100/IVA 16 a fecha 12/10.
3. Crear factura y comparar snapshot/leyenda; recargar historial.</x:v>
      </x:c>
      <x:c r="E826" s="13" t="str">
        <x:v>Naturaleza/firma clase persisten exactas. Facultad IVA elegible 75 %=12 según fundamento SNAT/2013/0029; ISLR no elegible. Ninguna naturaleza se convierte automáticamente en otra.
Control independiente: SPE no equivale a facultad IVA/ISLR. Si eligible:16×75/100=12; previsión no reduce saldo 116.</x:v>
      </x:c>
      <x:c r="F826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27" ht="156" customHeight="1">
      <x:c r="A827" s="13" t="str">
        <x:v>QA-SPE-043</x:v>
      </x:c>
      <x:c r="B827" s="13" t="str">
        <x:v>Naturaleza public, firma false, clasedecentralized_non_business</x:v>
      </x:c>
      <x:c r="C827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comprador RIFG-87654321-0, nature=public, personal_firm =false, public_kind =decentralized_non_business; SPE notificado vigente; iva_agent_basis =SNAT/2013/0029, islr_agent =false. Contexto público subject+QA-PRESUPUESTO cuando aplica.</x:v>
      </x:c>
      <x:c r="D827" s="13" t="str">
        <x:v>1. Crear versión completa desde editor admin; verificar todos los selectores.
2. Evaluar facultad IVA para emisor ordinary y base 100/IVA 16 a fecha 12/10.
3. Crear factura y comparar snapshot/leyenda; recargar historial.</x:v>
      </x:c>
      <x:c r="E827" s="13" t="str">
        <x:v>Naturaleza/firma clase persisten exactas. Facultad IVA elegible 75 %=12 según fundamento SNAT/2013/0029; ISLR no elegible. Ninguna naturaleza se convierte automáticamente en otra.
Control independiente: SPE no equivale a facultad IVA/ISLR. Si eligible:16×75/100=12; previsión no reduce saldo 116.</x:v>
      </x:c>
      <x:c r="F827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28" ht="156" customHeight="1">
      <x:c r="A828" s="13" t="str">
        <x:v>QA-SPE-044</x:v>
      </x:c>
      <x:c r="B828" s="13" t="str">
        <x:v>Naturaleza public, firma false, clasedecentralized_business</x:v>
      </x:c>
      <x:c r="C828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 comprador RIFG-87654321-0, nature=public, personal_firm =false, public_kind =decentralized_business; SPE notificado vigente; iva_agent_basis =SNAT/2025/000054, islr_agent =false. Contexto público subject+QA-PRESUPUESTO cuando aplica.</x:v>
      </x:c>
      <x:c r="D828" s="13" t="str">
        <x:v>1. Crear versión completa desde editor admin; verificar todos los selectores.
2. Evaluar facultad IVA para emisor ordinary y base 100/IVA 16 a fecha 12/10.
3. Crear factura y comparar snapshot/leyenda; recargar historial.</x:v>
      </x:c>
      <x:c r="E828" s="13" t="str">
        <x:v>Naturaleza/firma clase persisten exactas. Facultad IVA elegible 75 %=12 según fundamento SNAT/2025/000054; ISLR no elegible. Ninguna naturaleza se convierte automáticamente en otra.
Control independiente: SPE no equivale a facultad IVA/ISLR. Si eligible:16×75/100=12; previsión no reduce saldo 116.</x:v>
      </x:c>
      <x:c r="F828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29" ht="144" customHeight="1">
      <x:c r="A829" s="13" t="str">
        <x:v>QA-SPE-045</x:v>
      </x:c>
      <x:c r="B829" s="13" t="str">
        <x:v>Estado IVA del emisor: ordinary</x:v>
      </x:c>
      <x:c r="C829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iva_status =ordinary; comprador legal SPE agente IVA/ISLR vigente; P-G total 116.</x:v>
      </x:c>
      <x:c r="D829" s="13" t="str">
        <x:v>1. Crear perfil versionado de empresa con estado IVA indicado.
2. Solicitar propuesta IVA e ISLR base 1003 %.
3. Comparar elegibilidades y guardar snapshot.</x:v>
      </x:c>
      <x:c r="E829" s="13" t="str">
        <x:v>IVA elegible 12 por estado emisor; ISLR independiente elegible 3. Factura y cobro no cambian por leer propuesta.
Control independiente: IVA 12 sólo ordinary; ISLR=100×3/100=3. Saldo 116 antes de aplicaciones/pagos.</x:v>
      </x:c>
      <x:c r="F829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30" ht="144" customHeight="1">
      <x:c r="A830" s="13" t="str">
        <x:v>QA-SPE-046</x:v>
      </x:c>
      <x:c r="B830" s="13" t="str">
        <x:v>Estado IVA del emisor: formal</x:v>
      </x:c>
      <x:c r="C830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iva_status =formal; comprador legal SPE agente IVA/ISLR vigente; P-G total 116.</x:v>
      </x:c>
      <x:c r="D830" s="13" t="str">
        <x:v>1. Crear perfil versionado de empresa con estado IVA indicado.
2. Solicitar propuesta IVA e ISLR base 1003 %.
3. Comparar elegibilidades y guardar snapshot.</x:v>
      </x:c>
      <x:c r="E830" s="13" t="str">
        <x:v>IVA no elegible por estado emisor; ISLR independiente elegible 3. Factura y cobro no cambian por leer propuesta.
Control independiente: IVA 12 sólo ordinary; ISLR=100×3/100=3. Saldo 116 antes de aplicaciones/pagos.</x:v>
      </x:c>
      <x:c r="F830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31" ht="144" customHeight="1">
      <x:c r="A831" s="13" t="str">
        <x:v>QA-SPE-047</x:v>
      </x:c>
      <x:c r="B831" s="13" t="str">
        <x:v>Estado IVA del emisor: not_subject</x:v>
      </x:c>
      <x:c r="C831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iva_status =not_subject; comprador legal SPE agente IVA/ISLR vigente; P-G total 116.</x:v>
      </x:c>
      <x:c r="D831" s="13" t="str">
        <x:v>1. Crear perfil versionado de empresa con estado IVA indicado.
2. Solicitar propuesta IVA e ISLR base 1003 %.
3. Comparar elegibilidades y guardar snapshot.</x:v>
      </x:c>
      <x:c r="E831" s="13" t="str">
        <x:v>IVA no elegible por estado emisor; ISLR independiente elegible 3. Factura y cobro no cambian por leer propuesta.
Control independiente: IVA 12 sólo ordinary; ISLR=100×3/100=3. Saldo 116 antes de aplicaciones/pagos.</x:v>
      </x:c>
      <x:c r="F831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32" ht="144" customHeight="1">
      <x:c r="A832" s="13" t="str">
        <x:v>QA-SPE-048</x:v>
      </x:c>
      <x:c r="B832" s="13" t="str">
        <x:v>Fundamento IVA 100: undisclosed_iva</x:v>
      </x:c>
      <x:c r="C832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Perfil/contexto emisor soporteundisclosed_iva, evidencia QA-undisclosed_iva; comprador agente IVA general vigente; IVA 16.</x:v>
      </x:c>
      <x:c r="D832" s="13" t="str">
        <x:v>1. Declarar fundamento y evidencia sin inferirlo de RIF/nombre.
2. Evaluar propuesta y registrar soporte del análisis.
3. Comparar snapshot de propuesta y versiones.</x:v>
      </x:c>
      <x:c r="E832" s="13" t="str">
        <x:v>Fundamento permitido y referencia conservados; propuesta 100 % de IVA 16=16, sin aplicación automática. Variantepúblicaprecious_metals rechazada según contrato.
Control independiente: 16×100/100=16; saldo 116 si sólo previsión.</x:v>
      </x:c>
      <x:c r="F832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33" ht="144" customHeight="1">
      <x:c r="A833" s="13" t="str">
        <x:v>QA-SPE-049</x:v>
      </x:c>
      <x:c r="B833" s="13" t="str">
        <x:v>Fundamento IVA 100: invoice_formalities</x:v>
      </x:c>
      <x:c r="C833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Perfil/contexto emisor soporteinvoice_formalities, evidencia QA-invoice_formalities; comprador agente IVA general vigente; IVA 16.</x:v>
      </x:c>
      <x:c r="D833" s="13" t="str">
        <x:v>1. Declarar fundamento y evidencia sin inferirlo de RIF/nombre.
2. Evaluar propuesta y registrar soporte del análisis.
3. Comparar snapshot de propuesta y versiones.</x:v>
      </x:c>
      <x:c r="E833" s="13" t="str">
        <x:v>Fundamento permitido y referencia conservados; propuesta 100 % de IVA 16=16, sin aplicación automática. Variantepúblicaprecious_metals rechazada según contrato.
Control independiente: 16×100/100=16; saldo 116 si sólo previsión.</x:v>
      </x:c>
      <x:c r="F833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34" ht="144" customHeight="1">
      <x:c r="A834" s="13" t="str">
        <x:v>QA-SPE-050</x:v>
      </x:c>
      <x:c r="B834" s="13" t="str">
        <x:v>Fundamento IVA 100: portal_100</x:v>
      </x:c>
      <x:c r="C834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Perfil/contexto emisor soporteportal_100, evidencia QA-portal_100; comprador agente IVA general vigente; IVA 16.</x:v>
      </x:c>
      <x:c r="D834" s="13" t="str">
        <x:v>1. Declarar fundamento y evidencia sin inferirlo de RIF/nombre.
2. Evaluar propuesta y registrar soporte del análisis.
3. Comparar snapshot de propuesta y versiones.</x:v>
      </x:c>
      <x:c r="E834" s="13" t="str">
        <x:v>Fundamento permitido y referencia conservados; propuesta 100 % de IVA 16=16, sin aplicación automática. Variantepúblicaprecious_metals rechazada según contrato.
Control independiente: 16×100/100=16; saldo 116 si sólo previsión.</x:v>
      </x:c>
      <x:c r="F834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35" ht="144" customHeight="1">
      <x:c r="A835" s="13" t="str">
        <x:v>QA-SPE-051</x:v>
      </x:c>
      <x:c r="B835" s="13" t="str">
        <x:v>Fundamento IVA 100: unregistered_rif</x:v>
      </x:c>
      <x:c r="C835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Perfil/contexto emisor soporteunregistered_rif, evidencia QA-unregistered_rif; comprador agente IVA general vigente; IVA 16.</x:v>
      </x:c>
      <x:c r="D835" s="13" t="str">
        <x:v>1. Declarar fundamento y evidencia sin inferirlo de RIF/nombre.
2. Evaluar propuesta y registrar soporte del análisis.
3. Comparar snapshot de propuesta y versiones.</x:v>
      </x:c>
      <x:c r="E835" s="13" t="str">
        <x:v>Fundamento permitido y referencia conservados; propuesta 100 % de IVA 16=16, sin aplicación automática. Variantepúblicaprecious_metals rechazada según contrato.
Control independiente: 16×100/100=16; saldo 116 si sólo previsión.</x:v>
      </x:c>
      <x:c r="F835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36" ht="144" customHeight="1">
      <x:c r="A836" s="13" t="str">
        <x:v>QA-SPE-052</x:v>
      </x:c>
      <x:c r="B836" s="13" t="str">
        <x:v>Fundamento IVA 100: precious_metals</x:v>
      </x:c>
      <x:c r="C836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Perfil/contexto emisor soporteprecious_metals, evidencia QA-precious_metals; comprador agente IVA general vigente; IVA 16.</x:v>
      </x:c>
      <x:c r="D836" s="13" t="str">
        <x:v>1. Declarar fundamento y evidencia sin inferirlo de RIF/nombre.
2. Evaluar propuesta y registrar soporte del análisis.
3. Comparar snapshot de propuesta y versiones.</x:v>
      </x:c>
      <x:c r="E836" s="13" t="str">
        <x:v>Fundamento permitido y referencia conservados; propuesta 100 % de IVA 16=16, sin aplicación automática. Variantepúblicaprecious_metals rechazada según contrato.
Control independiente: 16×100/100=16; saldo 116 si sólo previsión.</x:v>
      </x:c>
      <x:c r="F836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37" ht="144" customHeight="1">
      <x:c r="A837" s="13" t="str">
        <x:v>QA-SPE-053</x:v>
      </x:c>
      <x:c r="B837" s="13" t="str">
        <x:v>IGTF emisor SPE=False / recibe VES / intermediación omitida</x:v>
      </x:c>
      <x:c r="C837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SPE=False vigente 12/10; principal 100 VES, moneda documento opuesta como control; tasa 50 VES/USD, IGTF QA 3 %, intermediación omitida. Comprador SPE distinto no decide.</x:v>
      </x:c>
      <x:c r="D837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37" s="13" t="str">
        <x:v>Clasificaciónnot_applicable; impuesto 0 VES, recibido 100 VES. Método de pago y comprador no cambian decisión.
Control independiente: subject=(SPE emisor vigente AND recibida USD AND none). Impuesto=100×3 %=3 sólo sujeto; en rechazoΔsaldo/Δcaja=0.</x:v>
      </x:c>
      <x:c r="F837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38" ht="144" customHeight="1">
      <x:c r="A838" s="13" t="str">
        <x:v>QA-SPE-054</x:v>
      </x:c>
      <x:c r="B838" s="13" t="str">
        <x:v>IGTF emisor SPE=False / recibe VES / intermediación none</x:v>
      </x:c>
      <x:c r="C838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SPE=False vigente 12/10; principal 100 VES, moneda documento opuesta como control; tasa 50 VES/USD, IGTF QA 3 %, intermediación none. Comprador SPE distinto no decide.</x:v>
      </x:c>
      <x:c r="D838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38" s="13" t="str">
        <x:v>Clasificaciónnot_applicable; impuesto 0 VES, recibido 100 VES. Método de pago y comprador no cambian decisión.
Control independiente: subject=(SPE emisor vigente AND recibida USD AND none). Impuesto=100×3 %=3 sólo sujeto; en rechazoΔsaldo/Δcaja=0.</x:v>
      </x:c>
      <x:c r="F838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39" ht="144" customHeight="1">
      <x:c r="A839" s="13" t="str">
        <x:v>QA-SPE-055</x:v>
      </x:c>
      <x:c r="B839" s="13" t="str">
        <x:v>IGTF emisor SPE=False / recibe VES / intermediación financial_institution </x:v>
      </x:c>
      <x:c r="C839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SPE=False vigente 12/10; principal 100 VES, moneda documento opuesta como control; tasa 50 VES/USD, IGTF QA 3 %, intermediación financial_institution. Comprador SPE distinto no decide.</x:v>
      </x:c>
      <x:c r="D839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39" s="13" t="str">
        <x:v>Clasificaciónnot_applicable; impuesto 0 VES, recibido 100 VES. Método de pago y comprador no cambian decisión.
Control independiente: subject=(SPE emisor vigente AND recibida USD AND none). Impuesto=100×3 %=3 sólo sujeto; en rechazoΔsaldo/Δcaja=0.</x:v>
      </x:c>
      <x:c r="F839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40" ht="144" customHeight="1">
      <x:c r="A840" s="13" t="str">
        <x:v>QA-SPE-056</x:v>
      </x:c>
      <x:c r="B840" s="13" t="str">
        <x:v>IGTF emisor SPE=False / recibe USD / intermediación omitida</x:v>
      </x:c>
      <x:c r="C840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SPE=False vigente 12/10; principal 100 USD, moneda documento opuesta como control; tasa 50 VES/USD, IGTF QA 3 %, intermediación omitida. Comprador SPE distinto no decide.</x:v>
      </x:c>
      <x:c r="D840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40" s="13" t="str">
        <x:v>Clasificaciónnot_applicable; impuesto 0 USD, recibido 100 USD. Método de pago y comprador no cambian decisión.
Control independiente: subject=(SPE emisor vigente AND recibida USD AND none). Impuesto=100×3 %=3 sólo sujeto; en rechazoΔsaldo/Δcaja=0.</x:v>
      </x:c>
      <x:c r="F840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41" ht="144" customHeight="1">
      <x:c r="A841" s="13" t="str">
        <x:v>QA-SPE-057</x:v>
      </x:c>
      <x:c r="B841" s="13" t="str">
        <x:v>IGTF emisor SPE=False / recibe USD / intermediación none</x:v>
      </x:c>
      <x:c r="C841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SPE=False vigente 12/10; principal 100 USD, moneda documento opuesta como control; tasa 50 VES/USD, IGTF QA 3 %, intermediación none. Comprador SPE distinto no decide.</x:v>
      </x:c>
      <x:c r="D841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41" s="13" t="str">
        <x:v>Clasificaciónnot_applicable; impuesto 0 USD, recibido 100 USD. Método de pago y comprador no cambian decisión.
Control independiente: subject=(SPE emisor vigente AND recibida USD AND none). Impuesto=100×3 %=3 sólo sujeto; en rechazoΔsaldo/Δcaja=0.</x:v>
      </x:c>
      <x:c r="F841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42" ht="144" customHeight="1">
      <x:c r="A842" s="13" t="str">
        <x:v>QA-SPE-058</x:v>
      </x:c>
      <x:c r="B842" s="13" t="str">
        <x:v>IGTF emisor SPE=False / recibe USD / intermediación financial_institution </x:v>
      </x:c>
      <x:c r="C842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SPE=False vigente 12/10; principal 100 USD, moneda documento opuesta como control; tasa 50 VES/USD, IGTF QA 3 %, intermediación financial_institution. Comprador SPE distinto no decide.</x:v>
      </x:c>
      <x:c r="D842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42" s="13" t="str">
        <x:v>Clasificaciónnot_applicable; impuesto 0 USD, recibido 100 USD. Método de pago y comprador no cambian decisión.
Control independiente: subject=(SPE emisor vigente AND recibida USD AND none). Impuesto=100×3 %=3 sólo sujeto; en rechazoΔsaldo/Δcaja=0.</x:v>
      </x:c>
      <x:c r="F842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43" ht="144" customHeight="1">
      <x:c r="A843" s="13" t="str">
        <x:v>QA-SPE-059</x:v>
      </x:c>
      <x:c r="B843" s="13" t="str">
        <x:v>IGTF emisor SPE=True / recibe VES / intermediación omitida</x:v>
      </x:c>
      <x:c r="C843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SPE=True vigente 12/10; principal 100 VES, moneda documento opuesta como control; tasa 50 VES/USD, IGTF QA 3 %, intermediación omitida. Comprador SPE distinto no decide.</x:v>
      </x:c>
      <x:c r="D843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43" s="13" t="str">
        <x:v>Clasificaciónnot_applicable; impuesto 0 VES, recibido 100 VES. Método de pago y comprador no cambian decisión.
Control independiente: subject=(SPE emisor vigente AND recibida USD AND none). Impuesto=100×3 %=3 sólo sujeto; en rechazoΔsaldo/Δcaja=0.</x:v>
      </x:c>
      <x:c r="F843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44" ht="144" customHeight="1">
      <x:c r="A844" s="13" t="str">
        <x:v>QA-SPE-060</x:v>
      </x:c>
      <x:c r="B844" s="13" t="str">
        <x:v>IGTF emisor SPE=True / recibe VES / intermediación none</x:v>
      </x:c>
      <x:c r="C844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SPE=True vigente 12/10; principal 100 VES, moneda documento opuesta como control; tasa 50 VES/USD, IGTF QA 3 %, intermediación none. Comprador SPE distinto no decide.</x:v>
      </x:c>
      <x:c r="D844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44" s="13" t="str">
        <x:v>Clasificaciónnot_applicable; impuesto 0 VES, recibido 100 VES. Método de pago y comprador no cambian decisión.
Control independiente: subject=(SPE emisor vigente AND recibida USD AND none). Impuesto=100×3 %=3 sólo sujeto; en rechazoΔsaldo/Δcaja=0.</x:v>
      </x:c>
      <x:c r="F844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45" ht="144" customHeight="1">
      <x:c r="A845" s="13" t="str">
        <x:v>QA-SPE-061</x:v>
      </x:c>
      <x:c r="B845" s="13" t="str">
        <x:v>IGTF emisor SPE=True / recibe VES / intermediación financial_institution </x:v>
      </x:c>
      <x:c r="C845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SPE=True vigente 12/10; principal 100 VES, moneda documento opuesta como control; tasa 50 VES/USD, IGTF QA 3 %, intermediación financial_institution. Comprador SPE distinto no decide.</x:v>
      </x:c>
      <x:c r="D845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45" s="13" t="str">
        <x:v>Clasificaciónnot_applicable; impuesto 0 VES, recibido 100 VES. Método de pago y comprador no cambian decisión.
Control independiente: subject=(SPE emisor vigente AND recibida USD AND none). Impuesto=100×3 %=3 sólo sujeto; en rechazoΔsaldo/Δcaja=0.</x:v>
      </x:c>
      <x:c r="F845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46" ht="144" customHeight="1">
      <x:c r="A846" s="13" t="str">
        <x:v>QA-SPE-062</x:v>
      </x:c>
      <x:c r="B846" s="13" t="str">
        <x:v>IGTF emisor SPE=True / recibe USD / intermediación omitida</x:v>
      </x:c>
      <x:c r="C846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SPE=True vigente 12/10; principal 100 USD, moneda documento opuesta como control; tasa 50 VES/USD, IGTF QA 3 %, intermediación omitida. Comprador SPE distinto no decide.</x:v>
      </x:c>
      <x:c r="D846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46" s="13" t="str">
        <x:v>Rechazo por intermediación omitida, cero pago/recibo/caja.
Control independiente: subject=(SPE emisor vigente AND recibida USD AND none). Impuesto=100×3 %=3 sólo sujeto; en rechazoΔsaldo/Δcaja=0.</x:v>
      </x:c>
      <x:c r="F846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47" ht="144" customHeight="1">
      <x:c r="A847" s="13" t="str">
        <x:v>QA-SPE-063</x:v>
      </x:c>
      <x:c r="B847" s="13" t="str">
        <x:v>IGTF emisor SPE=True / recibe USD / intermediación none</x:v>
      </x:c>
      <x:c r="C847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SPE=True vigente 12/10; principal 100 USD, moneda documento opuesta como control; tasa 50 VES/USD, IGTF QA 3 %, intermediación none. Comprador SPE distinto no decide.</x:v>
      </x:c>
      <x:c r="D847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47" s="13" t="str">
        <x:v>Clasificación subject; impuesto 3 USD, recibido 103 USD. Método de pago y comprador no cambian decisión.
Control independiente: subject=(SPE emisor vigente AND recibida USD AND none). Impuesto=100×3 %=3 sólo sujeto; en rechazoΔsaldo/Δcaja=0.</x:v>
      </x:c>
      <x:c r="F847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48" ht="144" customHeight="1">
      <x:c r="A848" s="13" t="str">
        <x:v>QA-SPE-064</x:v>
      </x:c>
      <x:c r="B848" s="13" t="str">
        <x:v>IGTF emisor SPE=True / recibe USD / intermediación financial_institution </x:v>
      </x:c>
      <x:c r="C848" s="13" t="str">
        <x:v>Fecha de prueba 12/10/2026; perfiles v1 desde 01/10/2026 y v2 desde 10/10/2026. RIF emisorJ-12345678-9 y compradorJ-87654321-0 son sintéticos: reemplazar por fixtures con formato contractual. Perfil base: legal, personal_firm =false, commercial_activity =true, iva_status =ordinary, spe=true, notificaciónQA-SPE del 30/09/2026, iva_agent_basis =SNAT/2025/000054, islr_agent =true e islr_basis =QA-ISLR independiente. Registrar effective_until / revoked_at por caso. Snapshot siempre version_id; no afirmar validación oficial/checksumSENIAT.
Emisor SPE=True vigente 12/10; principal 100 USD, moneda documento opuesta como control; tasa 50 VES/USD, IGTF QA 3 %, intermediación financial_institution. Comprador SPE distinto no decide.</x:v>
      </x:c>
      <x:c r="D848" s="13" t="str">
        <x:v>1. Registrar moneda documental y moneda recibida por separado; resolver perfil emisor a fecha pago.
2. Introducir intermediación indicada o dejar omitida; enviar cobro con UUID nuevo.
3. Comparar clasificación/impuesto/respuesta y recepción persistida.</x:v>
      </x:c>
      <x:c r="E848" s="13" t="str">
        <x:v>Clasificaciónnot_applicable; impuesto 0 USD, recibido 100 USD. Método de pago y comprador no cambian decisión.
Control independiente: subject=(SPE emisor vigente AND recibida USD AND none). Impuesto=100×3 %=3 sólo sujeto; en rechazoΔsaldo/Δcaja=0.</x:v>
      </x:c>
      <x:c r="F848" s="13" t="str">
        <x:v>Fuentes: app/Services/Fiscal/SpecialTaxpayerPolicy.php, app/Services/Fiscal/FiscalProfileService.php, app/Services/Fiscal/FiscalDocumentPersistence.php, app/Http/Controllers/Tenant/FiscalProfileController.php, tests/Unit/SpecialTaxpayerPolicyTest.php, tests/Support/SpeProfiles.php, tests/Support/SpePersistenceCases.php, informes/facturas_sujetos_pasivos_especiales_hka.md
Entrada: Empresa/Cliente → perfil fiscal; fiscal-profiles/{kind}/{id}; evaluar perfil y cobro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49" ht="180" customHeight="1">
      <x:c r="A849" s="13" t="str">
        <x:v>QA-RIVA-001</x:v>
      </x:c>
      <x:c r="B849" s="13" t="str">
        <x:v>Propuesta IVA 75 informativa</x:v>
      </x:c>
      <x:c r="C849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Factura 116 VES sin pagos ni control; comprador agente IVA válido.</x:v>
      </x:c>
      <x:c r="D849" s="13" t="str">
        <x:v>1. Solicitar propuesta con cliente/fecha/IVA 16/base 100.
2. Comparar eligible, percentage, amount y version_id.
3. Guardar previsión y recargar sin registrar comprobante.</x:v>
      </x:c>
      <x:c r="E849" s="13" t="str">
        <x:v>Propuesta 12=16×75/100, cobro sugerido 104; saldo/deuda 116 sin cobro ni aplicación. Previsión conserva contexto/actor/fecha; no es comprobante ni efectivo.
Control independiente: Comparar exactamente los valores y conteos definidos en el criterio. En rechazos: Δdocumentos, Δpagos, Δaplicaciones, Δstock y Δllamadas mutantes HKA = 0.</x:v>
      </x:c>
      <x:c r="F849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50" ht="180" customHeight="1">
      <x:c r="A850" s="13" t="str">
        <x:v>QA-RIVA-002</x:v>
      </x:c>
      <x:c r="B850" s="13" t="str">
        <x:v>Cobro neto con previsión sin aplicación</x:v>
      </x:c>
      <x:c r="C850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Total 116 VES, previsión IVA 12, pago real 104.</x:v>
      </x:c>
      <x:c r="D850" s="13" t="str">
        <x:v>1. Aceptar explícitamente sugerencia 104.
2. Guardar venta y consultar Pagos/CxC/caja.
3. Intentar preparación HKA con flag neto false.</x:v>
      </x:c>
      <x:c r="E850" s="13" t="str">
        <x:v>Caja 104, saldo 12 hasta validar comprobante. Preparación/envío bloqueado por capacidad DEMO; diagnóstico visible y can_send =false, ningún pago adicional 12.
Control independiente: Comparar exactamente los valores y conteos definidos en el criterio. En rechazos: Δdocumentos, Δpagos, Δaplicaciones, Δstock y Δllamadas mutantes HKA = 0.</x:v>
      </x:c>
      <x:c r="F850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51" ht="180" customHeight="1">
      <x:c r="A851" s="13" t="str">
        <x:v>QA-RIVA-003</x:v>
      </x:c>
      <x:c r="B851" s="13" t="str">
        <x:v>Desactivar previsión</x:v>
      </x:c>
      <x:c r="C851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Previsión IVA 12 guardada sin comprobante.</x:v>
      </x:c>
      <x:c r="D851" s="13" t="str">
        <x:v>1. Desactivar enabled=false y guardar.
2. Reabrir Pagos.
3. Comparar saldo y registros.</x:v>
      </x:c>
      <x:c r="E851" s="13" t="str">
        <x:v>Previsión null; no borrar cobros ingresados ni crear aplicaciones. Sin pago saldo 116; con pago 104 conserva deuda 12.
Control independiente: Comparar exactamente los valores y conteos definidos en el criterio. En rechazos: Δdocumentos, Δpagos, Δaplicaciones, Δstock y Δllamadas mutantes HKA = 0.</x:v>
      </x:c>
      <x:c r="F851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52" ht="180" customHeight="1">
      <x:c r="A852" s="13" t="str">
        <x:v>QA-RIVA-004</x:v>
      </x:c>
      <x:c r="B852" s="13" t="str">
        <x:v>Recalcular por cliente fecha y líneas</x:v>
      </x:c>
      <x:c r="C852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Previsión 12 sobre P-G; otro cliente sin facultad, fecha fuera de vigencia, cantidad 2 como variantes.</x:v>
      </x:c>
      <x:c r="D852" s="13" t="str">
        <x:v>1. Modificar un dato por variante.
2. Solicitar/esperar nueva propuesta y guardar.
3. Comparar persistencia después de recargar.</x:v>
      </x:c>
      <x:c r="E852" s="13" t="str">
        <x:v>Cliente/fecha no elegible elimina previsión; cantidad 2 da IVA 32 y previsión 24. Servidor recalcula; no acepta importe 12 obsoleto.
Control independiente: Comparar exactamente los valores y conteos definidos en el criterio. En rechazos: Δdocumentos, Δpagos, Δaplicaciones, Δstock y Δllamadas mutantes HKA = 0.</x:v>
      </x:c>
      <x:c r="F852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53" ht="180" customHeight="1">
      <x:c r="A853" s="13" t="str">
        <x:v>QA-RIVA-005</x:v>
      </x:c>
      <x:c r="B853" s="13" t="str">
        <x:v>IVA inexistente no elegible</x:v>
      </x:c>
      <x:c r="C853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P-E total 50, IVA 0; cliente agente IVA.</x:v>
      </x:c>
      <x:c r="D853" s="13" t="str">
        <x:v>1. Consultar propuesta.
2. Intentar guardar enabled=true.
3. Comparar saldos y archivos.</x:v>
      </x:c>
      <x:c r="E853" s="13" t="str">
        <x:v>Sin IVA positivo no hay previsión/aplicación IVA; diagnóstico y rechazo sin mutación.
Control independiente: Comparar exactamente los valores y conteos definidos en el criterio. En rechazos: Δdocumentos, Δpagos, Δaplicaciones, Δstock y Δllamadas mutantes HKA = 0.</x:v>
      </x:c>
      <x:c r="F853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54" ht="180" customHeight="1">
      <x:c r="A854" s="13" t="str">
        <x:v>QA-RIVA-006</x:v>
      </x:c>
      <x:c r="B854" s="13" t="str">
        <x:v>Emisor excluido o formal</x:v>
      </x:c>
      <x:c r="C854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Emisor formal/not_subject/ iva_exclusion documentada y contexto exclusion como variantes.</x:v>
      </x:c>
      <x:c r="D854" s="13" t="str">
        <x:v>1. Solicitar propuesta por variante con comprador facultado.
2. Intentar registro.
3. Consultar perfil/saldo.</x:v>
      </x:c>
      <x:c r="E854" s="13" t="str">
        <x:v>IVA no elegible cuando contrato excluye; ISLR se evalúa aparte. No deducir retención sólo por SPE comprador.
Control independiente: Comparar exactamente los valores y conteos definidos en el criterio. En rechazos: Δdocumentos, Δpagos, Δaplicaciones, Δstock y Δllamadas mutantes HKA = 0.</x:v>
      </x:c>
      <x:c r="F854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55" ht="180" customHeight="1">
      <x:c r="A855" s="13" t="str">
        <x:v>QA-RIVA-007</x:v>
      </x:c>
      <x:c r="B855" s="13" t="str">
        <x:v>Número IVA y fecha del comprobante</x:v>
      </x:c>
      <x:c r="C855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Número 14 dígitos 20261000000001 y fecha 12/10; variantes 13/15 dígitos, letras, prefijo 202609.</x:v>
      </x:c>
      <x:c r="D855" s="13" t="str">
        <x:v>1. Registrar control válido.
2. Probar cada número inválido con UUID nuevo.
3. Comparar historial y saldo.</x:v>
      </x:c>
      <x:c r="E855" s="13" t="str">
        <x:v>Número exige AAAAMM######## y mes coherente; inválidos no crean aplicación. Control 75 % aplica 12 si factura confirmada y saldo suficiente.
Control independiente: Comparar exactamente los valores y conteos definidos en el criterio. En rechazos: Δdocumentos, Δpagos, Δaplicaciones, Δstock y Δllamadas mutantes HKA = 0.</x:v>
      </x:c>
      <x:c r="F855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56" ht="180" customHeight="1">
      <x:c r="A856" s="13" t="str">
        <x:v>QA-RIVA-008</x:v>
      </x:c>
      <x:c r="B856" s="13" t="str">
        <x:v>Fecha anterior futura o formato inválido</x:v>
      </x:c>
      <x:c r="C856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Factura 12/10; comprobante 11/10, 13/10 con reloj 12/10, 12-10-2026.</x:v>
      </x:c>
      <x:c r="D856" s="13" t="str">
        <x:v>1. Enviar cada fecha por separado.
2. Capturar 422/campo.
3. Consultar outbox/caja.</x:v>
      </x:c>
      <x:c r="E856" s="13" t="str">
        <x:v>Fecha entre emisión y hoy inclusivos; invalidación antes de aplicar y cero HTTP mutante.
Control independiente: Comparar exactamente los valores y conteos definidos en el criterio. En rechazos: Δdocumentos, Δpagos, Δaplicaciones, Δstock y Δllamadas mutantes HKA = 0.</x:v>
      </x:c>
      <x:c r="F856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57" ht="180" customHeight="1">
      <x:c r="A857" s="13" t="str">
        <x:v>QA-RIVA-009</x:v>
      </x:c>
      <x:c r="B857" s="13" t="str">
        <x:v>Registro previo a confirmación</x:v>
      </x:c>
      <x:c r="C857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Factura 116 not_requested sin control, comprobante referencia fiscal esperada del fixture doble.</x:v>
      </x:c>
      <x:c r="D857" s="13" t="str">
        <x:v>1. Subir soporte y registrar comprobante válido.
2. Recargar detalle/DTO.
3. Consultar saldo, outbox y pagos.</x:v>
      </x:c>
      <x:c r="E857" s="13" t="str">
        <x:v> pending_validation, applied_amount 0, deuda 116, hka_status waiting_invoice y sin POST retención. No asignar control inventado para lograr aplicación real.
Control independiente: Comparar exactamente los valores y conteos definidos en el criterio. En rechazos: Δdocumentos, Δpagos, Δaplicaciones, Δstock y Δllamadas mutantes HKA = 0.</x:v>
      </x:c>
      <x:c r="F857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58" ht="180" customHeight="1">
      <x:c r="A858" s="13" t="str">
        <x:v>QA-RIVA-010</x:v>
      </x:c>
      <x:c r="B858" s="13" t="str">
        <x:v>Aplicación local tras confirmación coincidente</x:v>
      </x:c>
      <x:c r="C858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Fixture anterior; proveedor doble confirma exactamente número/control declarados.</x:v>
      </x:c>
      <x:c r="D858" s="13" t="str">
        <x:v>1. Confirmar factura por flujo normal del doble.
2. Reanudar validación y consultar registro.
3. Comparar venta/saldo/CxC/caja y contador HKA.</x:v>
      </x:c>
      <x:c r="E858" s="13" t="str">
        <x:v>applied 12 y saldo 104; total/IVA/stock intactos; outbox IVA apply propia después de commit. Confirmación HKA de retención se registra aparte del estado aplicado local.
Control independiente: Comparar exactamente los valores y conteos definidos en el criterio. En rechazos: Δdocumentos, Δpagos, Δaplicaciones, Δstock y Δllamadas mutantes HKA = 0.</x:v>
      </x:c>
      <x:c r="F858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59" ht="180" customHeight="1">
      <x:c r="A859" s="13" t="str">
        <x:v>QA-RIVA-011</x:v>
      </x:c>
      <x:c r="B859" s="13" t="str">
        <x:v>Referencia fiscal diferente queda inválida</x:v>
      </x:c>
      <x:c r="C859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Comprobante pending con número o control distinto de confirmación del doble.</x:v>
      </x:c>
      <x:c r="D859" s="13" t="str">
        <x:v>1. Confirmar factura con otra identidad/control.
2. Ejecutar resume.
3. Revisar comprobante, saldo e historial.</x:v>
      </x:c>
      <x:c r="E859" s="13" t="str">
        <x:v>invalid, applied_amount 0 y diagnóstico; deuda 116. No corregir referencia silenciosamente ni transmitir retención ajena.
Control independiente: Comparar exactamente los valores y conteos definidos en el criterio. En rechazos: Δdocumentos, Δpagos, Δaplicaciones, Δstock y Δllamadas mutantes HKA = 0.</x:v>
      </x:c>
      <x:c r="F859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60" ht="180" customHeight="1">
      <x:c r="A860" s="13" t="str">
        <x:v>QA-RIVA-012</x:v>
      </x:c>
      <x:c r="B860" s="13" t="str">
        <x:v>Control sin confirmed no aplica</x:v>
      </x:c>
      <x:c r="C860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Factura digital con control presente pero emission.status=prepared/pending/uncertain como variantes de doble.</x:v>
      </x:c>
      <x:c r="D860" s="13" t="str">
        <x:v>1. Registrar comprobante por variante.
2. Consultar invoiceReady/resume por flujo autorizado.
3. Comparar saldo/outbox.</x:v>
      </x:c>
      <x:c r="E860" s="13" t="str">
        <x:v>Control solo no basta: pending_validation sin aplicación hasta confirmed; no forzar confirmed en tenant operativo.
Control independiente: Comparar exactamente los valores y conteos definidos en el criterio. En rechazos: Δdocumentos, Δpagos, Δaplicaciones, Δstock y Δllamadas mutantes HKA = 0.</x:v>
      </x:c>
      <x:c r="F860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61" ht="180" customHeight="1">
      <x:c r="A861" s="13" t="str">
        <x:v>QA-RIVA-013</x:v>
      </x:c>
      <x:c r="B861" s="13" t="str">
        <x:v>Falla durante activación y savepoint</x:v>
      </x:c>
      <x:c r="C861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Comprobante pending válido; doble de validación tardía falla después de escrituras parciales.</x:v>
      </x:c>
      <x:c r="D861" s="13" t="str">
        <x:v>1. Capturar línea base.
2. Disparar confirmación/resume con fallo controlado.
3. Leer saldo/aplicación/previsión/outbox y diagnóstico.</x:v>
      </x:c>
      <x:c r="E861" s="13" t="str">
        <x:v>Rollback al savepoint antes de invalid; cero aplicación parcial, cash/stock/venta intactos y diagnóstico visible. No registrar HTTP dentro de transacción fallida.
Control independiente: Comparar exactamente los valores y conteos definidos en el criterio. En rechazos: Δdocumentos, Δpagos, Δaplicaciones, Δstock y Δllamadas mutantes HKA = 0.</x:v>
      </x:c>
      <x:c r="F861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62" ht="180" customHeight="1">
      <x:c r="A862" s="13" t="str">
        <x:v>QA-RIVA-014</x:v>
      </x:c>
      <x:c r="B862" s="13" t="str">
        <x:v>Segundo activo del mismo impuesto</x:v>
      </x:c>
      <x:c r="C862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Un IVA pending_validation o applied como dos variantes.</x:v>
      </x:c>
      <x:c r="D862" s="13" t="str">
        <x:v>1. Intentar segundo IVA con número/UUID diferentes.
2. Intentar primer UUID idéntico como control replay.
3. Consultar conteo activo.</x:v>
      </x:c>
      <x:c r="E862" s="13" t="str">
        <x:v>Segundo activo rechazado; replay original no duplica. Exactamente uno activo IVA/factura, ISLR distinto puede coexistir.
Control independiente: Comparar exactamente los valores y conteos definidos en el criterio. En rechazos: Δdocumentos, Δpagos, Δaplicaciones, Δstock y Δllamadas mutantes HKA = 0.</x:v>
      </x:c>
      <x:c r="F862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63" ht="180" customHeight="1">
      <x:c r="A863" s="13" t="str">
        <x:v>QA-RIVA-015</x:v>
      </x:c>
      <x:c r="B863" s="13" t="str">
        <x:v>Reemplazo con historial</x:v>
      </x:c>
      <x:c r="C863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Primer IVA invalid o reversed como dos variantes; soporte nuevo y UUIDK 2.</x:v>
      </x:c>
      <x:c r="D863" s="13" t="str">
        <x:v>1. Registrar reemplazo válido.
2. Reutilizar número anterior sólo cuando unicidad permite historia no activa.
3. Consultar historial y saldo.</x:v>
      </x:c>
      <x:c r="E863" s="13" t="str">
        <x:v>Nuevo activo con UUID propio; anterior conserva estado/soporte/auditoría. Una sola aplicación activa y sin borrar trazabilidad.
Control independiente: Comparar exactamente los valores y conteos definidos en el criterio. En rechazos: Δdocumentos, Δpagos, Δaplicaciones, Δstock y Δllamadas mutantes HKA = 0.</x:v>
      </x:c>
      <x:c r="F863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64" ht="180" customHeight="1">
      <x:c r="A864" s="13" t="str">
        <x:v>QA-RIVA-016</x:v>
      </x:c>
      <x:c r="B864" s="13" t="str">
        <x:v>UUID obligatorio y replay de registro</x:v>
      </x:c>
      <x:c r="C864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K válido; variantes omitido/malformado/mayúsculas de mismo UUID/mismos datos/datos distintos.</x:v>
      </x:c>
      <x:c r="D864" s="13" t="str">
        <x:v>1. Registrar comprobante válido K.
2. Repetir entradas por variante.
3. Consultar registros/outbox y saldo.</x:v>
      </x:c>
      <x:c r="E864" s="13" t="str">
        <x:v>UUID normalizado; replay igual devuelve mismo registro sin otra aplicación. Datos/acción distintos conK→409; ausencia/formato inválido→422.
Control independiente: Comparar exactamente los valores y conteos definidos en el criterio. En rechazos: Δdocumentos, Δpagos, Δaplicaciones, Δstock y Δllamadas mutantes HKA = 0.</x:v>
      </x:c>
      <x:c r="F864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65" ht="180" customHeight="1">
      <x:c r="A865" s="13" t="str">
        <x:v>QA-RIVA-017</x:v>
      </x:c>
      <x:c r="B865" s="13" t="str">
        <x:v>Carrera de dos comprobantes</x:v>
      </x:c>
      <x:c r="C865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Dos sesiones registran IVA 12 conK 1/K2 sobre misma Factura 116.</x:v>
      </x:c>
      <x:c r="D865" s="13" t="str">
        <x:v>1. Usar barrera antes de registro.
2. Enviar simultáneamente y conservar respuestas.
3. Leer restricción única/activos/saldo/operaciones.</x:v>
      </x:c>
      <x:c r="E865" s="13" t="str">
        <x:v>Un activo y una aplicación 12, otra solicitud rechazada coherentemente; saldo 104 y no doble POST lógico. Bloqueo empresa→factura→comprobante→operación.
Control independiente: Comparar exactamente los valores y conteos definidos en el criterio. En rechazos: Δdocumentos, Δpagos, Δaplicaciones, Δstock y Δllamadas mutantes HKA = 0.</x:v>
      </x:c>
      <x:c r="F865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66" ht="180" customHeight="1">
      <x:c r="A866" s="13" t="str">
        <x:v>QA-RIVA-018</x:v>
      </x:c>
      <x:c r="B866" s="13" t="str">
        <x:v>Agente y facultad a fecha propia</x:v>
      </x:c>
      <x:c r="C866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Comprador RIF correcto pero facultad revocada en fecha comprobante; otro RIF/agent_id como variantes.</x:v>
      </x:c>
      <x:c r="D866" s="13" t="str">
        <x:v>1. Enviar comprobantes por variante.
2. Control perfil vigente correcto.
3. Leer snapshot/version_id y saldo.</x:v>
      </x:c>
      <x:c r="E866" s="13" t="str">
        <x:v>Se resuelve perfil a voucher_date; RIF y cliente exactos obligatorios. No asumir facultad a fecha factura ni corregir RIF adversario.
Control independiente: Comparar exactamente los valores y conteos definidos en el criterio. En rechazos: Δdocumentos, Δpagos, Δaplicaciones, Δstock y Δllamadas mutantes HKA = 0.</x:v>
      </x:c>
      <x:c r="F866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67" ht="180" customHeight="1">
      <x:c r="A867" s="13" t="str">
        <x:v>QA-RIVA-019</x:v>
      </x:c>
      <x:c r="B867" s="13" t="str">
        <x:v>IVA y base imponible son distintos</x:v>
      </x:c>
      <x:c r="C867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P-G base 100 IVA 16; voucher.base 16, taxable_base100.</x:v>
      </x:c>
      <x:c r="D867" s="13" t="str">
        <x:v>1. Registrar IVA 75 % completo.
2. Leer DTO y payload HKA.
3. Comparar formula y presentación.</x:v>
      </x:c>
      <x:c r="E867" s="13" t="str">
        <x:v>Importe 12 calculado sobre IVA 16; base imponible 100 conservada, nunca retener 75 % de 100. Campo IVA y taxable_base diferenciados.
Control independiente: Comparar exactamente los valores y conteos definidos en el criterio. En rechazos: Δdocumentos, Δpagos, Δaplicaciones, Δstock y Δllamadas mutantes HKA = 0.</x:v>
      </x:c>
      <x:c r="F867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68" ht="180" customHeight="1">
      <x:c r="A868" s="13" t="str">
        <x:v>QA-RIVA-020</x:v>
      </x:c>
      <x:c r="B868" s="13" t="str">
        <x:v>IVA parcial en una alícuota</x:v>
      </x:c>
      <x:c r="C868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Factura IVA 16/base 100; comprobante cubre IVA 8 al 75 %, importe 6.</x:v>
      </x:c>
      <x:c r="D868" s="13" t="str">
        <x:v>1. Registrar soporte/referencia válidos en factura confirmada doble.
2. Leer taxable_base y saldo.
3. Intentar otro comprobante activo para completar como negativa.</x:v>
      </x:c>
      <x:c r="E868" s="13" t="str">
        <x:v>Aplicación 6, taxable_base50 proporcional, saldo 110; segundo IVA activo no permitido. Cap fiscal conservado, no sumar comprobantes activos.
Control independiente: Comparar exactamente los valores y conteos definidos en el criterio. En rechazos: Δdocumentos, Δpagos, Δaplicaciones, Δstock y Δllamadas mutantes HKA = 0.</x:v>
      </x:c>
      <x:c r="F868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69" ht="180" customHeight="1">
      <x:c r="A869" s="13" t="str">
        <x:v>QA-RIVA-021</x:v>
      </x:c>
      <x:c r="B869" s="13" t="str">
        <x:v>Alícuotas mixtas completas</x:v>
      </x:c>
      <x:c r="C869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Dos líneas base 100 al 16 % y base 100 al 8 % en catálogo QA compatible; IVA 24, total 224.</x:v>
      </x:c>
      <x:c r="D869" s="13" t="str">
        <x:v>1. Preparar fixture tasas separado.
2. Registrar voucher.base 24 al 75 %, importe 18.
3. Comparar taxable_base/snapshot/saldo.</x:v>
      </x:c>
      <x:c r="E869" s="13" t="str">
        <x:v>IVA completo mixto aceptado con taxable_base200; retención 18 y saldo 206. Preserva todas las alícuotas, no divide por una tasa única.
Control independiente: Comparar exactamente los valores y conteos definidos en el criterio. En rechazos: Δdocumentos, Δpagos, Δaplicaciones, Δstock y Δllamadas mutantes HKA = 0.</x:v>
      </x:c>
      <x:c r="F869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70" ht="180" customHeight="1">
      <x:c r="A870" s="13" t="str">
        <x:v>QA-RIVA-022</x:v>
      </x:c>
      <x:c r="B870" s="13" t="str">
        <x:v>Alícuotas mixtas parciales sin desglose</x:v>
      </x:c>
      <x:c r="C870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Mismo fixture IVA 24; voucher.base 12 al 75 %, importe 9.</x:v>
      </x:c>
      <x:c r="D870" s="13" t="str">
        <x:v>1. Enviar comprobante parcial sin desglose.
2. Capturar diagnóstico.
3. Leer aplicación/outbox/saldo.</x:v>
      </x:c>
      <x:c r="E870" s="13" t="str">
        <x:v>Rechazo: falta desglose para base imponible parcial; saldo 224 y cero aplicación/HTTP mutante.
Control independiente: Comparar exactamente los valores y conteos definidos en el criterio. En rechazos: Δdocumentos, Δpagos, Δaplicaciones, Δstock y Δllamadas mutantes HKA = 0.</x:v>
      </x:c>
      <x:c r="F870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71" ht="180" customHeight="1">
      <x:c r="A871" s="13" t="str">
        <x:v>QA-RIVA-023</x:v>
      </x:c>
      <x:c r="B871" s="13" t="str">
        <x:v>Límites fiscales y saldo</x:v>
      </x:c>
      <x:c r="C871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Factura IVA 16, total 116; variantes base 17, importe incorrecto, saldo 5 tras abono 111.</x:v>
      </x:c>
      <x:c r="D871" s="13" t="str">
        <x:v>1. Enviar cada exceso separado.
2. Calcular cap fiscal VES y saldo disponible.
3. Verificar rollback.</x:v>
      </x:c>
      <x:c r="E871" s="13" t="str">
        <x:v>Rechazo de exceso IVA/importe/saldo antes de efectos; no admitir saldo negativo ni recalcular cap con tasa actual.
Control independiente: Comparar exactamente los valores y conteos definidos en el criterio. En rechazos: Δdocumentos, Δpagos, Δaplicaciones, Δstock y Δllamadas mutantes HKA = 0.</x:v>
      </x:c>
      <x:c r="F871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72" ht="180" customHeight="1">
      <x:c r="A872" s="13" t="str">
        <x:v>QA-RIVA-024</x:v>
      </x:c>
      <x:c r="B872" s="13" t="str">
        <x:v>Porcentaje y sustraendo inválidos</x:v>
      </x:c>
      <x:c r="C872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16; percentages 0/74/76/101 y subtrahend 1 como variantes.</x:v>
      </x:c>
      <x:c r="D872" s="13" t="str">
        <x:v>1. Enviar cada variante con cálculo coherente adversario.
2. Capturar 422.
3. Comparar registros/aplicaciones.</x:v>
      </x:c>
      <x:c r="E872" s="13" t="str">
        <x:v>IVA sólo 75/100 según fundamento elegible y sustraendo 0; ninguna tasa extra por catálogo o edición libre.
Control independiente: Comparar exactamente los valores y conteos definidos en el criterio. En rechazos: Δdocumentos, Δpagos, Δaplicaciones, Δstock y Δllamadas mutantes HKA = 0.</x:v>
      </x:c>
      <x:c r="F872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73" ht="180" customHeight="1">
      <x:c r="A873" s="13" t="str">
        <x:v>QA-RIVA-025</x:v>
      </x:c>
      <x:c r="B873" s="13" t="str">
        <x:v>Conversión conserva cap fiscal VES</x:v>
      </x:c>
      <x:c r="C873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Factura USD 116 a tasa 40, IVA 16 USD=640 VES congelados; comprobante VES base 640 al 75 %, importe 480, tasa 50.</x:v>
      </x:c>
      <x:c r="D873" s="13" t="str">
        <x:v>1. Calcular cap fiscal y conversión documental con tasa del comprobante.
2. Registrar con doble confirmed y saldo suficiente.
3. Comparar snapshot, payload y tasa actual irrelevante.</x:v>
      </x:c>
      <x:c r="E873" s="13" t="str">
        <x:v>Retención 480 VES se aplica 9.60 USD=480/50; taxable_base4000VES, cap IVA 640 VES. Total 116 USD intacto. Cambiar tasa actual no altera historial.
Control independiente: Comparar exactamente los valores y conteos definidos en el criterio. En rechazos: Δdocumentos, Δpagos, Δaplicaciones, Δstock y Δllamadas mutantes HKA = 0.</x:v>
      </x:c>
      <x:c r="F873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74" ht="180" customHeight="1">
      <x:c r="A874" s="13" t="str">
        <x:v>QA-RIVA-026</x:v>
      </x:c>
      <x:c r="B874" s="13" t="str">
        <x:v>Conversión directa del payload</x:v>
      </x:c>
      <x:c r="C874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Factura USD 116 tasa 50; voucher USD base 16/importe 12, tasa 40.12345678; HKA fiscal VES.</x:v>
      </x:c>
      <x:c r="D874" s="13" t="str">
        <x:v>1. Calcular importe HKA 12×40.12345678.
2. Preparar outbox y capturar JSON.
3. Comparar valores locales y remotos.</x:v>
      </x:c>
      <x:c r="E874" s="13" t="str">
        <x:v>HKA importe 481.48 VES directo desde voucher USD; no voucher→documento→VES que duplica tasas. Base VES 642.00 dentro cap 800; local importe 12 USD.
Control independiente: Comparar exactamente los valores y conteos definidos en el criterio. En rechazos: Δdocumentos, Δpagos, Δaplicaciones, Δstock y Δllamadas mutantes HKA = 0.</x:v>
      </x:c>
      <x:c r="F874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75" ht="180" customHeight="1">
      <x:c r="A875" s="13" t="str">
        <x:v>QA-RIVA-027</x:v>
      </x:c>
      <x:c r="B875" s="13" t="str">
        <x:v>Rollback comercial no transmite retención</x:v>
      </x:c>
      <x:c r="C875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Transacción externa registra voucher luego falla por stock en fixture doble.</x:v>
      </x:c>
      <x:c r="D875" s="13" t="str">
        <x:v>1. Capturar contador red 0.
2. Provocar fallo antes de commit.
3. Consultar DB/soporte temporal/red.</x:v>
      </x:c>
      <x:c r="E875" s="13" t="str">
        <x:v>No documento/comprobante/aplicación/outbox comprometidos ni HTTP afterCommit; soporte temporal puede recuperarse tras rollback.
Control independiente: Comparar exactamente los valores y conteos definidos en el criterio. En rechazos: Δdocumentos, Δpagos, Δaplicaciones, Δstock y Δllamadas mutantes HKA = 0.</x:v>
      </x:c>
      <x:c r="F875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76" ht="180" customHeight="1">
      <x:c r="A876" s="13" t="str">
        <x:v>QA-RIVA-028</x:v>
      </x:c>
      <x:c r="B876" s="13" t="str">
        <x:v>GET antes y después de POST</x:v>
      </x:c>
      <x:c r="C876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Factura/control confirmed, outbox IVA válida; doble devuelve ausencia exacta 203, POST acepta, GET registro exacto.</x:v>
      </x:c>
      <x:c r="D876" s="13" t="str">
        <x:v>1. Ejecutar operación.
2. Capturar método/URL/body/orden.
3. Comparar estado confirmado y saldo local.</x:v>
      </x:c>
      <x:c r="E876" s="13" t="str">
        <x:v>GET→POST→GET con identidad fiscal congelada; confirmed sólo por comparación exacta. Cuerpo JSON también en GET; una aplicación local independiente.
Control independiente: Comparar exactamente los valores y conteos definidos en el criterio. En rechazos: Δdocumentos, Δpagos, Δaplicaciones, Δstock y Δllamadas mutantes HKA = 0.</x:v>
      </x:c>
      <x:c r="F876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77" ht="180" customHeight="1">
      <x:c r="A877" s="13" t="str">
        <x:v>QA-RIVA-029</x:v>
      </x:c>
      <x:c r="B877" s="13" t="str">
        <x:v>Adoptar retención remota exacta</x:v>
      </x:c>
      <x:c r="C877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Outbox waiting; GET devuelve registro exacto ya existente.</x:v>
      </x:c>
      <x:c r="D877" s="13" t="str">
        <x:v>1. Ejecutar recuperación/query.
2. Contar POST.
3. Revertir posteriormente con control de remoto adoptado.</x:v>
      </x:c>
      <x:c r="E877" s="13" t="str">
        <x:v>confirmed con cero POST; coincidencia total requerida. Remoto adoptado sigue exigiendo conciliación/DELETE antes de reversión local.
Control independiente: Comparar exactamente los valores y conteos definidos en el criterio. En rechazos: Δdocumentos, Δpagos, Δaplicaciones, Δstock y Δllamadas mutantes HKA = 0.</x:v>
      </x:c>
      <x:c r="F877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78" ht="180" customHeight="1">
      <x:c r="A878" s="13" t="str">
        <x:v>QA-RIVA-030</x:v>
      </x:c>
      <x:c r="B878" s="13" t="str">
        <x:v>Conflicto remoto no se sobrescribe</x:v>
      </x:c>
      <x:c r="C878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GET misma factura pero otro importe/número/agente de retención.</x:v>
      </x:c>
      <x:c r="D878" s="13" t="str">
        <x:v>1. Ejecutar apply.
2. Capturar diagnóstico y can_retry.
3. Consultar luego ausencia y después coincidencia como variantes.</x:v>
      </x:c>
      <x:c r="E878" s="13" t="str">
        <x:v>conflict sin POST/DELETE automático de otro comprobante. Consulta ausencia no habilita replay apply conflict; coincidencia exacta puede confirmar. Aplicación local válida permanece mientras remoto incierto.
Control independiente: Comparar exactamente los valores y conteos definidos en el criterio. En rechazos: Δdocumentos, Δpagos, Δaplicaciones, Δstock y Δllamadas mutantes HKA = 0.</x:v>
      </x:c>
      <x:c r="F878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79" ht="180" customHeight="1">
      <x:c r="A879" s="13" t="str">
        <x:v>QA-RIVA-031</x:v>
      </x:c>
      <x:c r="B879" s="13" t="str">
        <x:v>Respuesta parcial es incertidumbre</x:v>
      </x:c>
      <x:c r="C879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GET sin identidad completa o campos faltantes; POST timeout.</x:v>
      </x:c>
      <x:c r="D879" s="13" t="str">
        <x:v>1. Simular cada respuesta.
2. Consultar estado/intento y saldo.
3. Recuperar con GET completo.</x:v>
      </x:c>
      <x:c r="E879" s="13" t="str">
        <x:v>uncertain/pending según etapa; no declarar ausencia ni confirmed. Preservar aplicación local, sin rePOST antes de conciliación.
Control independiente: Comparar exactamente los valores y conteos definidos en el criterio. En rechazos: Δdocumentos, Δpagos, Δaplicaciones, Δstock y Δllamadas mutantes HKA = 0.</x:v>
      </x:c>
      <x:c r="F879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80" ht="180" customHeight="1">
      <x:c r="A880" s="13" t="str">
        <x:v>QA-RIVA-032</x:v>
      </x:c>
      <x:c r="B880" s="13" t="str">
        <x:v>Ausencia IVA exacta 203</x:v>
      </x:c>
      <x:c r="C880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DobleHTTP 200 código 203, mensaje Retención no encontrada, validaciones única contractual exacta. Negativas: HTTP 400/500, mensaje distinto, lista distinta, código distinto oJSON incompleto; no tratar un 2 xx distinto como fracaso HTTP por sísolo.</x:v>
      </x:c>
      <x:c r="D880" s="13" t="str">
        <x:v>1. Simular respuesta exacta.
2. Comparar con variantes mensaje/validaciones/código/HTTP adulterados.
3. Contar llamadas mutantes.</x:v>
      </x:c>
      <x:c r="E880" s="13" t="str">
        <x:v>Sólo firma código 203/mensaje/validaciones contractual sobreHTTP exitoso acredita ausencia IVA; 203 genérico, timeout o validaciones otras no autoriza mutación. HTTP 200 esfixture positivo conocido; otrosHTTP 2xx exitosos siguen criterio deladaptador, HTTP 400/500 no acreditan ausencia. Cadaresponse lleva veredicto individual.
Control independiente: Comparar exactamente los valores y conteos definidos en el criterio. En rechazos: Δdocumentos, Δpagos, Δaplicaciones, Δstock y Δllamadas mutantes HKA = 0.</x:v>
      </x:c>
      <x:c r="F880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81" ht="180" customHeight="1">
      <x:c r="A881" s="13" t="str">
        <x:v>QA-RIVA-033</x:v>
      </x:c>
      <x:c r="B881" s="13" t="str">
        <x:v>Ausencia IVA vacía coherente</x:v>
      </x:c>
      <x:c r="C881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Doble GET HTTP 200, codigo 200, validaciones[] con infoRetencion=null explícito; variante con identidad coincidente y totalesRetencion=null; negativas sin campo resultado o identidad conflictiva.</x:v>
      </x:c>
      <x:c r="D881" s="13" t="str">
        <x:v>1. Probar vacío identificado.
2. Probar vacío sin identidad/JSON incompleto.
3. Comparar estado y diagnóstico.</x:v>
      </x:c>
      <x:c r="E881" s="13" t="str">
        <x:v>infoRetencion null explícito en envolvente exitosa 200/sin validaciones acredita ausencia; también totalesRetencion null con identidad completa coincidente. Campo ausente o objeto incompleto queda unknown; identidad distinta conflict. No confundir colección vacía[] con null contractual.
Control independiente: Comparar exactamente los valores y conteos definidos en el criterio. En rechazos: Δdocumentos, Δpagos, Δaplicaciones, Δstock y Δllamadas mutantes HKA = 0.</x:v>
      </x:c>
      <x:c r="F881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82" ht="180" customHeight="1">
      <x:c r="A882" s="13" t="str">
        <x:v>QA-RIVA-034</x:v>
      </x:c>
      <x:c r="B882" s="13" t="str">
        <x:v>Identidad HKA congelada</x:v>
      </x:c>
      <x:c r="C882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Serie original vacía/número original/control con prefijos; UI rellena 8 dígitos.</x:v>
      </x:c>
      <x:c r="D882" s="13" t="str">
        <x:v>1. Capturar snapshot confirmed.
2. Ejecutar GET/POST/DELETE con control doble.
3. Comparar body vs número visible.</x:v>
      </x:c>
      <x:c r="E882" s="13" t="str">
        <x:v>Usa tipoDocumento 01/serie/número/control originales; no Sin serie ni número formateado UI en request.
Control independiente: Comparar exactamente los valores y conteos definidos en el criterio. En rechazos: Δdocumentos, Δpagos, Δaplicaciones, Δstock y Δllamadas mutantes HKA = 0.</x:v>
      </x:c>
      <x:c r="F882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83" ht="180" customHeight="1">
      <x:c r="A883" s="13" t="str">
        <x:v>QA-RIVA-035</x:v>
      </x:c>
      <x:c r="B883" s="13" t="str">
        <x:v>Ventana propia 90 segundos</x:v>
      </x:c>
      <x:c r="C883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Outbox IVA pending iniciado T0; retiro que sigue a apply pending/uncertain en otro fixture; reloj controlado T0+89,+90,+91. Para uncertain/waiting liberado, registrar next_attempt_at del backoff.</x:v>
      </x:c>
      <x:c r="D883" s="13" t="str">
        <x:v>1. Consultar recuperación cada frontera sin dormir realmente.
2. Conservar intent_id y contador GET/POST.
3. Comparar factura/correo con sus propios plazos.</x:v>
      </x:c>
      <x:c r="E883" s="13" t="str">
        <x:v>pending no se reclama antes de 90 s; desde 90 s puede conciliarse por GET. El retiro espera 90 s desde apply pending/uncertain. Consulta/retry de uncertainty liberada respeta next_attempt_at/backoff y queryonly propio, no una espera 90 s universal. No usar 40 s factura/50 s correo para este outbox.
Control independiente: Comparar exactamente los valores y conteos definidos en el criterio. En rechazos: Δdocumentos, Δpagos, Δaplicaciones, Δstock y Δllamadas mutantes HKA = 0.</x:v>
      </x:c>
      <x:c r="F883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84" ht="180" customHeight="1">
      <x:c r="A884" s="13" t="str">
        <x:v>QA-RIVA-036</x:v>
      </x:c>
      <x:c r="B884" s="13" t="str">
        <x:v>Recuperación programada por tenant</x:v>
      </x:c>
      <x:c r="C884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outbox uncertain; tenancy:run iva-retentions:recover everyMinute sin solapamiento.</x:v>
      </x:c>
      <x:c r="D884" s="13" t="str">
        <x:v>1. Ejecutar scheduler en doble QA.
2. Probar dos invocaciones solapadas.
3. Inspeccionar tenant, intento, next_retry_at y llamadas.</x:v>
      </x:c>
      <x:c r="E884" s="13" t="str">
        <x:v>Recuperación aislada y progresiva 60 s→hasta 1 h; sin dos HTTP mutantes concurrentes. Rejected/conflict no reenvío automático.
Control independiente: Comparar exactamente los valores y conteos definidos en el criterio. En rechazos: Δdocumentos, Δpagos, Δaplicaciones, Δstock y Δllamadas mutantes HKA = 0.</x:v>
      </x:c>
      <x:c r="F884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85" ht="180" customHeight="1">
      <x:c r="A885" s="13" t="str">
        <x:v>QA-RIVA-037</x:v>
      </x:c>
      <x:c r="B885" s="13" t="str">
        <x:v>Reversión sin remoto observado</x:v>
      </x:c>
      <x:c r="C885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applied 12, apply nunca intentado/observado remotamente; saldo 104.</x:v>
      </x:c>
      <x:c r="D885" s="13" t="str">
        <x:v>1. Revertir con UUID R distinto y reason QA.
2. Repetir misma R/reason.
3. Consultar historial/aplicaciones/outbox.</x:v>
      </x:c>
      <x:c r="E885" s="13" t="str">
        <x:v>Reversión local inmediata única, saldo 116, applied_amount 0, estado reversed; cancela apply viejo y conserva soporte/previsión/auditoría. Caja intacta.
Control independiente: Comparar exactamente los valores y conteos definidos en el criterio. En rechazos: Δdocumentos, Δpagos, Δaplicaciones, Δstock y Δllamadas mutantes HKA = 0.</x:v>
      </x:c>
      <x:c r="F885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86" ht="180" customHeight="1">
      <x:c r="A886" s="13" t="str">
        <x:v>QA-RIVA-038</x:v>
      </x:c>
      <x:c r="B886" s="13" t="str">
        <x:v>Reversión remota con prueba de ausencia</x:v>
      </x:c>
      <x:c r="C886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applied 12 y remoto confirmed; DELETE acepta, GET ausencia exacta.</x:v>
      </x:c>
      <x:c r="D886" s="13" t="str">
        <x:v>1. Solicitar reverse R/reason.
2. Leer reversal_pending antes de GET final.
3. Conciliar ausencia y recargar saldo.</x:v>
      </x:c>
      <x:c r="E886" s="13" t="str">
        <x:v>Hasta ausencia: sigue aplicado 12/saldo 104. Después: reversed 0/saldo 116 una vez; DELETE con body identidad fiscal original (tipo/serie/número/control), sin exigir el payload completo de aplicación. Historia preservada.
Control independiente: Comparar exactamente los valores y conteos definidos en el criterio. En rechazos: Δdocumentos, Δpagos, Δaplicaciones, Δstock y Δllamadas mutantes HKA = 0.</x:v>
      </x:c>
      <x:c r="F886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87" ht="180" customHeight="1">
      <x:c r="A887" s="13" t="str">
        <x:v>QA-RIVA-039</x:v>
      </x:c>
      <x:c r="B887" s="13" t="str">
        <x:v>Reversión remota timeout/conflicto</x:v>
      </x:c>
      <x:c r="C887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Remoto puede existir; DELETE timeout o GET otro registro.</x:v>
      </x:c>
      <x:c r="D887" s="13" t="str">
        <x:v>1. Solicitar reverse.
2. Consultar diagnóstico y saldo.
3. Reintentar con UUID operación HKA actual sólo cuando permitido.</x:v>
      </x:c>
      <x:c r="E887" s="13" t="str">
        <x:v>No liberar saldo mientras ausencia no acreditada; reversal_pending true con efecto financiero activo. No borrar registro remoto ajeno.
Control independiente: Comparar exactamente los valores y conteos definidos en el criterio. En rechazos: Δdocumentos, Δpagos, Δaplicaciones, Δstock y Δllamadas mutantes HKA = 0.</x:v>
      </x:c>
      <x:c r="F887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88" ht="180" customHeight="1">
      <x:c r="A888" s="13" t="str">
        <x:v>QA-RIVA-040</x:v>
      </x:c>
      <x:c r="B888" s="13" t="str">
        <x:v>Reversión idempotente y permisos</x:v>
      </x:c>
      <x:c r="C888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applied; reason vacío, UUID registro reutilizado, rol sin delete_payment, replay R con datos distintos.</x:v>
      </x:c>
      <x:c r="D888" s="13" t="str">
        <x:v>1. Probar cada negativa por variante.
2. Control reverse válido.
3. Comparar caja/saldo/historial.</x:v>
      </x:c>
      <x:c r="E888" s="13" t="str">
        <x:v>422/409/403 según contrato sin efectos; mismaR/motivo devuelve mismo resultado, cambio acción/motivo no ejecuta otra reversión.
Control independiente: Comparar exactamente los valores y conteos definidos en el criterio. En rechazos: Δdocumentos, Δpagos, Δaplicaciones, Δstock y Δllamadas mutantes HKA = 0.</x:v>
      </x:c>
      <x:c r="F888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89" ht="180" customHeight="1">
      <x:c r="A889" s="13" t="str">
        <x:v>QA-RIVA-041</x:v>
      </x:c>
      <x:c r="B889" s="13" t="str">
        <x:v>Respuesta de intento antiguo ignorada</x:v>
      </x:c>
      <x:c r="C889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Apply attempt A1 iniciado; reversión/cancelación genera A2 bajo secuencia permitida.</x:v>
      </x:c>
      <x:c r="D889" s="13" t="str">
        <x:v>1. Retener respuesta A1 en doble.
2. Completar flujo A2 y liberar respuesta A1.
3. Comparar estado/UUID/auditoría/saldo.</x:v>
      </x:c>
      <x:c r="E889" s="13" t="str">
        <x:v>Respuesta A1 no reactiva comprobante revertido ni confirma operación nueva; identidad/intento protege contra escritura tardía.
Control independiente: Comparar exactamente los valores y conteos definidos en el criterio. En rechazos: Δdocumentos, Δpagos, Δaplicaciones, Δstock y Δllamadas mutantes HKA = 0.</x:v>
      </x:c>
      <x:c r="F889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90" ht="180" customHeight="1">
      <x:c r="A890" s="13" t="str">
        <x:v>QA-RIVA-042</x:v>
      </x:c>
      <x:c r="B890" s="13" t="str">
        <x:v>DTO limpio y controles por estado</x:v>
      </x:c>
      <x:c r="C890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Voucher pending/applied/invalid/reversed y HKA waiting/confirmed/conflict/uncertain como variantes.</x:v>
      </x:c>
      <x:c r="D890" s="13" t="str">
        <x:v>1. GET document retention y detalle.
2. Inventariar botones/query/retry/reverse yverified_fields.
3. Inspeccionar JSON por secretos.</x:v>
      </x:c>
      <x:c r="E890" s="13" t="str">
        <x:v>DTO por impuesto refleja estado local/remoto/ applied_amount / reversal_pending y acciones reales; no hash/payload/credenciales/contexto secreto. Retenciones no son estado emisión factura.
Control independiente: Comparar exactamente los valores y conteos definidos en el criterio. En rechazos: Δdocumentos, Δpagos, Δaplicaciones, Δstock y Δllamadas mutantes HKA = 0.</x:v>
      </x:c>
      <x:c r="F890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91" ht="180" customHeight="1">
      <x:c r="A891" s="13" t="str">
        <x:v>QA-RIVA-043</x:v>
      </x:c>
      <x:c r="B891" s="13" t="str">
        <x:v>Reportes y crédito tras aplicación/reversión</x:v>
      </x:c>
      <x:c r="C891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Factura 116, pago 104, IVA válida 12 por doble; CashDocumentCredit PENDING.</x:v>
      </x:c>
      <x:c r="D891" s="13" t="str">
        <x:v>1. Aplicar 12 y consultar CxC.
2. Revertir conciliando ausencia.
3. Comparar caja/reportes/previsión.</x:v>
      </x:c>
      <x:c r="E891" s="13" t="str">
        <x:v>Aplicada→saldo 0/PROCESSED; reversión→saldo 12/PENDING; efectivo 104 inmutable. No marcar ingreso 12 por retención ni descuento contable de venta.
Control independiente: Comparar exactamente los valores y conteos definidos en el criterio. En rechazos: Δdocumentos, Δpagos, Δaplicaciones, Δstock y Δllamadas mutantes HKA = 0.</x:v>
      </x:c>
      <x:c r="F891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92" ht="180" customHeight="1">
      <x:c r="A892" s="13" t="str">
        <x:v>QA-RIVA-044</x:v>
      </x:c>
      <x:c r="B892" s="13" t="str">
        <x:v>Aplicación 100 % con fundamento undisclosed_iva</x:v>
      </x:c>
      <x:c r="C892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16, total 116; comprador agente IVA general; fundamento undisclosed_iva, evidence_reference =QA-100-undisclosed_iva, soporte PDF y confirmed del doble.</x:v>
      </x:c>
      <x:c r="D892" s="13" t="str">
        <x:v>1. Solicitar propuesta con contexto/fundamento y revisar porcentaje 100.
2. Registrar comprobante base IVA 16, importe 16, sustraendo 0 y referencia concordante.
3. Consultar estado aplicado/saldo y después retirar evidencia como variante negativa con otro fixture.</x:v>
      </x:c>
      <x:c r="E892" s="13" t="str">
        <x:v>Con evidencia aplica 16 y saldo 100 sin caja. Sin evidencia no aplica; no reutilizar aprobación de otro fundamento. Snapshot conserva causa/evidencia.
Control independiente: 16×100/100=16; 116−16=100; Δcaja=0.</x:v>
      </x:c>
      <x:c r="F892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93" ht="180" customHeight="1">
      <x:c r="A893" s="13" t="str">
        <x:v>QA-RIVA-045</x:v>
      </x:c>
      <x:c r="B893" s="13" t="str">
        <x:v>Aplicación 100 % con fundamento invoice_formalities</x:v>
      </x:c>
      <x:c r="C893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16, total 116; comprador agente IVA general; fundamento invoice_formalities, evidence_reference =QA-100-invoice_formalities, soporte PDF y confirmed del doble.</x:v>
      </x:c>
      <x:c r="D893" s="13" t="str">
        <x:v>1. Solicitar propuesta con contexto/fundamento y revisar porcentaje 100.
2. Registrar comprobante base IVA 16, importe 16, sustraendo 0 y referencia concordante.
3. Consultar estado aplicado/saldo y después retirar evidencia como variante negativa con otro fixture.</x:v>
      </x:c>
      <x:c r="E893" s="13" t="str">
        <x:v>Con evidencia aplica 16 y saldo 100 sin caja. Sin evidencia no aplica; no reutilizar aprobación de otro fundamento. Snapshot conserva causa/evidencia.
Control independiente: 16×100/100=16; 116−16=100; Δcaja=0.</x:v>
      </x:c>
      <x:c r="F893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94" ht="180" customHeight="1">
      <x:c r="A894" s="13" t="str">
        <x:v>QA-RIVA-046</x:v>
      </x:c>
      <x:c r="B894" s="13" t="str">
        <x:v>Aplicación 100 % con fundamento portal_100</x:v>
      </x:c>
      <x:c r="C894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16, total 116; comprador agente IVA general; fundamento portal_100, evidence_reference =QA-100-portal_100, soporte PDF y confirmed del doble.</x:v>
      </x:c>
      <x:c r="D894" s="13" t="str">
        <x:v>1. Solicitar propuesta con contexto/fundamento y revisar porcentaje 100.
2. Registrar comprobante base IVA 16, importe 16, sustraendo 0 y referencia concordante.
3. Consultar estado aplicado/saldo y después retirar evidencia como variante negativa con otro fixture.</x:v>
      </x:c>
      <x:c r="E894" s="13" t="str">
        <x:v>Con evidencia aplica 16 y saldo 100 sin caja. Sin evidencia no aplica; no reutilizar aprobación de otro fundamento. Snapshot conserva causa/evidencia.
Control independiente: 16×100/100=16; 116−16=100; Δcaja=0.</x:v>
      </x:c>
      <x:c r="F894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95" ht="180" customHeight="1">
      <x:c r="A895" s="13" t="str">
        <x:v>QA-RIVA-047</x:v>
      </x:c>
      <x:c r="B895" s="13" t="str">
        <x:v>Aplicación 100 % con fundamento unregistered_rif</x:v>
      </x:c>
      <x:c r="C895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16, total 116; comprador agente IVA general; fundamento unregistered_rif, evidence_reference =QA-100-unregistered_rif, soporte PDF y confirmed del doble.</x:v>
      </x:c>
      <x:c r="D895" s="13" t="str">
        <x:v>1. Solicitar propuesta con contexto/fundamento y revisar porcentaje 100.
2. Registrar comprobante base IVA 16, importe 16, sustraendo 0 y referencia concordante.
3. Consultar estado aplicado/saldo y después retirar evidencia como variante negativa con otro fixture.</x:v>
      </x:c>
      <x:c r="E895" s="13" t="str">
        <x:v>Con evidencia aplica 16 y saldo 100 sin caja. Sin evidencia no aplica; no reutilizar aprobación de otro fundamento. Snapshot conserva causa/evidencia.
Control independiente: 16×100/100=16; 116−16=100; Δcaja=0.</x:v>
      </x:c>
      <x:c r="F895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96" ht="180" customHeight="1">
      <x:c r="A896" s="13" t="str">
        <x:v>QA-RIVA-048</x:v>
      </x:c>
      <x:c r="B896" s="13" t="str">
        <x:v>Aplicación 100 % con fundamento precious_metals</x:v>
      </x:c>
      <x:c r="C896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16, total 116; comprador agente IVA general; fundamento precious_metals, evidence_reference =QA-100-precious_metals, soporte PDF y confirmed del doble.</x:v>
      </x:c>
      <x:c r="D896" s="13" t="str">
        <x:v>1. Solicitar propuesta con contexto/fundamento y revisar porcentaje 100.
2. Registrar comprobante base IVA 16, importe 16, sustraendo 0 y referencia concordante.
3. Consultar estado aplicado/saldo y después retirar evidencia como variante negativa con otro fixture.</x:v>
      </x:c>
      <x:c r="E896" s="13" t="str">
        <x:v>Con evidencia aplica 16 y saldo 100 sin caja. Sin evidencia no aplica; no reutilizar aprobación de otro fundamento. Snapshot conserva causa/evidencia.
Control independiente: 16×100/100=16; 116−16=100; Δcaja=0.</x:v>
      </x:c>
      <x:c r="F896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97" ht="168" customHeight="1">
      <x:c r="A897" s="13" t="str">
        <x:v>QA-RISLR-001</x:v>
      </x:c>
      <x:c r="B897" s="13" t="str">
        <x:v>Catálogo no salarial completo</x:v>
      </x:c>
      <x:c r="C89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Catálogo tenant inicial y endpoint GET documents/retention/concepts.</x:v>
      </x:c>
      <x:c r="D897" s="13" t="str">
        <x:v>1. Consultar catálogo con autenticación real.
2. Comparar IDs/descripciones ordenados con rows iniciales.
3. Abrir selector ISLR y verificar cada entrada con caso individual de matriz.</x:v>
      </x:c>
      <x:c r="E897" s="13" t="str">
        <x:v>001 excluido; todos los demás IDs existentes visibles ordenados. Sólo ID/descripcion para elegir; percentage_label histórico no asigna porcentaje ni sustraendo.
Control independiente: Comparar exactamente los valores y conteos definidos en el criterio. En rechazos: Δdocumentos, Δpagos, Δaplicaciones, Δstock y Δllamadas mutantes HKA = 0.</x:v>
      </x:c>
      <x:c r="F89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98" ht="168" customHeight="1">
      <x:c r="A898" s="13" t="str">
        <x:v>QA-RISLR-002</x:v>
      </x:c>
      <x:c r="B898" s="13" t="str">
        <x:v>Concepto salarial 001 excluido</x:v>
      </x:c>
      <x:c r="C89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 001 sueldos y salarios y Factura 01 vigente.</x:v>
      </x:c>
      <x:c r="D898" s="13" t="str">
        <x:v>1. Forzar 001 en propuesta.
2. Forzar 001 en registro.
3. Comparar historial/outbox.</x:v>
      </x:c>
      <x:c r="E898" s="13" t="str">
        <x:v>Rechazo explícito no salarial; cero aplicación/HTTP ISLR. No habilita salarios, ARC ni XML SENIAT.
Control independiente: Comparar exactamente los valores y conteos definidos en el criterio. En rechazos: Δdocumentos, Δpagos, Δaplicaciones, Δstock y Δllamadas mutantes HKA = 0.</x:v>
      </x:c>
      <x:c r="F89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899" ht="168" customHeight="1">
      <x:c r="A899" s="13" t="str">
        <x:v>QA-RISLR-003</x:v>
      </x:c>
      <x:c r="B899" s="13" t="str">
        <x:v>Concepto inválido o varios</x:v>
      </x:c>
      <x:c r="C89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omitido, 999, 02, 002+003, array como variantes.</x:v>
      </x:c>
      <x:c r="D899" s="13" t="str">
        <x:v>1. Enviar propuesta/registro por variante.
2. Capturar error campo.
3. Consultar registros.</x:v>
      </x:c>
      <x:c r="E899" s="13" t="str">
        <x:v>Un concepto existente de tres dígitos!=001; no lista ni mapping fiscal inferido.
Control independiente: Comparar exactamente los valores y conteos definidos en el criterio. En rechazos: Δdocumentos, Δpagos, Δaplicaciones, Δstock y Δllamadas mutantes HKA = 0.</x:v>
      </x:c>
      <x:c r="F89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00" ht="168" customHeight="1">
      <x:c r="A900" s="13" t="str">
        <x:v>QA-RISLR-004</x:v>
      </x:c>
      <x:c r="B900" s="13" t="str">
        <x:v>Previsión ISLR 3 sin aplicación</x:v>
      </x:c>
      <x:c r="C90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Base 100, 3 %, sustraendo 0, total 116 sin pago.</x:v>
      </x:c>
      <x:c r="D900" s="13" t="str">
        <x:v>1. Solicitar propuesta ISLR tax_kind ISLR, full_net.
2. Guardar enabled true.
3. Reabrir Pagos y consultar saldo.</x:v>
      </x:c>
      <x:c r="E900" s="13" t="str">
        <x:v>Propuesta 3, cobro sugerido 113, deuda 116 sin pago; snapshot concepto/fundamento/versión conservado. No crea caja ni aplicación.
Control independiente: Comparar exactamente los valores y conteos definidos en el criterio. En rechazos: Δdocumentos, Δpagos, Δaplicaciones, Δstock y Δllamadas mutantes HKA = 0.</x:v>
      </x:c>
      <x:c r="F90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01" ht="168" customHeight="1">
      <x:c r="A901" s="13" t="str">
        <x:v>QA-RISLR-005</x:v>
      </x:c>
      <x:c r="B901" s="13" t="str">
        <x:v>Previsión con sustraendo declarado</x:v>
      </x:c>
      <x:c r="C90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Base 100, 3 %, sustraendo 1, total 116.</x:v>
      </x:c>
      <x:c r="D901" s="13" t="str">
        <x:v>1. Ingresar tasa y sustraendo propios.
2. Solicitar propuesta y guardar.
3. Comparar fórmula/moneda/versiones.</x:v>
      </x:c>
      <x:c r="E901" s="13" t="str">
        <x:v>max(0, 100×3/100−1)=2; cobro sugerido 114; no tasa/sustraendo automático por concepto/SPE.
Control independiente: Comparar exactamente los valores y conteos definidos en el criterio. En rechazos: Δdocumentos, Δpagos, Δaplicaciones, Δstock y Δllamadas mutantes HKA = 0.</x:v>
      </x:c>
      <x:c r="F90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02" ht="168" customHeight="1">
      <x:c r="A902" s="13" t="str">
        <x:v>QA-RISLR-006</x:v>
      </x:c>
      <x:c r="B902" s="13" t="str">
        <x:v>Modo full_net y declared</x:v>
      </x:c>
      <x:c r="C90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Factura neta 100 VES; declared base 60; full_net sin base como 2 variantes.</x:v>
      </x:c>
      <x:c r="D902" s="13" t="str">
        <x:v>1. Solicitar cada modo con percentage 3/subtrahend 0.
2. Guardar previsión.
3. Comparar cambio de líneas con full_net /declared.</x:v>
      </x:c>
      <x:c r="E902" s="13" t="str">
        <x:v> full_net base 100→3; declared 60→1.80. Base declarada conservada mientras válida; full_net recalcula total neto al editar.
Control independiente: Comparar exactamente los valores y conteos definidos en el criterio. En rechazos: Δdocumentos, Δpagos, Δaplicaciones, Δstock y Δllamadas mutantes HKA = 0.</x:v>
      </x:c>
      <x:c r="F90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03" ht="168" customHeight="1">
      <x:c r="A903" s="13" t="str">
        <x:v>QA-RISLR-007</x:v>
      </x:c>
      <x:c r="B903" s="13" t="str">
        <x:v>Declared sin base y modo inválido</x:v>
      </x:c>
      <x:c r="C90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 base_mode declared sin base; modo automático inexistente.</x:v>
      </x:c>
      <x:c r="D903" s="13" t="str">
        <x:v>1. Probar propuestas.
2. Capturar 422.
3. Consultar previsión previa.</x:v>
      </x:c>
      <x:c r="E903" s="13" t="str">
        <x:v>Rechazo sin reescribir previsión ni inventar base/código ISLR.
Control independiente: Comparar exactamente los valores y conteos definidos en el criterio. En rechazos: Δdocumentos, Δpagos, Δaplicaciones, Δstock y Δllamadas mutantes HKA = 0.</x:v>
      </x:c>
      <x:c r="F90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04" ht="168" customHeight="1">
      <x:c r="A904" s="13" t="str">
        <x:v>QA-RISLR-008</x:v>
      </x:c>
      <x:c r="B904" s="13" t="str">
        <x:v>Fundamento y evidencia obligatorios</x:v>
      </x:c>
      <x:c r="C90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fiscal_contextsin concept_basis o evidence_reference; blancos y longitud 256 como variantes.</x:v>
      </x:c>
      <x:c r="D904" s="13" t="str">
        <x:v>1. Enviar cada contexto en propuesta/registro.
2. Control texto QA de≤255.
3. Comparar diagnóstico/persistencia.</x:v>
      </x:c>
      <x:c r="E904" s="13" t="str">
        <x:v>Ambos campos requieren texto no blanco≤255; facultad perfil no sustituye fundamento de operación.
Control independiente: Comparar exactamente los valores y conteos definidos en el criterio. En rechazos: Δdocumentos, Δpagos, Δaplicaciones, Δstock y Δllamadas mutantes HKA = 0.</x:v>
      </x:c>
      <x:c r="F90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05" ht="168" customHeight="1">
      <x:c r="A905" s="13" t="str">
        <x:v>QA-RISLR-009</x:v>
      </x:c>
      <x:c r="B905" s="13" t="str">
        <x:v>Número ISLR textual</x:v>
      </x:c>
      <x:c r="C90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ISLR-QA/2026-001, 14 dígitos, 50 caracteres como 3 entradas válidas.</x:v>
      </x:c>
      <x:c r="D905" s="13" t="str">
        <x:v>1. Registrar cada valor en factura independiente con doble confirmed.
2. Reabrir registro.
3. Comparar dato con HKA.</x:v>
      </x:c>
      <x:c r="E905" s="13" t="str">
        <x:v>Número no usa regla AAAAMM IVA; preserva texto no vacío≤50. Una factura por variante para evitar segundo activo.
Control independiente: Comparar exactamente los valores y conteos definidos en el criterio. En rechazos: Δdocumentos, Δpagos, Δaplicaciones, Δstock y Δllamadas mutantes HKA = 0.</x:v>
      </x:c>
      <x:c r="F90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06" ht="168" customHeight="1">
      <x:c r="A906" s="13" t="str">
        <x:v>QA-RISLR-010</x:v>
      </x:c>
      <x:c r="B906" s="13" t="str">
        <x:v>Número ISLR inválido</x:v>
      </x:c>
      <x:c r="C90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Número vacío, espacios, 51 caracteres como 3 variantes.</x:v>
      </x:c>
      <x:c r="D906" s="13" t="str">
        <x:v>1. Enviar registro por variante.
2. Capturar validación.
3. Verificar cero efectos.</x:v>
      </x:c>
      <x:c r="E906" s="13" t="str">
        <x:v>Rechazo antes de aplicación/HTTP; ninguna truncación silenciosa.
Control independiente: Comparar exactamente los valores y conteos definidos en el criterio. En rechazos: Δdocumentos, Δpagos, Δaplicaciones, Δstock y Δllamadas mutantes HKA = 0.</x:v>
      </x:c>
      <x:c r="F90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07" ht="168" customHeight="1">
      <x:c r="A907" s="13" t="str">
        <x:v>QA-RISLR-011</x:v>
      </x:c>
      <x:c r="B907" s="13" t="str">
        <x:v>Porcentaje declarado y bordes</x:v>
      </x:c>
      <x:c r="C90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Porcentajes 0,-1, 100.01; controles 0.01 y 100 con base 100/sustraendo 0.</x:v>
      </x:c>
      <x:c r="D907" s="13" t="str">
        <x:v>1. Enviar cada porcentaje en fixture independiente.
2. Comparar fórmula importe ycap/saldo.
3. Verificar persistencia.</x:v>
      </x:c>
      <x:c r="E907" s="13" t="str">
        <x:v>Porcentaje&gt;0≤100 a precisión contractual; inválidos rechazados. 0.01→0.01, 100→100 si importe/cap/saldo soportan; no tasa automática.
Control independiente: Comparar exactamente los valores y conteos definidos en el criterio. En rechazos: Δdocumentos, Δpagos, Δaplicaciones, Δstock y Δllamadas mutantes HKA = 0.</x:v>
      </x:c>
      <x:c r="F90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08" ht="168" customHeight="1">
      <x:c r="A908" s="13" t="str">
        <x:v>QA-RISLR-012</x:v>
      </x:c>
      <x:c r="B908" s="13" t="str">
        <x:v>Sustraendo y fórmula cero</x:v>
      </x:c>
      <x:c r="C90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Base 100, tasa 3; sustraendo-1, 3, 4 y 1 como variantes.</x:v>
      </x:c>
      <x:c r="D908" s="13" t="str">
        <x:v>1. Calcular max(0, 3−sustraendo).
2. Enviar propuesta y registrar cuando elegible.
3. Comparar diagnóstico/efectos.</x:v>
      </x:c>
      <x:c r="E908" s="13" t="str">
        <x:v>-1 inválido; 3/4 dan importe 0/no elegible y no registro positivo; 1 da 2. No importe negativo ni caja.
Control independiente: Comparar exactamente los valores y conteos definidos en el criterio. En rechazos: Δdocumentos, Δpagos, Δaplicaciones, Δstock y Δllamadas mutantes HKA = 0.</x:v>
      </x:c>
      <x:c r="F90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09" ht="168" customHeight="1">
      <x:c r="A909" s="13" t="str">
        <x:v>QA-RISLR-013</x:v>
      </x:c>
      <x:c r="B909" s="13" t="str">
        <x:v>Importe declarado distinto a fórmula</x:v>
      </x:c>
      <x:c r="C90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Base 100, 3 %, sustraendo 1; amounts 1.99/2.01 vs control 2.00.</x:v>
      </x:c>
      <x:c r="D909" s="13" t="str">
        <x:v>1. Enviar cada importe con UUID distinto.
2. Conservar respuesta.
3. Verificar registros y saldo.</x:v>
      </x:c>
      <x:c r="E909" s="13" t="str">
        <x:v>Comparación racional exige 2.00 exacto tras normalización; 1.99/2.01 rechazados. No tolerancia IVA trasladada automáticamente.
Control independiente: Comparar exactamente los valores y conteos definidos en el criterio. En rechazos: Δdocumentos, Δpagos, Δaplicaciones, Δstock y Δllamadas mutantes HKA = 0.</x:v>
      </x:c>
      <x:c r="F90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10" ht="168" customHeight="1">
      <x:c r="A910" s="13" t="str">
        <x:v>QA-RISLR-014</x:v>
      </x:c>
      <x:c r="B910" s="13" t="str">
        <x:v>Base mayor al neto fiscal</x:v>
      </x:c>
      <x:c r="C91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Neto fiscal 100 VES; base 101 VES, rate actual distinta.</x:v>
      </x:c>
      <x:c r="D910" s="13" t="str">
        <x:v>1. Calcular cap neto fiscal snapshot.
2. Intentar registro/propuesta con base 101.
3. Comparar saldo.</x:v>
      </x:c>
      <x:c r="E910" s="13" t="str">
        <x:v>Rechazo por base&gt;neto fiscal; no utilizar total 116 incluyendo IVA como cap 100 ni tasa actual para ampliarlo.
Control independiente: Comparar exactamente los valores y conteos definidos en el criterio. En rechazos: Δdocumentos, Δpagos, Δaplicaciones, Δstock y Δllamadas mutantes HKA = 0.</x:v>
      </x:c>
      <x:c r="F91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11" ht="168" customHeight="1">
      <x:c r="A911" s="13" t="str">
        <x:v>QA-RISLR-015</x:v>
      </x:c>
      <x:c r="B911" s="13" t="str">
        <x:v>Saldo insuficiente</x:v>
      </x:c>
      <x:c r="C91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Factura 116 VES, abono 114, saldo 2; ISLR 3.</x:v>
      </x:c>
      <x:c r="D911" s="13" t="str">
        <x:v>1. Registrar comprobante 3 válido demás campos.
2. Capturar rechazo.
3. Consultar pagos/caja/outbox.</x:v>
      </x:c>
      <x:c r="E911" s="13" t="str">
        <x:v>Exceso 3&gt;saldo 2 rechazado sin aplicación parcial; abono 114 intacto.
Control independiente: Comparar exactamente los valores y conteos definidos en el criterio. En rechazos: Δdocumentos, Δpagos, Δaplicaciones, Δstock y Δllamadas mutantes HKA = 0.</x:v>
      </x:c>
      <x:c r="F91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12" ht="168" customHeight="1">
      <x:c r="A912" s="13" t="str">
        <x:v>QA-RISLR-016</x:v>
      </x:c>
      <x:c r="B912" s="13" t="str">
        <x:v>Conversión full_net con tasa propia</x:v>
      </x:c>
      <x:c r="C91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Factura USD net 100, tasa 40→net fiscal 4000 VES; voucher USD tasa 50.</x:v>
      </x:c>
      <x:c r="D912" s="13" t="str">
        <x:v>1. Solicitar full_net porcentaje 3.
2. Comparar base/importe sin tasa actual.
3. Guardar previsión y snapshot.</x:v>
      </x:c>
      <x:c r="E912" s="13" t="str">
        <x:v>Base voucher 80 USD=4000/50; retención 2.40 USD. No convertir net 100 USD directamente a 80 usando redondeo documental ambiguo.
Control independiente: Comparar exactamente los valores y conteos definidos en el criterio. En rechazos: Δdocumentos, Δpagos, Δaplicaciones, Δstock y Δllamadas mutantes HKA = 0.</x:v>
      </x:c>
      <x:c r="F91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13" ht="168" customHeight="1">
      <x:c r="A913" s="13" t="str">
        <x:v>QA-RISLR-017</x:v>
      </x:c>
      <x:c r="B913" s="13" t="str">
        <x:v>Registro pendiente antes de confirmación</x:v>
      </x:c>
      <x:c r="C91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Factura 116 sin control; comprobante válido con referencia esperada doble.</x:v>
      </x:c>
      <x:c r="D913" s="13" t="str">
        <x:v>1. Subir soporte y registrar ISLR.
2. GET retention/DTO.
3. Comparar saldo y red.</x:v>
      </x:c>
      <x:c r="E913" s="13" t="str">
        <x:v> pending_validation y waiting_invoice, applied_amount 0, deuda 116. No activar con previsión ni control incompleto.
Control independiente: Comparar exactamente los valores y conteos definidos en el criterio. En rechazos: Δdocumentos, Δpagos, Δaplicaciones, Δstock y Δllamadas mutantes HKA = 0.</x:v>
      </x:c>
      <x:c r="F91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14" ht="168" customHeight="1">
      <x:c r="A914" s="13" t="str">
        <x:v>QA-RISLR-018</x:v>
      </x:c>
      <x:c r="B914" s="13" t="str">
        <x:v>Activación coincidente independiente de IVA</x:v>
      </x:c>
      <x:c r="C91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Pending ISLR 3; confirmed/control normal del doble; IVA ausente.</x:v>
      </x:c>
      <x:c r="D914" s="13" t="str">
        <x:v>1. Confirmar por flujo del doble.
2. Reanudar ISLR.
3. Consultar saldo/outbox/CxC.</x:v>
      </x:c>
      <x:c r="E914" s="13" t="str">
        <x:v>applied 3, saldo 113, sólo ISLR outbox apply; no solicitud IVA ni cambio IVA 16/venta 116/caja.
Control independiente: Comparar exactamente los valores y conteos definidos en el criterio. En rechazos: Δdocumentos, Δpagos, Δaplicaciones, Δstock y Δllamadas mutantes HKA = 0.</x:v>
      </x:c>
      <x:c r="F91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15" ht="168" customHeight="1">
      <x:c r="A915" s="13" t="str">
        <x:v>QA-RISLR-019</x:v>
      </x:c>
      <x:c r="B915" s="13" t="str">
        <x:v>Referencia inválida y savepoint</x:v>
      </x:c>
      <x:c r="C91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Pending ISLR control/número incorrecto o fallo tardío activación como variantes.</x:v>
      </x:c>
      <x:c r="D915" s="13" t="str">
        <x:v>1. Confirmar factura.
2. Resume con doble validación.
3. Comparar diagnostic, applied_amount, previsión y outbox.</x:v>
      </x:c>
      <x:c r="E915" s="13" t="str">
        <x:v>invalid 0 sin saldo descontado; rollback de escrituras parciales previo a marcar invalid. No reparar referencias automáticamente.
Control independiente: Comparar exactamente los valores y conteos definidos en el criterio. En rechazos: Δdocumentos, Δpagos, Δaplicaciones, Δstock y Δllamadas mutantes HKA = 0.</x:v>
      </x:c>
      <x:c r="F91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16" ht="168" customHeight="1">
      <x:c r="A916" s="13" t="str">
        <x:v>QA-RISLR-020</x:v>
      </x:c>
      <x:c r="B916" s="13" t="str">
        <x:v>Un activo ISLR y reemplazo</x:v>
      </x:c>
      <x:c r="C91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pending/applied; intento K2 y posteriormente invalid/reversed.</x:v>
      </x:c>
      <x:c r="D916" s="13" t="str">
        <x:v>1. Intentar segundo activo del impuesto.
2. Revertir/invalidar por flujo contractual.
3. Registrar reemplazo K3 y leer historial.</x:v>
      </x:c>
      <x:c r="E916" s="13" t="str">
        <x:v>Uno activo ISLR por factura; IVA puede coexistir. Historia conservada, nuevo reemplazo con UUID propio sólo tras liberar activo.
Control independiente: Comparar exactamente los valores y conteos definidos en el criterio. En rechazos: Δdocumentos, Δpagos, Δaplicaciones, Δstock y Δllamadas mutantes HKA = 0.</x:v>
      </x:c>
      <x:c r="F91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17" ht="168" customHeight="1">
      <x:c r="A917" s="13" t="str">
        <x:v>QA-RISLR-021</x:v>
      </x:c>
      <x:c r="B917" s="13" t="str">
        <x:v>UUID de ISLR y reversión</x:v>
      </x:c>
      <x:c r="C91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Registro K y reversión R obligatorios; misma K datos iguales/cambiados.</x:v>
      </x:c>
      <x:c r="D917" s="13" t="str">
        <x:v>1. Registrar, repetir K igual y K con otro dato.
2. Reutilizar K como R.
3. Consultar conteos.</x:v>
      </x:c>
      <x:c r="E917" s="13" t="str">
        <x:v>Replay igual estable; conflicto 409 por UUID reutilizado para otro contexto/acción. No duplica aplicación ni retiro.
Control independiente: Comparar exactamente los valores y conteos definidos en el criterio. En rechazos: Δdocumentos, Δpagos, Δaplicaciones, Δstock y Δllamadas mutantes HKA = 0.</x:v>
      </x:c>
      <x:c r="F91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18" ht="168" customHeight="1">
      <x:c r="A918" s="13" t="str">
        <x:v>QA-RISLR-022</x:v>
      </x:c>
      <x:c r="B918" s="13" t="str">
        <x:v>Payload ISLR independiente</x:v>
      </x:c>
      <x:c r="C91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3, concept 002, base 100, sustraendo 0; HKA identity 01/factura confirmed.</x:v>
      </x:c>
      <x:c r="D918" s="13" t="str">
        <x:v>1. Capturar outbox/POST con doble.
2. Revisar detallesRetencionISLR.
3. Comparar con payload IVA ausente.</x:v>
      </x:c>
      <x:c r="E918" s="13" t="str">
        <x:v>Endpoint/api/AplicarRetencionISLR; numeroCompRetencion, fechaEmisionCR, impuestoRetenido, rifAgenteRetencion, porcentaje. Omite codigoOperacion; no mappingconcept_idindocumentado.
Control independiente: Comparar exactamente los valores y conteos definidos en el criterio. En rechazos: Δdocumentos, Δpagos, Δaplicaciones, Δstock y Δllamadas mutantes HKA = 0.</x:v>
      </x:c>
      <x:c r="F91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19" ht="168" customHeight="1">
      <x:c r="A919" s="13" t="str">
        <x:v>QA-RISLR-023</x:v>
      </x:c>
      <x:c r="B919" s="13" t="str">
        <x:v>GET verifica sólo campos contratados</x:v>
      </x:c>
      <x:c r="C91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GET ISLR exacto con JSON sin concepto/sustraendo/RIF/porcentaje de retorno.</x:v>
      </x:c>
      <x:c r="D919" s="13" t="str">
        <x:v>1. Ejecutar conciliación.
2. Leer verified_fields del DTO.
3. Variar campos no verificables y documentar límite.</x:v>
      </x:c>
      <x:c r="E919" s="13" t="str">
        <x:v>Verificación exacta sólo serie, tipoDocumento, numeroDocumento, numeroControl, numeroCompRetencion, fechaEmisionCR, impuestoRetenido. No declarar RIF/tasa/concepto/sustraendo remotamente verificados por un GET que los omite.
Control independiente: Comparar exactamente los valores y conteos definidos en el criterio. En rechazos: Δdocumentos, Δpagos, Δaplicaciones, Δstock y Δllamadas mutantes HKA = 0.</x:v>
      </x:c>
      <x:c r="F91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20" ht="168" customHeight="1">
      <x:c r="A920" s="13" t="str">
        <x:v>QA-RISLR-024</x:v>
      </x:c>
      <x:c r="B920" s="13" t="str">
        <x:v>Conflicto de campos sí verificables</x:v>
      </x:c>
      <x:c r="C92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Alterar cada uno de 7 campos verificados por variante.</x:v>
      </x:c>
      <x:c r="D920" s="13" t="str">
        <x:v>1. GET adversario antes de POST.
2. Comparar conflict y contador POST.
3. Control GET exacto.</x:v>
      </x:c>
      <x:c r="E920" s="13" t="str">
        <x:v>Cualquier diferencia verificable impide confirmed y sobrescritura; un registro exacto puede adoptarse sin POST.
Control independiente: Comparar exactamente los valores y conteos definidos en el criterio. En rechazos: Δdocumentos, Δpagos, Δaplicaciones, Δstock y Δllamadas mutantes HKA = 0.</x:v>
      </x:c>
      <x:c r="F92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21" ht="168" customHeight="1">
      <x:c r="A921" s="13" t="str">
        <x:v>QA-RISLR-025</x:v>
      </x:c>
      <x:c r="B921" s="13" t="str">
        <x:v>Ausencia ISLR exacta 204</x:v>
      </x:c>
      <x:c r="C92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HTTP 200 codigo 204, mensaje No se ha registrado aún ninguna Retención de ISLR a este documento, validaciones[].</x:v>
      </x:c>
      <x:c r="D921" s="13" t="str">
        <x:v>1. Probar respuesta exacta.
2. Variar mensaje/código/validaciones/HTTP en subcasos.
3. Comparar mutaciones permitidas.</x:v>
      </x:c>
      <x:c r="E921" s="13" t="str">
        <x:v>Firma 204 contractual acredita ausencia ISLR; también codigo 200/sin validaciones/infoRetencionISLR=null explícito conforme adaptador. 203 IVA/genérico/timeout/JSON incompleto no son ausencia ISLR. Ejecutar variantes de ambos positivos y adulteraciones individualmente.
Control independiente: Comparar exactamente los valores y conteos definidos en el criterio. En rechazos: Δdocumentos, Δpagos, Δaplicaciones, Δstock y Δllamadas mutantes HKA = 0.</x:v>
      </x:c>
      <x:c r="F92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22" ht="168" customHeight="1">
      <x:c r="A922" s="13" t="str">
        <x:v>QA-RISLR-026</x:v>
      </x:c>
      <x:c r="B922" s="13" t="str">
        <x:v>GET POST GET y DELETE con body</x:v>
      </x:c>
      <x:c r="C92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Doble GET 204→POST acepta→GET exacto; reversión DELETE→GET 204.</x:v>
      </x:c>
      <x:c r="D922" s="13" t="str">
        <x:v>1. Capturar orden/URL/body y identity congelada.
2. Completar aplicación y retirada.
3. Comparar outbox ISLR/lifecycle/saldo.</x:v>
      </x:c>
      <x:c r="E922" s="13" t="str">
        <x:v>Protocolo ISLR independiente con JSON GET/DELETE y control original; sin HTTP IVA. Fin reversión sólo ausencia verificada.
Control independiente: Comparar exactamente los valores y conteos definidos en el criterio. En rechazos: Δdocumentos, Δpagos, Δaplicaciones, Δstock y Δllamadas mutantes HKA = 0.</x:v>
      </x:c>
      <x:c r="F92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23" ht="168" customHeight="1">
      <x:c r="A923" s="13" t="str">
        <x:v>QA-RISLR-027</x:v>
      </x:c>
      <x:c r="B923" s="13" t="str">
        <x:v>Recuperación ISLR 90 s y scheduler</x:v>
      </x:c>
      <x:c r="C92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pending/uncertain, T0+89/+90/+91; islr-retentions:recover.</x:v>
      </x:c>
      <x:c r="D923" s="13" t="str">
        <x:v>1. Simular reloj y consultar fronteras.
2. Ejecutar recuperación por tenant sin solape.
3. Comparar next_retry_at y contador HTTP.</x:v>
      </x:c>
      <x:c r="E923" s="13" t="str">
        <x:v>pending protegido 90 s y retiro posterior a apply pending/uncertain espera 90 s desde inicio. uncertain/waiting liberado usa next_attempt_at/backoff 60 s→1 h y queryonly propio; no ventana 90 s universal para cualquier consulta. Scheduler ISLR por tenant sin solape; rejected/conflict sin replay automático.
Control independiente: Comparar exactamente los valores y conteos definidos en el criterio. En rechazos: Δdocumentos, Δpagos, Δaplicaciones, Δstock y Δllamadas mutantes HKA = 0.</x:v>
      </x:c>
      <x:c r="F92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24" ht="168" customHeight="1">
      <x:c r="A924" s="13" t="str">
        <x:v>QA-RISLR-028</x:v>
      </x:c>
      <x:c r="B924" s="13" t="str">
        <x:v>Adoptar remoto con cero POST</x:v>
      </x:c>
      <x:c r="C92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GET ISLR exacto existente, outbox waiting.</x:v>
      </x:c>
      <x:c r="D924" s="13" t="str">
        <x:v>1. Conciliar y contar POST.
2. Solicitar reversión.
3. Confirmar ausencia 204 tras retiro.</x:v>
      </x:c>
      <x:c r="E924" s="13" t="str">
        <x:v>Adopción confirma sin POST pero reconoce existencia remota; reversión espera ausencia, no se considera nunca enviado sólo por attempt POST 0.
Control independiente: Comparar exactamente los valores y conteos definidos en el criterio. En rechazos: Δdocumentos, Δpagos, Δaplicaciones, Δstock y Δllamadas mutantes HKA = 0.</x:v>
      </x:c>
      <x:c r="F92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25" ht="168" customHeight="1">
      <x:c r="A925" s="13" t="str">
        <x:v>QA-RISLR-029</x:v>
      </x:c>
      <x:c r="B925" s="13" t="str">
        <x:v>Reversión local sin remoto</x:v>
      </x:c>
      <x:c r="C92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applied 3 en fixture doble; apply nunca intentado/observado.</x:v>
      </x:c>
      <x:c r="D925" s="13" t="str">
        <x:v>1. Revertir R/reason.
2. Repetir misma R.
3. Consultar history/saldo/previsión/caja.</x:v>
      </x:c>
      <x:c r="E925" s="13" t="str">
        <x:v>reversed 0, saldo 116, previsión restaurada contexto y cash intacto. Histórico y soporte permanecen; operación vieja cancelada.
Control independiente: Comparar exactamente los valores y conteos definidos en el criterio. En rechazos: Δdocumentos, Δpagos, Δaplicaciones, Δstock y Δllamadas mutantes HKA = 0.</x:v>
      </x:c>
      <x:c r="F92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26" ht="168" customHeight="1">
      <x:c r="A926" s="13" t="str">
        <x:v>QA-RISLR-030</x:v>
      </x:c>
      <x:c r="B926" s="13" t="str">
        <x:v>Reversión remota incierta</x:v>
      </x:c>
      <x:c r="C92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applied 3/remoto posible; DELETE timeout/GET conflict.</x:v>
      </x:c>
      <x:c r="D926" s="13" t="str">
        <x:v>1. Solicitar reverse R.
2. Consultar estado/diagnóstico/saldo.
3. Recuperar con 204 exacto cuando sea válido.</x:v>
      </x:c>
      <x:c r="E926" s="13" t="str">
        <x:v> reversal_pending mantiene efecto 3 y saldo 113 hasta ausencia; luego saldo 116 una vez. No revertir IVA ni pagos.
Control independiente: Comparar exactamente los valores y conteos definidos en el criterio. En rechazos: Δdocumentos, Δpagos, Δaplicaciones, Δstock y Δllamadas mutantes HKA = 0.</x:v>
      </x:c>
      <x:c r="F92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27" ht="168" customHeight="1">
      <x:c r="A927" s="13" t="str">
        <x:v>QA-RISLR-031</x:v>
      </x:c>
      <x:c r="B927" s="13" t="str">
        <x:v>Respuesta ISLR tardía</x:v>
      </x:c>
      <x:c r="C92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Intento viejo A1 luego operación actual A2/reversión.</x:v>
      </x:c>
      <x:c r="D927" s="13" t="str">
        <x:v>1. Retener respuesta A1 en doble.
2. Resolver A2 por flujo permitido.
3. LiberarA 1 y consultar historial.</x:v>
      </x:c>
      <x:c r="E927" s="13" t="str">
        <x:v>No reactivar/completar operación errónea por respuesta antigua; saldo/auditoría/UUID estable.
Control independiente: Comparar exactamente los valores y conteos definidos en el criterio. En rechazos: Δdocumentos, Δpagos, Δaplicaciones, Δstock y Δllamadas mutantes HKA = 0.</x:v>
      </x:c>
      <x:c r="F92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28" ht="168" customHeight="1">
      <x:c r="A928" s="13" t="str">
        <x:v>QA-RISLR-032</x:v>
      </x:c>
      <x:c r="B928" s="13" t="str">
        <x:v>Histórico VES no habilita capacidad</x:v>
      </x:c>
      <x:c r="C92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Reporte histórico aceptación neta VES 226/232; config islr false.</x:v>
      </x:c>
      <x:c r="D928" s="13" t="str">
        <x:v>1. Leer flags efectivos y diagnóstico.
2. Crear factura nueva 232 VES pago 226 ISLR prevista 6.
3. Intentar preparar/enviar sin pago extra.</x:v>
      </x:c>
      <x:c r="E928" s="13" t="str">
        <x:v>Registro comercial 232/pago 226/deuda 6 válido; can_send =false y sin POST Emision. Evidencia histórica no es resultado actual ni habilita capacidad global.
Control independiente: Comparar exactamente los valores y conteos definidos en el criterio. En rechazos: Δdocumentos, Δpagos, Δaplicaciones, Δstock y Δllamadas mutantes HKA = 0.</x:v>
      </x:c>
      <x:c r="F92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29" ht="168" customHeight="1">
      <x:c r="A929" s="13" t="str">
        <x:v>QA-RISLR-033</x:v>
      </x:c>
      <x:c r="B929" s="13" t="str">
        <x:v>DTO ISLR y permisos propios</x:v>
      </x:c>
      <x:c r="C92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Estados pending/applied/invalid/reversed y HKA waiting/confirmed/uncertain/conflict.</x:v>
      </x:c>
      <x:c r="D929" s="13" t="str">
        <x:v>1. GET DTO por cada estado.
2. Probarcan_query/ can_retry / can_reverse y role.
3. Buscar payload secretos.</x:v>
      </x:c>
      <x:c r="E929" s="13" t="str">
        <x:v>DTO ISLR independiente,verified_fields sólo cuando HKA confirmed y 7 campos limitados. No expone secretos ni confunde estado IVA.
Control independiente: Comparar exactamente los valores y conteos definidos en el criterio. En rechazos: Δdocumentos, Δpagos, Δaplicaciones, Δstock y Δllamadas mutantes HKA = 0.</x:v>
      </x:c>
      <x:c r="F92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30" ht="168" customHeight="1">
      <x:c r="A930" s="13" t="str">
        <x:v>QA-RISLR-034</x:v>
      </x:c>
      <x:c r="B930" s="13" t="str">
        <x:v>Previsión ISLR aplicada no se duplica</x:v>
      </x:c>
      <x:c r="C93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3 ya aplicada, factura 116 pago 100 saldo 13.</x:v>
      </x:c>
      <x:c r="D930" s="13" t="str">
        <x:v>1. Intentar guardar enabled true ISLR.
2. Abrir Pagos y calcular neto sugerido sólo IVA si prevista.
3. Consultar history.</x:v>
      </x:c>
      <x:c r="E930" s="13" t="str">
        <x:v>ISLR aplicada no genera segunda previsión/deducción; rechazo de enabled true duplicado. Saldo 13 antes de otros impuestos/pagos.
Control independiente: Comparar exactamente los valores y conteos definidos en el criterio. En rechazos: Δdocumentos, Δpagos, Δaplicaciones, Δstock y Δllamadas mutantes HKA = 0.</x:v>
      </x:c>
      <x:c r="F93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31" ht="168" customHeight="1">
      <x:c r="A931" s="13" t="str">
        <x:v>QA-RISLR-035</x:v>
      </x:c>
      <x:c r="B931" s="13" t="str">
        <x:v>Concurrencia ISLR y aislamiento</x:v>
      </x:c>
      <x:c r="C93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Dos registros K1/K2, saldo 116; otros tenants/sucursal.</x:v>
      </x:c>
      <x:c r="D931" s="13" t="str">
        <x:v>1. Enviar carreras con barrera.
2. Intentar query/retry/upload ajenos por variante.
3. Consultar conteos/saldo.</x:v>
      </x:c>
      <x:c r="E931" s="13" t="str">
        <x:v>Un activo/aplicación 3 y saldo 113; cero acceso efecto ajeno. Rolescreate_payment/delete reversión según contrato compartido.
Control independiente: Comparar exactamente los valores y conteos definidos en el criterio. En rechazos: Δdocumentos, Δpagos, Δaplicaciones, Δstock y Δllamadas mutantes HKA = 0.</x:v>
      </x:c>
      <x:c r="F93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32" ht="192" customHeight="1">
      <x:c r="A932" s="13" t="str">
        <x:v>QA-RISLR-036</x:v>
      </x:c>
      <x:c r="B932" s="13" t="str">
        <x:v>Concepto no salarial 002: Honorarios profesionales no mercantiles (PNR)</x:v>
      </x:c>
      <x:c r="C93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002 (Honorarios profesionales no mercantiles (PNR)); comprador facultado ISLR, factura 116 VES. Declarar expresamente tasa QA 3 %, base 100, sustraendo 1 y fundamento QA-CONCEPTO-002; soporte privado. Fixture de contrato sintético, no recomendación tributaria; no usar esta tasa QA en una operación real sin sustento específico.</x:v>
      </x:c>
      <x:c r="D932" s="13" t="str">
        <x:v>1. Localizar ID 002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32" s="13" t="str">
        <x:v>ID 002/descripción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3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33" ht="192" customHeight="1">
      <x:c r="A933" s="13" t="str">
        <x:v>QA-RISLR-037</x:v>
      </x:c>
      <x:c r="B933" s="13" t="str">
        <x:v>Concepto no salarial 003: Honorarios profesionales no mercantiles (PNNR)</x:v>
      </x:c>
      <x:c r="C93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003 (Honorarios profesionales no mercantiles (PNNR)); comprador facultado ISLR, factura 116 VES. Declarar expresamente tasa QA 3 %, base 100, sustraendo 1 y fundamento QA-CONCEPTO-003; soporte privado. Fixture de contrato sintético, no recomendación tributaria; no usar esta tasa QA en una operación real sin sustento específico.</x:v>
      </x:c>
      <x:c r="D933" s="13" t="str">
        <x:v>1. Localizar ID 003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33" s="13" t="str">
        <x:v>ID 003/descripción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3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34" ht="192" customHeight="1">
      <x:c r="A934" s="13" t="str">
        <x:v>QA-RISLR-038</x:v>
      </x:c>
      <x:c r="B934" s="13" t="str">
        <x:v>Concepto no salarial 004: Honorarios profesionales no mercantiles (PJD)</x:v>
      </x:c>
      <x:c r="C93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004 (Honorarios profesionales no mercantiles (PJD)); comprador facultado ISLR, factura 116 VES. Declarar expresamente tasa QA 3 %, base 100, sustraendo 1 y fundamento QA-CONCEPTO-004; soporte privado. Fixture de contrato sintético, no recomendación tributaria; no usar esta tasa QA en una operación real sin sustento específico.</x:v>
      </x:c>
      <x:c r="D934" s="13" t="str">
        <x:v>1. Localizar ID 004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34" s="13" t="str">
        <x:v>ID 004/descripción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3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35" ht="192" customHeight="1">
      <x:c r="A935" s="13" t="str">
        <x:v>QA-RISLR-039</x:v>
      </x:c>
      <x:c r="B935" s="13" t="str">
        <x:v>Concepto no salarial 005: Honorarios profesionales no mercantiles (PJND)</x:v>
      </x:c>
      <x:c r="C93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005 (Honorarios profesionales no mercantiles (PJND)); comprador facultado ISLR, factura 116 VES. Declarar expresamente tasa QA 3 %, base 100, sustraendo 1 y fundamento QA-CONCEPTO-005; soporte privado. Fixture de contrato sintético, no recomendación tributaria; no usar esta tasa QA en una operación real sin sustento específico.</x:v>
      </x:c>
      <x:c r="D935" s="13" t="str">
        <x:v>1. Localizar ID 005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35" s="13" t="str">
        <x:v>ID 005/descripción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3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36" ht="192" customHeight="1">
      <x:c r="A936" s="13" t="str">
        <x:v>QA-RISLR-040</x:v>
      </x:c>
      <x:c r="B936" s="13" t="str">
        <x:v>Concepto no salarial 006: Honorarios profesionales mancomunados no mercantiles (PNR)</x:v>
      </x:c>
      <x:c r="C93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006 (Honorarios profesionales mancomunados no mercantiles (PNR)); comprador facultado ISLR, factura 116 VES. Declarar expresamente tasa QA 3 %, base 100, sustraendo 1 y fundamento QA-CONCEPTO-006; soporte privado. Fixture de contrato sintético, no recomendación tributaria; no usar esta tasa QA en una operación real sin sustento específico.</x:v>
      </x:c>
      <x:c r="D936" s="13" t="str">
        <x:v>1. Localizar ID 006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36" s="13" t="str">
        <x:v>ID 006/descripción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3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37" ht="192" customHeight="1">
      <x:c r="A937" s="13" t="str">
        <x:v>QA-RISLR-041</x:v>
      </x:c>
      <x:c r="B937" s="13" t="str">
        <x:v>Concepto no salarial 007: Honorarios profesionales mancomunados no mercantiles (PNNR)</x:v>
      </x:c>
      <x:c r="C93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007 (Honorarios profesionales mancomunados no mercantiles (PNNR)); comprador facultado ISLR, factura 116 VES. Declarar expresamente tasa QA 3 %, base 100, sustraendo 1 y fundamento QA-CONCEPTO-007; soporte privado. Fixture de contrato sintético, no recomendación tributaria; no usar esta tasa QA en una operación real sin sustento específico.</x:v>
      </x:c>
      <x:c r="D937" s="13" t="str">
        <x:v>1. Localizar ID 007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37" s="13" t="str">
        <x:v>ID 007/descripción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3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38" ht="192" customHeight="1">
      <x:c r="A938" s="13" t="str">
        <x:v>QA-RISLR-042</x:v>
      </x:c>
      <x:c r="B938" s="13" t="str">
        <x:v>Concepto no salarial 008: Honorarios profesionales mancomunados no mercantiles (PJD)</x:v>
      </x:c>
      <x:c r="C93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008 (Honorarios profesionales mancomunados no mercantiles (PJD)); comprador facultado ISLR, factura 116 VES. Declarar expresamente tasa QA 3 %, base 100, sustraendo 1 y fundamento QA-CONCEPTO-008; soporte privado. Fixture de contrato sintético, no recomendación tributaria; no usar esta tasa QA en una operación real sin sustento específico.</x:v>
      </x:c>
      <x:c r="D938" s="13" t="str">
        <x:v>1. Localizar ID 008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38" s="13" t="str">
        <x:v>ID 008/descripción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3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39" ht="192" customHeight="1">
      <x:c r="A939" s="13" t="str">
        <x:v>QA-RISLR-043</x:v>
      </x:c>
      <x:c r="B939" s="13" t="str">
        <x:v>Concepto no salarial 009: Honorarios profesionales mancomunados no mercantiles (PJND)</x:v>
      </x:c>
      <x:c r="C93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009 (Honorarios profesionales mancomunados no mercantiles (PJND)); comprador facultado ISLR, factura 116 VES. Declarar expresamente tasa QA 3 %, base 100, sustraendo 1 y fundamento QA-CONCEPTO-009; soporte privado. Fixture de contrato sintético, no recomendación tributaria; no usar esta tasa QA en una operación real sin sustento específico.</x:v>
      </x:c>
      <x:c r="D939" s="13" t="str">
        <x:v>1. Localizar ID 009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39" s="13" t="str">
        <x:v>ID 009/descripción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3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40" ht="204" customHeight="1">
      <x:c r="A940" s="13" t="str">
        <x:v>QA-RISLR-044</x:v>
      </x:c>
      <x:c r="B940" s="13" t="str">
        <x:v>Concepto no salarial 010: Honorarios profesionales pagados a jinetes, veterinarios, preparadores o entrenadores (PNR)</x:v>
      </x:c>
      <x:c r="C94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010 (Honorarios profesionales pagados a jinetes, veterinarios, preparadores o entrenadores (PNR)); comprador facultado ISLR, factura 116 VES. Declarar expresamente tasa QA 3 %, base 100, sustraendo 1 y fundamento QA-CONCEPTO-010; soporte privado. Fixture de contrato sintético, no recomendación tributaria; no usar esta tasa QA en una operación real sin sustento específico.</x:v>
      </x:c>
      <x:c r="D940" s="13" t="str">
        <x:v>1. Localizar ID 010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40" s="13" t="str">
        <x:v>ID 010/descripción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4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41" ht="204" customHeight="1">
      <x:c r="A941" s="13" t="str">
        <x:v>QA-RISLR-045</x:v>
      </x:c>
      <x:c r="B941" s="13" t="str">
        <x:v>Concepto no salarial 011: Honorarios profesionales pagados a jinetes, veterinarios, preparadores o entrenadores (PNNR)</x:v>
      </x:c>
      <x:c r="C94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011 (Honorarios profesionales pagados a jinetes, veterinarios, preparadores o entrenadores (PNNR)); comprador facultado ISLR, factura 116 VES. Declarar expresamente tasa QA 3 %, base 100, sustraendo 1 y fundamento QA-CONCEPTO-011; soporte privado. Fixture de contrato sintético, no recomendación tributaria; no usar esta tasa QA en una operación real sin sustento específico.</x:v>
      </x:c>
      <x:c r="D941" s="13" t="str">
        <x:v>1. Localizar ID 011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41" s="13" t="str">
        <x:v>ID 011/descripción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4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42" ht="228" customHeight="1">
      <x:c r="A942" s="13" t="str">
        <x:v>QA-RISLR-046</x:v>
      </x:c>
      <x:c r="B942" s="13" t="str">
        <x:v>Concepto no salarial 012: Honorarios profesionales pagados por clínicas, hospitales, centros de salud, bufetes, escritorios, oficinas, colegios profesionales u otra institución a profesionales no mercantiles sin relación de dependencia (PNR)</x:v>
      </x:c>
      <x:c r="C94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012 (Honorarios profesionales pagados por clínicas, hospitales, centros de salud, bufetes, escritorios, oficinas, colegios profesionales u otra institución a profesionales no mercantiles sin relación de dependencia (PNR)); comprador facultado ISLR, factura 116 VES. Declarar expresamente tasa QA 3 %, base 100, sustraendo 1 y fundamento QA-CONCEPTO-012; soporte privado. Fixture de contrato sintético, no recomendación tributaria; no usar esta tasa QA en una operación real sin sustento específico.</x:v>
      </x:c>
      <x:c r="D942" s="13" t="str">
        <x:v>1. Localizar ID 012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42" s="13" t="str">
        <x:v>ID 012/descripción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4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43" ht="228" customHeight="1">
      <x:c r="A943" s="13" t="str">
        <x:v>QA-RISLR-047</x:v>
      </x:c>
      <x:c r="B943" s="13" t="str">
        <x:v>Concepto no salarial 013: Honorarios profesionales pagados por clínicas, hospitales, centros de salud, bufetes, escritorios, oficinas, colegios profesionales u otra institución a profesionales no mercantiles sin relación de dependencia (PNNR)</x:v>
      </x:c>
      <x:c r="C94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013 (Honorarios profesionales pagados por clínicas, hospitales, centros de salud, bufetes, escritorios, oficinas, colegios profesionales u otra institución a profesionales no mercantiles sin relación de dependencia (PNNR)); comprador facultado ISLR, factura 116 VES. Declarar expresamente tasa QA 3 %, base 100, sustraendo 1 y fundamento QA-CONCEPTO-013; soporte privado. Fixture de contrato sintético, no recomendación tributaria; no usar esta tasa QA en una operación real sin sustento específico.</x:v>
      </x:c>
      <x:c r="D943" s="13" t="str">
        <x:v>1. Localizar ID 013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43" s="13" t="str">
        <x:v>ID 013/descripción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4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44" ht="192" customHeight="1">
      <x:c r="A944" s="13" t="str">
        <x:v>QA-RISLR-048</x:v>
      </x:c>
      <x:c r="B944" s="13" t="str">
        <x:v>Concepto no salarial 014: Comisiones por venta de inmuebles (PNR)</x:v>
      </x:c>
      <x:c r="C94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014 (Comisiones por venta de inmuebles (PNR)); comprador facultado ISLR, factura 116 VES. Declarar expresamente tasa QA 3 %, base 100, sustraendo 1 y fundamento QA-CONCEPTO-014; soporte privado. Fixture de contrato sintético, no recomendación tributaria; no usar esta tasa QA en una operación real sin sustento específico.</x:v>
      </x:c>
      <x:c r="D944" s="13" t="str">
        <x:v>1. Localizar ID 014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44" s="13" t="str">
        <x:v>ID 014/descripción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4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45" ht="192" customHeight="1">
      <x:c r="A945" s="13" t="str">
        <x:v>QA-RISLR-049</x:v>
      </x:c>
      <x:c r="B945" s="13" t="str">
        <x:v>Concepto no salarial 015: Comisiones por venta de inmuebles (PNNR)</x:v>
      </x:c>
      <x:c r="C94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015 (Comisiones por venta de inmuebles (PNNR)); comprador facultado ISLR, factura 116 VES. Declarar expresamente tasa QA 3 %, base 100, sustraendo 1 y fundamento QA-CONCEPTO-015; soporte privado. Fixture de contrato sintético, no recomendación tributaria; no usar esta tasa QA en una operación real sin sustento específico.</x:v>
      </x:c>
      <x:c r="D945" s="13" t="str">
        <x:v>1. Localizar ID 015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45" s="13" t="str">
        <x:v>ID 015/descripción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4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46" ht="192" customHeight="1">
      <x:c r="A946" s="13" t="str">
        <x:v>QA-RISLR-050</x:v>
      </x:c>
      <x:c r="B946" s="13" t="str">
        <x:v>Concepto no salarial 016: Comisiones por venta de inmuebles (PJD)</x:v>
      </x:c>
      <x:c r="C94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016 (Comisiones por venta de inmuebles (PJD)); comprador facultado ISLR, factura 116 VES. Declarar expresamente tasa QA 3 %, base 100, sustraendo 1 y fundamento QA-CONCEPTO-016; soporte privado. Fixture de contrato sintético, no recomendación tributaria; no usar esta tasa QA en una operación real sin sustento específico.</x:v>
      </x:c>
      <x:c r="D946" s="13" t="str">
        <x:v>1. Localizar ID 016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46" s="13" t="str">
        <x:v>ID 016/descripción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4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47" ht="192" customHeight="1">
      <x:c r="A947" s="13" t="str">
        <x:v>QA-RISLR-051</x:v>
      </x:c>
      <x:c r="B947" s="13" t="str">
        <x:v>Concepto no salarial 017: Comisiones por venta de inmuebles (PJND)</x:v>
      </x:c>
      <x:c r="C94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017 (Comisiones por venta de inmuebles (PJND)); comprador facultado ISLR, factura 116 VES. Declarar expresamente tasa QA 3 %, base 100, sustraendo 1 y fundamento QA-CONCEPTO-017; soporte privado. Fixture de contrato sintético, no recomendación tributaria; no usar esta tasa QA en una operación real sin sustento específico.</x:v>
      </x:c>
      <x:c r="D947" s="13" t="str">
        <x:v>1. Localizar ID 017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47" s="13" t="str">
        <x:v>ID 017/descripción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4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48" ht="204" customHeight="1">
      <x:c r="A948" s="13" t="str">
        <x:v>QA-RISLR-052</x:v>
      </x:c>
      <x:c r="B948" s="13" t="str">
        <x:v>Concepto no salarial 018: Otras comisiones distintas de remuneraciones accesorias de sueldos y similares (PNR)</x:v>
      </x:c>
      <x:c r="C94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018 (Otras comisiones distintas de remuneraciones accesorias de sueldos y similares (PNR)); comprador facultado ISLR, factura 116 VES. Declarar expresamente tasa QA 3 %, base 100, sustraendo 1 y fundamento QA-CONCEPTO-018; soporte privado. Fixture de contrato sintético, no recomendación tributaria; no usar esta tasa QA en una operación real sin sustento específico.</x:v>
      </x:c>
      <x:c r="D948" s="13" t="str">
        <x:v>1. Localizar ID 018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48" s="13" t="str">
        <x:v>ID 018/descripción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4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49" ht="204" customHeight="1">
      <x:c r="A949" s="13" t="str">
        <x:v>QA-RISLR-053</x:v>
      </x:c>
      <x:c r="B949" s="13" t="str">
        <x:v>Concepto no salarial 019: Otras comisiones distintas de remuneraciones accesorias de sueldos y similares (PNNR)</x:v>
      </x:c>
      <x:c r="C94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019 (Otras comisiones distintas de remuneraciones accesorias de sueldos y similares (PNNR)); comprador facultado ISLR, factura 116 VES. Declarar expresamente tasa QA 3 %, base 100, sustraendo 1 y fundamento QA-CONCEPTO-019; soporte privado. Fixture de contrato sintético, no recomendación tributaria; no usar esta tasa QA en una operación real sin sustento específico.</x:v>
      </x:c>
      <x:c r="D949" s="13" t="str">
        <x:v>1. Localizar ID 019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49" s="13" t="str">
        <x:v>ID 019/descripción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4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50" ht="204" customHeight="1">
      <x:c r="A950" s="13" t="str">
        <x:v>QA-RISLR-054</x:v>
      </x:c>
      <x:c r="B950" s="13" t="str">
        <x:v>Concepto no salarial 020: Otras comisiones distintas de remuneraciones accesorias de sueldos y similares (PJD)</x:v>
      </x:c>
      <x:c r="C95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020 (Otras comisiones distintas de remuneraciones accesorias de sueldos y similares (PJD)); comprador facultado ISLR, factura 116 VES. Declarar expresamente tasa QA 3 %, base 100, sustraendo 1 y fundamento QA-CONCEPTO-020; soporte privado. Fixture de contrato sintético, no recomendación tributaria; no usar esta tasa QA en una operación real sin sustento específico.</x:v>
      </x:c>
      <x:c r="D950" s="13" t="str">
        <x:v>1. Localizar ID 020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50" s="13" t="str">
        <x:v>ID 020/descripción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5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51" ht="204" customHeight="1">
      <x:c r="A951" s="13" t="str">
        <x:v>QA-RISLR-055</x:v>
      </x:c>
      <x:c r="B951" s="13" t="str">
        <x:v>Concepto no salarial 021: Otras comisiones distintas de remuneraciones accesorias de sueldos y similares (PJND)</x:v>
      </x:c>
      <x:c r="C95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021 (Otras comisiones distintas de remuneraciones accesorias de sueldos y similares (PJND)); comprador facultado ISLR, factura 116 VES. Declarar expresamente tasa QA 3 %, base 100, sustraendo 1 y fundamento QA-CONCEPTO-021; soporte privado. Fixture de contrato sintético, no recomendación tributaria; no usar esta tasa QA en una operación real sin sustento específico.</x:v>
      </x:c>
      <x:c r="D951" s="13" t="str">
        <x:v>1. Localizar ID 021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51" s="13" t="str">
        <x:v>ID 021/descripción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5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52" ht="204" customHeight="1">
      <x:c r="A952" s="13" t="str">
        <x:v>QA-RISLR-056</x:v>
      </x:c>
      <x:c r="B952" s="13" t="str">
        <x:v>Concepto no salarial 022: Intereses de capitales tomados en préstamo e invertidos en producción de renta (PNNR)</x:v>
      </x:c>
      <x:c r="C95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022 (Intereses de capitales tomados en préstamo e invertidos en producción de renta (PNNR)); comprador facultado ISLR, factura 116 VES. Declarar expresamente tasa QA 3 %, base 100, sustraendo 1 y fundamento QA-CONCEPTO-022; soporte privado. Fixture de contrato sintético, no recomendación tributaria; no usar esta tasa QA en una operación real sin sustento específico.</x:v>
      </x:c>
      <x:c r="D952" s="13" t="str">
        <x:v>1. Localizar ID 022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52" s="13" t="str">
        <x:v>ID 022/descripción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5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53" ht="204" customHeight="1">
      <x:c r="A953" s="13" t="str">
        <x:v>QA-RISLR-057</x:v>
      </x:c>
      <x:c r="B953" s="13" t="str">
        <x:v>Concepto no salarial 023: Intereses de capitales tomados en préstamo e invertidos en producción de renta (PJND)</x:v>
      </x:c>
      <x:c r="C95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023 (Intereses de capitales tomados en préstamo e invertidos en producción de renta (PJND)); comprador facultado ISLR, factura 116 VES. Declarar expresamente tasa QA 3 %, base 100, sustraendo 1 y fundamento QA-CONCEPTO-023; soporte privado. Fixture de contrato sintético, no recomendación tributaria; no usar esta tasa QA en una operación real sin sustento específico.</x:v>
      </x:c>
      <x:c r="D953" s="13" t="str">
        <x:v>1. Localizar ID 023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53" s="13" t="str">
        <x:v>ID 023/descripción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5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54" ht="204" customHeight="1">
      <x:c r="A954" s="13" t="str">
        <x:v>QA-RISLR-058</x:v>
      </x:c>
      <x:c r="B954" s="13" t="str">
        <x:v>Concepto no salarial 024: Intereses de préstamos y otros créditos pagaderos a instituciones financieras constituidas en el exterior y no domiciliadas (PJND)</x:v>
      </x:c>
      <x:c r="C95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024 (Intereses de préstamos y otros créditos pagaderos a instituciones financieras constituidas en el exterior y no domiciliadas (PJND)); comprador facultado ISLR, factura 116 VES. Declarar expresamente tasa QA 3 %, base 100, sustraendo 1 y fundamento QA-CONCEPTO-024; soporte privado. Fixture de contrato sintético, no recomendación tributaria; no usar esta tasa QA en una operación real sin sustento específico.</x:v>
      </x:c>
      <x:c r="D954" s="13" t="str">
        <x:v>1. Localizar ID 024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54" s="13" t="str">
        <x:v>ID 024/descripción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5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55" ht="204" customHeight="1">
      <x:c r="A955" s="13" t="str">
        <x:v>QA-RISLR-059</x:v>
      </x:c>
      <x:c r="B955" s="13" t="str">
        <x:v>Concepto no salarial 025: Intereses pagados por personas jurídicas o comunidades a otras personas o comunidades (PNR)</x:v>
      </x:c>
      <x:c r="C95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025 (Intereses pagados por personas jurídicas o comunidades a otras personas o comunidades (PNR)); comprador facultado ISLR, factura 116 VES. Declarar expresamente tasa QA 3 %, base 100, sustraendo 1 y fundamento QA-CONCEPTO-025; soporte privado. Fixture de contrato sintético, no recomendación tributaria; no usar esta tasa QA en una operación real sin sustento específico.</x:v>
      </x:c>
      <x:c r="D955" s="13" t="str">
        <x:v>1. Localizar ID 025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55" s="13" t="str">
        <x:v>ID 025/descripción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5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56" ht="204" customHeight="1">
      <x:c r="A956" s="13" t="str">
        <x:v>QA-RISLR-060</x:v>
      </x:c>
      <x:c r="B956" s="13" t="str">
        <x:v>Concepto no salarial 026: Intereses pagados por personas jurídicas o comunidades a otras personas o comunidades (PNNR)</x:v>
      </x:c>
      <x:c r="C95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026 (Intereses pagados por personas jurídicas o comunidades a otras personas o comunidades (PNNR)); comprador facultado ISLR, factura 116 VES. Declarar expresamente tasa QA 3 %, base 100, sustraendo 1 y fundamento QA-CONCEPTO-026; soporte privado. Fixture de contrato sintético, no recomendación tributaria; no usar esta tasa QA en una operación real sin sustento específico.</x:v>
      </x:c>
      <x:c r="D956" s="13" t="str">
        <x:v>1. Localizar ID 026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56" s="13" t="str">
        <x:v>ID 026/descripción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5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57" ht="204" customHeight="1">
      <x:c r="A957" s="13" t="str">
        <x:v>QA-RISLR-061</x:v>
      </x:c>
      <x:c r="B957" s="13" t="str">
        <x:v>Concepto no salarial 027: Intereses pagados por personas jurídicas o comunidades a otras personas o comunidades (PJD)</x:v>
      </x:c>
      <x:c r="C95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027 (Intereses pagados por personas jurídicas o comunidades a otras personas o comunidades (PJD)); comprador facultado ISLR, factura 116 VES. Declarar expresamente tasa QA 3 %, base 100, sustraendo 1 y fundamento QA-CONCEPTO-027; soporte privado. Fixture de contrato sintético, no recomendación tributaria; no usar esta tasa QA en una operación real sin sustento específico.</x:v>
      </x:c>
      <x:c r="D957" s="13" t="str">
        <x:v>1. Localizar ID 027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57" s="13" t="str">
        <x:v>ID 027/descripción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5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58" ht="204" customHeight="1">
      <x:c r="A958" s="13" t="str">
        <x:v>QA-RISLR-062</x:v>
      </x:c>
      <x:c r="B958" s="13" t="str">
        <x:v>Concepto no salarial 028: Intereses pagados por personas jurídicas o comunidades a otras personas o comunidades (PJND)</x:v>
      </x:c>
      <x:c r="C95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028 (Intereses pagados por personas jurídicas o comunidades a otras personas o comunidades (PJND)); comprador facultado ISLR, factura 116 VES. Declarar expresamente tasa QA 3 %, base 100, sustraendo 1 y fundamento QA-CONCEPTO-028; soporte privado. Fixture de contrato sintético, no recomendación tributaria; no usar esta tasa QA en una operación real sin sustento específico.</x:v>
      </x:c>
      <x:c r="D958" s="13" t="str">
        <x:v>1. Localizar ID 028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58" s="13" t="str">
        <x:v>ID 028/descripción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5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59" ht="204" customHeight="1">
      <x:c r="A959" s="13" t="str">
        <x:v>QA-RISLR-063</x:v>
      </x:c>
      <x:c r="B959" s="13" t="str">
        <x:v>Concepto no salarial 029: Enriquecimientos netos de agencias internacionales cuando paga una persona jurídica o comunidad domiciliada (PJND)</x:v>
      </x:c>
      <x:c r="C95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029 (Enriquecimientos netos de agencias internacionales cuando paga una persona jurídica o comunidad domiciliada (PJND)); comprador facultado ISLR, factura 116 VES. Declarar expresamente tasa QA 3 %, base 100, sustraendo 1 y fundamento QA-CONCEPTO-029; soporte privado. Fixture de contrato sintético, no recomendación tributaria; no usar esta tasa QA en una operación real sin sustento específico.</x:v>
      </x:c>
      <x:c r="D959" s="13" t="str">
        <x:v>1. Localizar ID 029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59" s="13" t="str">
        <x:v>ID 029/descripción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5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60" ht="216" customHeight="1">
      <x:c r="A960" s="13" t="str">
        <x:v>QA-RISLR-064</x:v>
      </x:c>
      <x:c r="B960" s="13" t="str">
        <x:v>Concepto no salarial 030: Enriquecimientos netos de fletes pagados a agencias o empresas de transporte internacional constituidas y domiciliadas en el exterior (PNNR)</x:v>
      </x:c>
      <x:c r="C96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030 (Enriquecimientos netos de fletes pagados a agencias o empresas de transporte internacional constituidas y domiciliadas en el exterior (PNNR)); comprador facultado ISLR, factura 116 VES. Declarar expresamente tasa QA 3 %, base 100, sustraendo 1 y fundamento QA-CONCEPTO-030; soporte privado. Fixture de contrato sintético, no recomendación tributaria; no usar esta tasa QA en una operación real sin sustento específico.</x:v>
      </x:c>
      <x:c r="D960" s="13" t="str">
        <x:v>1. Localizar ID 030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60" s="13" t="str">
        <x:v>ID 030/descripción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6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61" ht="216" customHeight="1">
      <x:c r="A961" s="13" t="str">
        <x:v>QA-RISLR-065</x:v>
      </x:c>
      <x:c r="B961" s="13" t="str">
        <x:v>Concepto no salarial 031: Enriquecimientos netos de fletes pagados a agencias o empresas de transporte internacional constituidas y domiciliadas en el exterior (PJND)</x:v>
      </x:c>
      <x:c r="C96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031 (Enriquecimientos netos de fletes pagados a agencias o empresas de transporte internacional constituidas y domiciliadas en el exterior (PJND)); comprador facultado ISLR, factura 116 VES. Declarar expresamente tasa QA 3 %, base 100, sustraendo 1 y fundamento QA-CONCEPTO-031; soporte privado. Fixture de contrato sintético, no recomendación tributaria; no usar esta tasa QA en una operación real sin sustento específico.</x:v>
      </x:c>
      <x:c r="D961" s="13" t="str">
        <x:v>1. Localizar ID 031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61" s="13" t="str">
        <x:v>ID 031/descripción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6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62" ht="204" customHeight="1">
      <x:c r="A962" s="13" t="str">
        <x:v>QA-RISLR-066</x:v>
      </x:c>
      <x:c r="B962" s="13" t="str">
        <x:v>Concepto no salarial 032: Enriquecimientos netos por exhibición de películas, cine o televisión (PNNR)</x:v>
      </x:c>
      <x:c r="C96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032 (Enriquecimientos netos por exhibición de películas, cine o televisión (PNNR)); comprador facultado ISLR, factura 116 VES. Declarar expresamente tasa QA 3 %, base 100, sustraendo 1 y fundamento QA-CONCEPTO-032; soporte privado. Fixture de contrato sintético, no recomendación tributaria; no usar esta tasa QA en una operación real sin sustento específico.</x:v>
      </x:c>
      <x:c r="D962" s="13" t="str">
        <x:v>1. Localizar ID 032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62" s="13" t="str">
        <x:v>ID 032/descripción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6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63" ht="204" customHeight="1">
      <x:c r="A963" s="13" t="str">
        <x:v>QA-RISLR-067</x:v>
      </x:c>
      <x:c r="B963" s="13" t="str">
        <x:v>Concepto no salarial 033: Enriquecimientos netos por exhibición de películas, cine o televisión (PJND)</x:v>
      </x:c>
      <x:c r="C96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033 (Enriquecimientos netos por exhibición de películas, cine o televisión (PJND)); comprador facultado ISLR, factura 116 VES. Declarar expresamente tasa QA 3 %, base 100, sustraendo 1 y fundamento QA-CONCEPTO-033; soporte privado. Fixture de contrato sintético, no recomendación tributaria; no usar esta tasa QA en una operación real sin sustento específico.</x:v>
      </x:c>
      <x:c r="D963" s="13" t="str">
        <x:v>1. Localizar ID 033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63" s="13" t="str">
        <x:v>ID 033/descripción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6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64" ht="204" customHeight="1">
      <x:c r="A964" s="13" t="str">
        <x:v>QA-RISLR-068</x:v>
      </x:c>
      <x:c r="B964" s="13" t="str">
        <x:v>Concepto no salarial 034: Enriquecimientos por regalías y participaciones análogas (PNNR)</x:v>
      </x:c>
      <x:c r="C96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034 (Enriquecimientos por regalías y participaciones análogas (PNNR)); comprador facultado ISLR, factura 116 VES. Declarar expresamente tasa QA 3 %, base 100, sustraendo 1 y fundamento QA-CONCEPTO-034; soporte privado. Fixture de contrato sintético, no recomendación tributaria; no usar esta tasa QA en una operación real sin sustento específico.</x:v>
      </x:c>
      <x:c r="D964" s="13" t="str">
        <x:v>1. Localizar ID 034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64" s="13" t="str">
        <x:v>ID 034/descripción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6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65" ht="204" customHeight="1">
      <x:c r="A965" s="13" t="str">
        <x:v>QA-RISLR-069</x:v>
      </x:c>
      <x:c r="B965" s="13" t="str">
        <x:v>Concepto no salarial 035: Enriquecimientos por regalías y participaciones análogas (PJND)</x:v>
      </x:c>
      <x:c r="C96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035 (Enriquecimientos por regalías y participaciones análogas (PJND)); comprador facultado ISLR, factura 116 VES. Declarar expresamente tasa QA 3 %, base 100, sustraendo 1 y fundamento QA-CONCEPTO-035; soporte privado. Fixture de contrato sintético, no recomendación tributaria; no usar esta tasa QA en una operación real sin sustento específico.</x:v>
      </x:c>
      <x:c r="D965" s="13" t="str">
        <x:v>1. Localizar ID 035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65" s="13" t="str">
        <x:v>ID 035/descripción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6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66" ht="204" customHeight="1">
      <x:c r="A966" s="13" t="str">
        <x:v>QA-RISLR-070</x:v>
      </x:c>
      <x:c r="B966" s="13" t="str">
        <x:v>Concepto no salarial 036: Enriquecimientos por remuneraciones, honorarios y pagos análogos de asistencia técnica (PNNR)</x:v>
      </x:c>
      <x:c r="C96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036 (Enriquecimientos por remuneraciones, honorarios y pagos análogos de asistencia técnica (PNNR)); comprador facultado ISLR, factura 116 VES. Declarar expresamente tasa QA 3 %, base 100, sustraendo 1 y fundamento QA-CONCEPTO-036; soporte privado. Fixture de contrato sintético, no recomendación tributaria; no usar esta tasa QA en una operación real sin sustento específico.</x:v>
      </x:c>
      <x:c r="D966" s="13" t="str">
        <x:v>1. Localizar ID 036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66" s="13" t="str">
        <x:v>ID 036/descripción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6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67" ht="204" customHeight="1">
      <x:c r="A967" s="13" t="str">
        <x:v>QA-RISLR-071</x:v>
      </x:c>
      <x:c r="B967" s="13" t="str">
        <x:v>Concepto no salarial 037: Enriquecimientos por remuneraciones, honorarios y pagos análogos de asistencia técnica (PJND)</x:v>
      </x:c>
      <x:c r="C96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037 (Enriquecimientos por remuneraciones, honorarios y pagos análogos de asistencia técnica (PJND)); comprador facultado ISLR, factura 116 VES. Declarar expresamente tasa QA 3 %, base 100, sustraendo 1 y fundamento QA-CONCEPTO-037; soporte privado. Fixture de contrato sintético, no recomendación tributaria; no usar esta tasa QA en una operación real sin sustento específico.</x:v>
      </x:c>
      <x:c r="D967" s="13" t="str">
        <x:v>1. Localizar ID 037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67" s="13" t="str">
        <x:v>ID 037/descripción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6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68" ht="204" customHeight="1">
      <x:c r="A968" s="13" t="str">
        <x:v>QA-RISLR-072</x:v>
      </x:c>
      <x:c r="B968" s="13" t="str">
        <x:v>Concepto no salarial 038: Enriquecimientos por servicios tecnológicos utilizados en el país o cedidos a terceros (PNNR)</x:v>
      </x:c>
      <x:c r="C96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038 (Enriquecimientos por servicios tecnológicos utilizados en el país o cedidos a terceros (PNNR)); comprador facultado ISLR, factura 116 VES. Declarar expresamente tasa QA 3 %, base 100, sustraendo 1 y fundamento QA-CONCEPTO-038; soporte privado. Fixture de contrato sintético, no recomendación tributaria; no usar esta tasa QA en una operación real sin sustento específico.</x:v>
      </x:c>
      <x:c r="D968" s="13" t="str">
        <x:v>1. Localizar ID 038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68" s="13" t="str">
        <x:v>ID 038/descripción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6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69" ht="204" customHeight="1">
      <x:c r="A969" s="13" t="str">
        <x:v>QA-RISLR-073</x:v>
      </x:c>
      <x:c r="B969" s="13" t="str">
        <x:v>Concepto no salarial 039: Enriquecimientos por servicios tecnológicos utilizados en el país o cedidos a terceros (PJND)</x:v>
      </x:c>
      <x:c r="C96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039 (Enriquecimientos por servicios tecnológicos utilizados en el país o cedidos a terceros (PJND)); comprador facultado ISLR, factura 116 VES. Declarar expresamente tasa QA 3 %, base 100, sustraendo 1 y fundamento QA-CONCEPTO-039; soporte privado. Fixture de contrato sintético, no recomendación tributaria; no usar esta tasa QA en una operación real sin sustento específico.</x:v>
      </x:c>
      <x:c r="D969" s="13" t="str">
        <x:v>1. Localizar ID 039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69" s="13" t="str">
        <x:v>ID 039/descripción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6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70" ht="204" customHeight="1">
      <x:c r="A970" s="13" t="str">
        <x:v>QA-RISLR-074</x:v>
      </x:c>
      <x:c r="B970" s="13" t="str">
        <x:v>Concepto no salarial 040: Enriquecimientos netos por primas de seguros y reaseguros (PJND)</x:v>
      </x:c>
      <x:c r="C97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040 (Enriquecimientos netos por primas de seguros y reaseguros (PJND)); comprador facultado ISLR, factura 116 VES. Declarar expresamente tasa QA 3 %, base 100, sustraendo 1 y fundamento QA-CONCEPTO-040; soporte privado. Fixture de contrato sintético, no recomendación tributaria; no usar esta tasa QA en una operación real sin sustento específico.</x:v>
      </x:c>
      <x:c r="D970" s="13" t="str">
        <x:v>1. Localizar ID 040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70" s="13" t="str">
        <x:v>ID 040/descripción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7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71" ht="192" customHeight="1">
      <x:c r="A971" s="13" t="str">
        <x:v>QA-RISLR-075</x:v>
      </x:c>
      <x:c r="B971" s="13" t="str">
        <x:v>Concepto no salarial 041: Ganancias por juegos y apuestas (PNR)</x:v>
      </x:c>
      <x:c r="C97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041 (Ganancias por juegos y apuestas (PNR)); comprador facultado ISLR, factura 116 VES. Declarar expresamente tasa QA 3 %, base 100, sustraendo 1 y fundamento QA-CONCEPTO-041; soporte privado. Fixture de contrato sintético, no recomendación tributaria; no usar esta tasa QA en una operación real sin sustento específico.</x:v>
      </x:c>
      <x:c r="D971" s="13" t="str">
        <x:v>1. Localizar ID 041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71" s="13" t="str">
        <x:v>ID 041/descripción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7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72" ht="192" customHeight="1">
      <x:c r="A972" s="13" t="str">
        <x:v>QA-RISLR-076</x:v>
      </x:c>
      <x:c r="B972" s="13" t="str">
        <x:v>Concepto no salarial 042: Ganancias por juegos y apuestas (PNNR)</x:v>
      </x:c>
      <x:c r="C97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042 (Ganancias por juegos y apuestas (PNNR)); comprador facultado ISLR, factura 116 VES. Declarar expresamente tasa QA 3 %, base 100, sustraendo 1 y fundamento QA-CONCEPTO-042; soporte privado. Fixture de contrato sintético, no recomendación tributaria; no usar esta tasa QA en una operación real sin sustento específico.</x:v>
      </x:c>
      <x:c r="D972" s="13" t="str">
        <x:v>1. Localizar ID 042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72" s="13" t="str">
        <x:v>ID 042/descripción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7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73" ht="192" customHeight="1">
      <x:c r="A973" s="13" t="str">
        <x:v>QA-RISLR-077</x:v>
      </x:c>
      <x:c r="B973" s="13" t="str">
        <x:v>Concepto no salarial 043: Ganancias por juegos y apuestas (PJD)</x:v>
      </x:c>
      <x:c r="C97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043 (Ganancias por juegos y apuestas (PJD)); comprador facultado ISLR, factura 116 VES. Declarar expresamente tasa QA 3 %, base 100, sustraendo 1 y fundamento QA-CONCEPTO-043; soporte privado. Fixture de contrato sintético, no recomendación tributaria; no usar esta tasa QA en una operación real sin sustento específico.</x:v>
      </x:c>
      <x:c r="D973" s="13" t="str">
        <x:v>1. Localizar ID 043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73" s="13" t="str">
        <x:v>ID 043/descripción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7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74" ht="192" customHeight="1">
      <x:c r="A974" s="13" t="str">
        <x:v>QA-RISLR-078</x:v>
      </x:c>
      <x:c r="B974" s="13" t="str">
        <x:v>Concepto no salarial 044: Ganancias por juegos y apuestas (PJND)</x:v>
      </x:c>
      <x:c r="C97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044 (Ganancias por juegos y apuestas (PJND)); comprador facultado ISLR, factura 116 VES. Declarar expresamente tasa QA 3 %, base 100, sustraendo 1 y fundamento QA-CONCEPTO-044; soporte privado. Fixture de contrato sintético, no recomendación tributaria; no usar esta tasa QA en una operación real sin sustento específico.</x:v>
      </x:c>
      <x:c r="D974" s="13" t="str">
        <x:v>1. Localizar ID 044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74" s="13" t="str">
        <x:v>ID 044/descripción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7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75" ht="192" customHeight="1">
      <x:c r="A975" s="13" t="str">
        <x:v>QA-RISLR-079</x:v>
      </x:c>
      <x:c r="B975" s="13" t="str">
        <x:v>Concepto no salarial 045: Ganancias por premios de loterías e hipódromos (PNR)</x:v>
      </x:c>
      <x:c r="C97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045 (Ganancias por premios de loterías e hipódromos (PNR)); comprador facultado ISLR, factura 116 VES. Declarar expresamente tasa QA 3 %, base 100, sustraendo 1 y fundamento QA-CONCEPTO-045; soporte privado. Fixture de contrato sintético, no recomendación tributaria; no usar esta tasa QA en una operación real sin sustento específico.</x:v>
      </x:c>
      <x:c r="D975" s="13" t="str">
        <x:v>1. Localizar ID 045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75" s="13" t="str">
        <x:v>ID 045/descripción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7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76" ht="192" customHeight="1">
      <x:c r="A976" s="13" t="str">
        <x:v>QA-RISLR-080</x:v>
      </x:c>
      <x:c r="B976" s="13" t="str">
        <x:v>Concepto no salarial 046: Ganancias por premios de loterías e hipódromos (PNNR)</x:v>
      </x:c>
      <x:c r="C97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046 (Ganancias por premios de loterías e hipódromos (PNNR)); comprador facultado ISLR, factura 116 VES. Declarar expresamente tasa QA 3 %, base 100, sustraendo 1 y fundamento QA-CONCEPTO-046; soporte privado. Fixture de contrato sintético, no recomendación tributaria; no usar esta tasa QA en una operación real sin sustento específico.</x:v>
      </x:c>
      <x:c r="D976" s="13" t="str">
        <x:v>1. Localizar ID 046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76" s="13" t="str">
        <x:v>ID 046/descripción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7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77" ht="192" customHeight="1">
      <x:c r="A977" s="13" t="str">
        <x:v>QA-RISLR-081</x:v>
      </x:c>
      <x:c r="B977" s="13" t="str">
        <x:v>Concepto no salarial 047: Ganancias por premios de loterías e hipódromos (PJD)</x:v>
      </x:c>
      <x:c r="C97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047 (Ganancias por premios de loterías e hipódromos (PJD)); comprador facultado ISLR, factura 116 VES. Declarar expresamente tasa QA 3 %, base 100, sustraendo 1 y fundamento QA-CONCEPTO-047; soporte privado. Fixture de contrato sintético, no recomendación tributaria; no usar esta tasa QA en una operación real sin sustento específico.</x:v>
      </x:c>
      <x:c r="D977" s="13" t="str">
        <x:v>1. Localizar ID 047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77" s="13" t="str">
        <x:v>ID 047/descripción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7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78" ht="192" customHeight="1">
      <x:c r="A978" s="13" t="str">
        <x:v>QA-RISLR-082</x:v>
      </x:c>
      <x:c r="B978" s="13" t="str">
        <x:v>Concepto no salarial 048: Ganancias por premios de loterías e hipódromos (PJND)</x:v>
      </x:c>
      <x:c r="C97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048 (Ganancias por premios de loterías e hipódromos (PJND)); comprador facultado ISLR, factura 116 VES. Declarar expresamente tasa QA 3 %, base 100, sustraendo 1 y fundamento QA-CONCEPTO-048; soporte privado. Fixture de contrato sintético, no recomendación tributaria; no usar esta tasa QA en una operación real sin sustento específico.</x:v>
      </x:c>
      <x:c r="D978" s="13" t="str">
        <x:v>1. Localizar ID 048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78" s="13" t="str">
        <x:v>ID 048/descripción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7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79" ht="192" customHeight="1">
      <x:c r="A979" s="13" t="str">
        <x:v>QA-RISLR-083</x:v>
      </x:c>
      <x:c r="B979" s="13" t="str">
        <x:v>Concepto no salarial 049: Premios pagados a propietarios de animales de carrera (PNR)</x:v>
      </x:c>
      <x:c r="C97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049 (Premios pagados a propietarios de animales de carrera (PNR)); comprador facultado ISLR, factura 116 VES. Declarar expresamente tasa QA 3 %, base 100, sustraendo 1 y fundamento QA-CONCEPTO-049; soporte privado. Fixture de contrato sintético, no recomendación tributaria; no usar esta tasa QA en una operación real sin sustento específico.</x:v>
      </x:c>
      <x:c r="D979" s="13" t="str">
        <x:v>1. Localizar ID 049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79" s="13" t="str">
        <x:v>ID 049/descripción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7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80" ht="192" customHeight="1">
      <x:c r="A980" s="13" t="str">
        <x:v>QA-RISLR-084</x:v>
      </x:c>
      <x:c r="B980" s="13" t="str">
        <x:v>Concepto no salarial 050: Premios pagados a propietarios de animales de carrera (PNNR)</x:v>
      </x:c>
      <x:c r="C98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050 (Premios pagados a propietarios de animales de carrera (PNNR)); comprador facultado ISLR, factura 116 VES. Declarar expresamente tasa QA 3 %, base 100, sustraendo 1 y fundamento QA-CONCEPTO-050; soporte privado. Fixture de contrato sintético, no recomendación tributaria; no usar esta tasa QA en una operación real sin sustento específico.</x:v>
      </x:c>
      <x:c r="D980" s="13" t="str">
        <x:v>1. Localizar ID 050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80" s="13" t="str">
        <x:v>ID 050/descripción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8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81" ht="192" customHeight="1">
      <x:c r="A981" s="13" t="str">
        <x:v>QA-RISLR-085</x:v>
      </x:c>
      <x:c r="B981" s="13" t="str">
        <x:v>Concepto no salarial 051: Premios pagados a propietarios de animales de carrera (PJD)</x:v>
      </x:c>
      <x:c r="C98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051 (Premios pagados a propietarios de animales de carrera (PJD)); comprador facultado ISLR, factura 116 VES. Declarar expresamente tasa QA 3 %, base 100, sustraendo 1 y fundamento QA-CONCEPTO-051; soporte privado. Fixture de contrato sintético, no recomendación tributaria; no usar esta tasa QA en una operación real sin sustento específico.</x:v>
      </x:c>
      <x:c r="D981" s="13" t="str">
        <x:v>1. Localizar ID 051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81" s="13" t="str">
        <x:v>ID 051/descripción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8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82" ht="192" customHeight="1">
      <x:c r="A982" s="13" t="str">
        <x:v>QA-RISLR-086</x:v>
      </x:c>
      <x:c r="B982" s="13" t="str">
        <x:v>Concepto no salarial 052: Premios pagados a propietarios de animales de carrera (PJND)</x:v>
      </x:c>
      <x:c r="C98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052 (Premios pagados a propietarios de animales de carrera (PJND)); comprador facultado ISLR, factura 116 VES. Declarar expresamente tasa QA 3 %, base 100, sustraendo 1 y fundamento QA-CONCEPTO-052; soporte privado. Fixture de contrato sintético, no recomendación tributaria; no usar esta tasa QA en una operación real sin sustento específico.</x:v>
      </x:c>
      <x:c r="D982" s="13" t="str">
        <x:v>1. Localizar ID 052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82" s="13" t="str">
        <x:v>ID 052/descripción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8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83" ht="204" customHeight="1">
      <x:c r="A983" s="13" t="str">
        <x:v>QA-RISLR-087</x:v>
      </x:c>
      <x:c r="B983" s="13" t="str">
        <x:v>Concepto no salarial 053: Pagos a contratistas o subcontratistas por ejecución de obras o servicios mediante valuaciones y órdenes de pago (PNR)</x:v>
      </x:c>
      <x:c r="C98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053 (Pagos a contratistas o subcontratistas por ejecución de obras o servicios mediante valuaciones y órdenes de pago (PNR)); comprador facultado ISLR, factura 116 VES. Declarar expresamente tasa QA 3 %, base 100, sustraendo 1 y fundamento QA-CONCEPTO-053; soporte privado. Fixture de contrato sintético, no recomendación tributaria; no usar esta tasa QA en una operación real sin sustento específico.</x:v>
      </x:c>
      <x:c r="D983" s="13" t="str">
        <x:v>1. Localizar ID 053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83" s="13" t="str">
        <x:v>ID 053/descripción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8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84" ht="204" customHeight="1">
      <x:c r="A984" s="13" t="str">
        <x:v>QA-RISLR-088</x:v>
      </x:c>
      <x:c r="B984" s="13" t="str">
        <x:v>Concepto no salarial 054: Pagos a contratistas o subcontratistas por ejecución de obras o servicios mediante valuaciones y órdenes de pago (PNNR)</x:v>
      </x:c>
      <x:c r="C98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054 (Pagos a contratistas o subcontratistas por ejecución de obras o servicios mediante valuaciones y órdenes de pago (PNNR)); comprador facultado ISLR, factura 116 VES. Declarar expresamente tasa QA 3 %, base 100, sustraendo 1 y fundamento QA-CONCEPTO-054; soporte privado. Fixture de contrato sintético, no recomendación tributaria; no usar esta tasa QA en una operación real sin sustento específico.</x:v>
      </x:c>
      <x:c r="D984" s="13" t="str">
        <x:v>1. Localizar ID 054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84" s="13" t="str">
        <x:v>ID 054/descripción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8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85" ht="204" customHeight="1">
      <x:c r="A985" s="13" t="str">
        <x:v>QA-RISLR-089</x:v>
      </x:c>
      <x:c r="B985" s="13" t="str">
        <x:v>Concepto no salarial 055: Pagos a contratistas o subcontratistas por ejecución de obras o servicios mediante valuaciones y órdenes de pago (PJD)</x:v>
      </x:c>
      <x:c r="C98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055 (Pagos a contratistas o subcontratistas por ejecución de obras o servicios mediante valuaciones y órdenes de pago (PJD)); comprador facultado ISLR, factura 116 VES. Declarar expresamente tasa QA 3 %, base 100, sustraendo 1 y fundamento QA-CONCEPTO-055; soporte privado. Fixture de contrato sintético, no recomendación tributaria; no usar esta tasa QA en una operación real sin sustento específico.</x:v>
      </x:c>
      <x:c r="D985" s="13" t="str">
        <x:v>1. Localizar ID 055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85" s="13" t="str">
        <x:v>ID 055/descripción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8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86" ht="204" customHeight="1">
      <x:c r="A986" s="13" t="str">
        <x:v>QA-RISLR-090</x:v>
      </x:c>
      <x:c r="B986" s="13" t="str">
        <x:v>Concepto no salarial 056: Pagos a contratistas o subcontratistas por ejecución de obras o servicios mediante valuaciones y órdenes de pago (PJND)</x:v>
      </x:c>
      <x:c r="C98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056 (Pagos a contratistas o subcontratistas por ejecución de obras o servicios mediante valuaciones y órdenes de pago (PJND)); comprador facultado ISLR, factura 116 VES. Declarar expresamente tasa QA 3 %, base 100, sustraendo 1 y fundamento QA-CONCEPTO-056; soporte privado. Fixture de contrato sintético, no recomendación tributaria; no usar esta tasa QA en una operación real sin sustento específico.</x:v>
      </x:c>
      <x:c r="D986" s="13" t="str">
        <x:v>1. Localizar ID 056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86" s="13" t="str">
        <x:v>ID 056/descripción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8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87" ht="192" customHeight="1">
      <x:c r="A987" s="13" t="str">
        <x:v>QA-RISLR-091</x:v>
      </x:c>
      <x:c r="B987" s="13" t="str">
        <x:v>Concepto no salarial 057: Pagos a arrendadores de inmuebles situados en el país (PNR)</x:v>
      </x:c>
      <x:c r="C98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057 (Pagos a arrendadores de inmuebles situados en el país (PNR)); comprador facultado ISLR, factura 116 VES. Declarar expresamente tasa QA 3 %, base 100, sustraendo 1 y fundamento QA-CONCEPTO-057; soporte privado. Fixture de contrato sintético, no recomendación tributaria; no usar esta tasa QA en una operación real sin sustento específico.</x:v>
      </x:c>
      <x:c r="D987" s="13" t="str">
        <x:v>1. Localizar ID 057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87" s="13" t="str">
        <x:v>ID 057/descripción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8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88" ht="192" customHeight="1">
      <x:c r="A988" s="13" t="str">
        <x:v>QA-RISLR-092</x:v>
      </x:c>
      <x:c r="B988" s="13" t="str">
        <x:v>Concepto no salarial 058: Pagos a arrendadores de inmuebles situados en el país (PNNR)</x:v>
      </x:c>
      <x:c r="C98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058 (Pagos a arrendadores de inmuebles situados en el país (PNNR)); comprador facultado ISLR, factura 116 VES. Declarar expresamente tasa QA 3 %, base 100, sustraendo 1 y fundamento QA-CONCEPTO-058; soporte privado. Fixture de contrato sintético, no recomendación tributaria; no usar esta tasa QA en una operación real sin sustento específico.</x:v>
      </x:c>
      <x:c r="D988" s="13" t="str">
        <x:v>1. Localizar ID 058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88" s="13" t="str">
        <x:v>ID 058/descripción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8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89" ht="192" customHeight="1">
      <x:c r="A989" s="13" t="str">
        <x:v>QA-RISLR-093</x:v>
      </x:c>
      <x:c r="B989" s="13" t="str">
        <x:v>Concepto no salarial 059: Pagos a arrendadores de inmuebles situados en el país (PJD)</x:v>
      </x:c>
      <x:c r="C98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059 (Pagos a arrendadores de inmuebles situados en el país (PJD)); comprador facultado ISLR, factura 116 VES. Declarar expresamente tasa QA 3 %, base 100, sustraendo 1 y fundamento QA-CONCEPTO-059; soporte privado. Fixture de contrato sintético, no recomendación tributaria; no usar esta tasa QA en una operación real sin sustento específico.</x:v>
      </x:c>
      <x:c r="D989" s="13" t="str">
        <x:v>1. Localizar ID 059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89" s="13" t="str">
        <x:v>ID 059/descripción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8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90" ht="192" customHeight="1">
      <x:c r="A990" s="13" t="str">
        <x:v>QA-RISLR-094</x:v>
      </x:c>
      <x:c r="B990" s="13" t="str">
        <x:v>Concepto no salarial 060: Pagos a arrendadores de inmuebles situados en el país (PJND)</x:v>
      </x:c>
      <x:c r="C99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060 (Pagos a arrendadores de inmuebles situados en el país (PJND)); comprador facultado ISLR, factura 116 VES. Declarar expresamente tasa QA 3 %, base 100, sustraendo 1 y fundamento QA-CONCEPTO-060; soporte privado. Fixture de contrato sintético, no recomendación tributaria; no usar esta tasa QA en una operación real sin sustento específico.</x:v>
      </x:c>
      <x:c r="D990" s="13" t="str">
        <x:v>1. Localizar ID 060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90" s="13" t="str">
        <x:v>ID 060/descripción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9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91" ht="204" customHeight="1">
      <x:c r="A991" s="13" t="str">
        <x:v>QA-RISLR-095</x:v>
      </x:c>
      <x:c r="B991" s="13" t="str">
        <x:v>Concepto no salarial 061: Cánones de arrendamiento de muebles situados en el país (PNR)</x:v>
      </x:c>
      <x:c r="C99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061 (Cánones de arrendamiento de muebles situados en el país (PNR)); comprador facultado ISLR, factura 116 VES. Declarar expresamente tasa QA 3 %, base 100, sustraendo 1 y fundamento QA-CONCEPTO-061; soporte privado. Fixture de contrato sintético, no recomendación tributaria; no usar esta tasa QA en una operación real sin sustento específico.</x:v>
      </x:c>
      <x:c r="D991" s="13" t="str">
        <x:v>1. Localizar ID 061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91" s="13" t="str">
        <x:v>ID 061/descripción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9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92" ht="204" customHeight="1">
      <x:c r="A992" s="13" t="str">
        <x:v>QA-RISLR-096</x:v>
      </x:c>
      <x:c r="B992" s="13" t="str">
        <x:v>Concepto no salarial 062: Cánones de arrendamiento de muebles situados en el país (PNNR)</x:v>
      </x:c>
      <x:c r="C99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062 (Cánones de arrendamiento de muebles situados en el país (PNNR)); comprador facultado ISLR, factura 116 VES. Declarar expresamente tasa QA 3 %, base 100, sustraendo 1 y fundamento QA-CONCEPTO-062; soporte privado. Fixture de contrato sintético, no recomendación tributaria; no usar esta tasa QA en una operación real sin sustento específico.</x:v>
      </x:c>
      <x:c r="D992" s="13" t="str">
        <x:v>1. Localizar ID 062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92" s="13" t="str">
        <x:v>ID 062/descripción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9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93" ht="204" customHeight="1">
      <x:c r="A993" s="13" t="str">
        <x:v>QA-RISLR-097</x:v>
      </x:c>
      <x:c r="B993" s="13" t="str">
        <x:v>Concepto no salarial 063: Cánones de arrendamiento de muebles situados en el país (PJD)</x:v>
      </x:c>
      <x:c r="C99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063 (Cánones de arrendamiento de muebles situados en el país (PJD)); comprador facultado ISLR, factura 116 VES. Declarar expresamente tasa QA 3 %, base 100, sustraendo 1 y fundamento QA-CONCEPTO-063; soporte privado. Fixture de contrato sintético, no recomendación tributaria; no usar esta tasa QA en una operación real sin sustento específico.</x:v>
      </x:c>
      <x:c r="D993" s="13" t="str">
        <x:v>1. Localizar ID 063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93" s="13" t="str">
        <x:v>ID 063/descripción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9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94" ht="204" customHeight="1">
      <x:c r="A994" s="13" t="str">
        <x:v>QA-RISLR-098</x:v>
      </x:c>
      <x:c r="B994" s="13" t="str">
        <x:v>Concepto no salarial 064: Cánones de arrendamiento de muebles situados en el país (PJND)</x:v>
      </x:c>
      <x:c r="C99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064 (Cánones de arrendamiento de muebles situados en el país (PJND)); comprador facultado ISLR, factura 116 VES. Declarar expresamente tasa QA 3 %, base 100, sustraendo 1 y fundamento QA-CONCEPTO-064; soporte privado. Fixture de contrato sintético, no recomendación tributaria; no usar esta tasa QA en una operación real sin sustento específico.</x:v>
      </x:c>
      <x:c r="D994" s="13" t="str">
        <x:v>1. Localizar ID 064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94" s="13" t="str">
        <x:v>ID 064/descripción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9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95" ht="204" customHeight="1">
      <x:c r="A995" s="13" t="str">
        <x:v>QA-RISLR-099</x:v>
      </x:c>
      <x:c r="B995" s="13" t="str">
        <x:v>Concepto no salarial 065: Pagos de emisoras de tarjetas de crédito o consumo por venta de bienes y servicios u otro concepto (PNR)</x:v>
      </x:c>
      <x:c r="C99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065 (Pagos de emisoras de tarjetas de crédito o consumo por venta de bienes y servicios u otro concepto (PNR)); comprador facultado ISLR, factura 116 VES. Declarar expresamente tasa QA 3 %, base 100, sustraendo 1 y fundamento QA-CONCEPTO-065; soporte privado. Fixture de contrato sintético, no recomendación tributaria; no usar esta tasa QA en una operación real sin sustento específico.</x:v>
      </x:c>
      <x:c r="D995" s="13" t="str">
        <x:v>1. Localizar ID 065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95" s="13" t="str">
        <x:v>ID 065/descripción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9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96" ht="204" customHeight="1">
      <x:c r="A996" s="13" t="str">
        <x:v>QA-RISLR-100</x:v>
      </x:c>
      <x:c r="B996" s="13" t="str">
        <x:v>Concepto no salarial 066: Pagos de emisoras de tarjetas de crédito o consumo por venta de bienes y servicios u otro concepto (PNNR)</x:v>
      </x:c>
      <x:c r="C99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066 (Pagos de emisoras de tarjetas de crédito o consumo por venta de bienes y servicios u otro concepto (PNNR)); comprador facultado ISLR, factura 116 VES. Declarar expresamente tasa QA 3 %, base 100, sustraendo 1 y fundamento QA-CONCEPTO-066; soporte privado. Fixture de contrato sintético, no recomendación tributaria; no usar esta tasa QA en una operación real sin sustento específico.</x:v>
      </x:c>
      <x:c r="D996" s="13" t="str">
        <x:v>1. Localizar ID 066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96" s="13" t="str">
        <x:v>ID 066/descripción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9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97" ht="204" customHeight="1">
      <x:c r="A997" s="13" t="str">
        <x:v>QA-RISLR-101</x:v>
      </x:c>
      <x:c r="B997" s="13" t="str">
        <x:v>Concepto no salarial 067: Pagos de emisoras de tarjetas de crédito o consumo por venta de bienes y servicios u otro concepto (PJD)</x:v>
      </x:c>
      <x:c r="C99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067 (Pagos de emisoras de tarjetas de crédito o consumo por venta de bienes y servicios u otro concepto (PJD)); comprador facultado ISLR, factura 116 VES. Declarar expresamente tasa QA 3 %, base 100, sustraendo 1 y fundamento QA-CONCEPTO-067; soporte privado. Fixture de contrato sintético, no recomendación tributaria; no usar esta tasa QA en una operación real sin sustento específico.</x:v>
      </x:c>
      <x:c r="D997" s="13" t="str">
        <x:v>1. Localizar ID 067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97" s="13" t="str">
        <x:v>ID 067/descripción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9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98" ht="204" customHeight="1">
      <x:c r="A998" s="13" t="str">
        <x:v>QA-RISLR-102</x:v>
      </x:c>
      <x:c r="B998" s="13" t="str">
        <x:v>Concepto no salarial 068: Pagos de emisoras de tarjetas de crédito o consumo por venta de bienes y servicios u otro concepto (PJND)</x:v>
      </x:c>
      <x:c r="C99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068 (Pagos de emisoras de tarjetas de crédito o consumo por venta de bienes y servicios u otro concepto (PJND)); comprador facultado ISLR, factura 116 VES. Declarar expresamente tasa QA 3 %, base 100, sustraendo 1 y fundamento QA-CONCEPTO-068; soporte privado. Fixture de contrato sintético, no recomendación tributaria; no usar esta tasa QA en una operación real sin sustento específico.</x:v>
      </x:c>
      <x:c r="D998" s="13" t="str">
        <x:v>1. Localizar ID 068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98" s="13" t="str">
        <x:v>ID 068/descripción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9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999" ht="204" customHeight="1">
      <x:c r="A999" s="13" t="str">
        <x:v>QA-RISLR-103</x:v>
      </x:c>
      <x:c r="B999" s="13" t="str">
        <x:v>Concepto no salarial 069: Pagos de emisoras de tarjetas por venta de gasolina en estaciones de servicio (PNR)</x:v>
      </x:c>
      <x:c r="C99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069 (Pagos de emisoras de tarjetas por venta de gasolina en estaciones de servicio (PNR)); comprador facultado ISLR, factura 116 VES. Declarar expresamente tasa QA 3 %, base 100, sustraendo 1 y fundamento QA-CONCEPTO-069; soporte privado. Fixture de contrato sintético, no recomendación tributaria; no usar esta tasa QA en una operación real sin sustento específico.</x:v>
      </x:c>
      <x:c r="D999" s="13" t="str">
        <x:v>1. Localizar ID 069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999" s="13" t="str">
        <x:v>ID 069/descripción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99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00" ht="204" customHeight="1">
      <x:c r="A1000" s="13" t="str">
        <x:v>QA-RISLR-104</x:v>
      </x:c>
      <x:c r="B1000" s="13" t="str">
        <x:v>Concepto no salarial 070: Pagos de emisoras de tarjetas por venta de gasolina en estaciones de servicio (PJD)</x:v>
      </x:c>
      <x:c r="C100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070 (Pagos de emisoras de tarjetas por venta de gasolina en estaciones de servicio (PJD)); comprador facultado ISLR, factura 116 VES. Declarar expresamente tasa QA 3 %, base 100, sustraendo 1 y fundamento QA-CONCEPTO-070; soporte privado. Fixture de contrato sintético, no recomendación tributaria; no usar esta tasa QA en una operación real sin sustento específico.</x:v>
      </x:c>
      <x:c r="D1000" s="13" t="str">
        <x:v>1. Localizar ID 070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00" s="13" t="str">
        <x:v>ID 070/descripción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0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01" ht="192" customHeight="1">
      <x:c r="A1001" s="13" t="str">
        <x:v>QA-RISLR-105</x:v>
      </x:c>
      <x:c r="B1001" s="13" t="str">
        <x:v>Concepto no salarial 071: Pagos por gastos de transporte conformados por fletes (PNR)</x:v>
      </x:c>
      <x:c r="C100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071 (Pagos por gastos de transporte conformados por fletes (PNR)); comprador facultado ISLR, factura 116 VES. Declarar expresamente tasa QA 3 %, base 100, sustraendo 1 y fundamento QA-CONCEPTO-071; soporte privado. Fixture de contrato sintético, no recomendación tributaria; no usar esta tasa QA en una operación real sin sustento específico.</x:v>
      </x:c>
      <x:c r="D1001" s="13" t="str">
        <x:v>1. Localizar ID 071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01" s="13" t="str">
        <x:v>ID 071/descripción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0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02" ht="192" customHeight="1">
      <x:c r="A1002" s="13" t="str">
        <x:v>QA-RISLR-106</x:v>
      </x:c>
      <x:c r="B1002" s="13" t="str">
        <x:v>Concepto no salarial 072: Pagos por gastos de transporte conformados por fletes (PJD)</x:v>
      </x:c>
      <x:c r="C100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072 (Pagos por gastos de transporte conformados por fletes (PJD)); comprador facultado ISLR, factura 116 VES. Declarar expresamente tasa QA 3 %, base 100, sustraendo 1 y fundamento QA-CONCEPTO-072; soporte privado. Fixture de contrato sintético, no recomendación tributaria; no usar esta tasa QA en una operación real sin sustento específico.</x:v>
      </x:c>
      <x:c r="D1002" s="13" t="str">
        <x:v>1. Localizar ID 072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02" s="13" t="str">
        <x:v>ID 072/descripción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0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03" ht="204" customHeight="1">
      <x:c r="A1003" s="13" t="str">
        <x:v>QA-RISLR-107</x:v>
      </x:c>
      <x:c r="B1003" s="13" t="str">
        <x:v>Concepto no salarial 073: Pagos de empresas de seguro, corretaje de seguros y reaseguros por sus servicios propios (PNR)</x:v>
      </x:c>
      <x:c r="C100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073 (Pagos de empresas de seguro, corretaje de seguros y reaseguros por sus servicios propios (PNR)); comprador facultado ISLR, factura 116 VES. Declarar expresamente tasa QA 3 %, base 100, sustraendo 1 y fundamento QA-CONCEPTO-073; soporte privado. Fixture de contrato sintético, no recomendación tributaria; no usar esta tasa QA en una operación real sin sustento específico.</x:v>
      </x:c>
      <x:c r="D1003" s="13" t="str">
        <x:v>1. Localizar ID 073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03" s="13" t="str">
        <x:v>ID 073/descripción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0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04" ht="204" customHeight="1">
      <x:c r="A1004" s="13" t="str">
        <x:v>QA-RISLR-108</x:v>
      </x:c>
      <x:c r="B1004" s="13" t="str">
        <x:v>Concepto no salarial 074: Pagos de empresas de seguro, corretaje de seguros y reaseguros por sus servicios propios (PJD)</x:v>
      </x:c>
      <x:c r="C100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074 (Pagos de empresas de seguro, corretaje de seguros y reaseguros por sus servicios propios (PJD)); comprador facultado ISLR, factura 116 VES. Declarar expresamente tasa QA 3 %, base 100, sustraendo 1 y fundamento QA-CONCEPTO-074; soporte privado. Fixture de contrato sintético, no recomendación tributaria; no usar esta tasa QA en una operación real sin sustento específico.</x:v>
      </x:c>
      <x:c r="D1004" s="13" t="str">
        <x:v>1. Localizar ID 074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04" s="13" t="str">
        <x:v>ID 074/descripción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0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05" ht="204" customHeight="1">
      <x:c r="A1005" s="13" t="str">
        <x:v>QA-RISLR-109</x:v>
      </x:c>
      <x:c r="B1005" s="13" t="str">
        <x:v>Concepto no salarial 075: Pagos de aseguradoras a contratistas por reparación de daños sufridos por asegurados (PNR)</x:v>
      </x:c>
      <x:c r="C100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075 (Pagos de aseguradoras a contratistas por reparación de daños sufridos por asegurados (PNR)); comprador facultado ISLR, factura 116 VES. Declarar expresamente tasa QA 3 %, base 100, sustraendo 1 y fundamento QA-CONCEPTO-075; soporte privado. Fixture de contrato sintético, no recomendación tributaria; no usar esta tasa QA en una operación real sin sustento específico.</x:v>
      </x:c>
      <x:c r="D1005" s="13" t="str">
        <x:v>1. Localizar ID 075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05" s="13" t="str">
        <x:v>ID 075/descripción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0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06" ht="204" customHeight="1">
      <x:c r="A1006" s="13" t="str">
        <x:v>QA-RISLR-110</x:v>
      </x:c>
      <x:c r="B1006" s="13" t="str">
        <x:v>Concepto no salarial 076: Pagos de aseguradoras a contratistas por reparación de daños sufridos por asegurados (PJD)</x:v>
      </x:c>
      <x:c r="C100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076 (Pagos de aseguradoras a contratistas por reparación de daños sufridos por asegurados (PJD)); comprador facultado ISLR, factura 116 VES. Declarar expresamente tasa QA 3 %, base 100, sustraendo 1 y fundamento QA-CONCEPTO-076; soporte privado. Fixture de contrato sintético, no recomendación tributaria; no usar esta tasa QA en una operación real sin sustento específico.</x:v>
      </x:c>
      <x:c r="D1006" s="13" t="str">
        <x:v>1. Localizar ID 076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06" s="13" t="str">
        <x:v>ID 076/descripción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0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07" ht="204" customHeight="1">
      <x:c r="A1007" s="13" t="str">
        <x:v>QA-RISLR-111</x:v>
      </x:c>
      <x:c r="B1007" s="13" t="str">
        <x:v>Concepto no salarial 077: Pagos de aseguradoras a clínicas, hospitales y centros de salud por atención médica a asegurados (PNR)</x:v>
      </x:c>
      <x:c r="C100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077 (Pagos de aseguradoras a clínicas, hospitales y centros de salud por atención médica a asegurados (PNR)); comprador facultado ISLR, factura 116 VES. Declarar expresamente tasa QA 3 %, base 100, sustraendo 1 y fundamento QA-CONCEPTO-077; soporte privado. Fixture de contrato sintético, no recomendación tributaria; no usar esta tasa QA en una operación real sin sustento específico.</x:v>
      </x:c>
      <x:c r="D1007" s="13" t="str">
        <x:v>1. Localizar ID 077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07" s="13" t="str">
        <x:v>ID 077/descripción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0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08" ht="204" customHeight="1">
      <x:c r="A1008" s="13" t="str">
        <x:v>QA-RISLR-112</x:v>
      </x:c>
      <x:c r="B1008" s="13" t="str">
        <x:v>Concepto no salarial 078: Pagos de aseguradoras a clínicas, hospitales y centros de salud por atención médica a asegurados (PJD)</x:v>
      </x:c>
      <x:c r="C100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078 (Pagos de aseguradoras a clínicas, hospitales y centros de salud por atención médica a asegurados (PJD)); comprador facultado ISLR, factura 116 VES. Declarar expresamente tasa QA 3 %, base 100, sustraendo 1 y fundamento QA-CONCEPTO-078; soporte privado. Fixture de contrato sintético, no recomendación tributaria; no usar esta tasa QA en una operación real sin sustento específico.</x:v>
      </x:c>
      <x:c r="D1008" s="13" t="str">
        <x:v>1. Localizar ID 078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08" s="13" t="str">
        <x:v>ID 078/descripción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0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09" ht="204" customHeight="1">
      <x:c r="A1009" s="13" t="str">
        <x:v>QA-RISLR-113</x:v>
      </x:c>
      <x:c r="B1009" s="13" t="str">
        <x:v>Concepto no salarial 079: Pagos por adquisición de fondos de comercio situados en el país (PNR)</x:v>
      </x:c>
      <x:c r="C100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079 (Pagos por adquisición de fondos de comercio situados en el país (PNR)); comprador facultado ISLR, factura 116 VES. Declarar expresamente tasa QA 3 %, base 100, sustraendo 1 y fundamento QA-CONCEPTO-079; soporte privado. Fixture de contrato sintético, no recomendación tributaria; no usar esta tasa QA en una operación real sin sustento específico.</x:v>
      </x:c>
      <x:c r="D1009" s="13" t="str">
        <x:v>1. Localizar ID 079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09" s="13" t="str">
        <x:v>ID 079/descripción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0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10" ht="204" customHeight="1">
      <x:c r="A1010" s="13" t="str">
        <x:v>QA-RISLR-114</x:v>
      </x:c>
      <x:c r="B1010" s="13" t="str">
        <x:v>Concepto no salarial 080: Pagos por adquisición de fondos de comercio situados en el país (PNNR)</x:v>
      </x:c>
      <x:c r="C101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080 (Pagos por adquisición de fondos de comercio situados en el país (PNNR)); comprador facultado ISLR, factura 116 VES. Declarar expresamente tasa QA 3 %, base 100, sustraendo 1 y fundamento QA-CONCEPTO-080; soporte privado. Fixture de contrato sintético, no recomendación tributaria; no usar esta tasa QA en una operación real sin sustento específico.</x:v>
      </x:c>
      <x:c r="D1010" s="13" t="str">
        <x:v>1. Localizar ID 080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10" s="13" t="str">
        <x:v>ID 080/descripción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1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11" ht="204" customHeight="1">
      <x:c r="A1011" s="13" t="str">
        <x:v>QA-RISLR-115</x:v>
      </x:c>
      <x:c r="B1011" s="13" t="str">
        <x:v>Concepto no salarial 081: Pagos por adquisición de fondos de comercio situados en el país (PJD)</x:v>
      </x:c>
      <x:c r="C101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081 (Pagos por adquisición de fondos de comercio situados en el país (PJD)); comprador facultado ISLR, factura 116 VES. Declarar expresamente tasa QA 3 %, base 100, sustraendo 1 y fundamento QA-CONCEPTO-081; soporte privado. Fixture de contrato sintético, no recomendación tributaria; no usar esta tasa QA en una operación real sin sustento específico.</x:v>
      </x:c>
      <x:c r="D1011" s="13" t="str">
        <x:v>1. Localizar ID 081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11" s="13" t="str">
        <x:v>ID 081/descripción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1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12" ht="204" customHeight="1">
      <x:c r="A1012" s="13" t="str">
        <x:v>QA-RISLR-116</x:v>
      </x:c>
      <x:c r="B1012" s="13" t="str">
        <x:v>Concepto no salarial 082: Pagos por adquisición de fondos de comercio situados en el país (PJND)</x:v>
      </x:c>
      <x:c r="C101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082 (Pagos por adquisición de fondos de comercio situados en el país (PJND)); comprador facultado ISLR, factura 116 VES. Declarar expresamente tasa QA 3 %, base 100, sustraendo 1 y fundamento QA-CONCEPTO-082; soporte privado. Fixture de contrato sintético, no recomendación tributaria; no usar esta tasa QA en una operación real sin sustento específico.</x:v>
      </x:c>
      <x:c r="D1012" s="13" t="str">
        <x:v>1. Localizar ID 082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12" s="13" t="str">
        <x:v>ID 082/descripción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1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13" ht="204" customHeight="1">
      <x:c r="A1013" s="13" t="str">
        <x:v>QA-RISLR-117</x:v>
      </x:c>
      <x:c r="B1013" s="13" t="str">
        <x:v>Concepto no salarial 083: Pagos por publicidad, propaganda y cesión de espacios para esos fines (PNR)</x:v>
      </x:c>
      <x:c r="C101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083 (Pagos por publicidad, propaganda y cesión de espacios para esos fines (PNR)); comprador facultado ISLR, factura 116 VES. Declarar expresamente tasa QA 3 %, base 100, sustraendo 1 y fundamento QA-CONCEPTO-083; soporte privado. Fixture de contrato sintético, no recomendación tributaria; no usar esta tasa QA en una operación real sin sustento específico.</x:v>
      </x:c>
      <x:c r="D1013" s="13" t="str">
        <x:v>1. Localizar ID 083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13" s="13" t="str">
        <x:v>ID 083/descripción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1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14" ht="204" customHeight="1">
      <x:c r="A1014" s="13" t="str">
        <x:v>QA-RISLR-118</x:v>
      </x:c>
      <x:c r="B1014" s="13" t="str">
        <x:v>Concepto no salarial 084: Pagos por publicidad, propaganda y cesión de espacios para esos fines (PJD)</x:v>
      </x:c>
      <x:c r="C101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084 (Pagos por publicidad, propaganda y cesión de espacios para esos fines (PJD)); comprador facultado ISLR, factura 116 VES. Declarar expresamente tasa QA 3 %, base 100, sustraendo 1 y fundamento QA-CONCEPTO-084; soporte privado. Fixture de contrato sintético, no recomendación tributaria; no usar esta tasa QA en una operación real sin sustento específico.</x:v>
      </x:c>
      <x:c r="D1014" s="13" t="str">
        <x:v>1. Localizar ID 084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14" s="13" t="str">
        <x:v>ID 084/descripción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1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15" ht="204" customHeight="1">
      <x:c r="A1015" s="13" t="str">
        <x:v>QA-RISLR-119</x:v>
      </x:c>
      <x:c r="B1015" s="13" t="str">
        <x:v>Concepto no salarial 085: Pagos por publicidad, propaganda y cesión de espacios para esos fines (PJND)</x:v>
      </x:c>
      <x:c r="C101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085 (Pagos por publicidad, propaganda y cesión de espacios para esos fines (PJND)); comprador facultado ISLR, factura 116 VES. Declarar expresamente tasa QA 3 %, base 100, sustraendo 1 y fundamento QA-CONCEPTO-085; soporte privado. Fixture de contrato sintético, no recomendación tributaria; no usar esta tasa QA en una operación real sin sustento específico.</x:v>
      </x:c>
      <x:c r="D1015" s="13" t="str">
        <x:v>1. Localizar ID 085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15" s="13" t="str">
        <x:v>ID 085/descripción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1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16" ht="204" customHeight="1">
      <x:c r="A1016" s="13" t="str">
        <x:v>QA-RISLR-120</x:v>
      </x:c>
      <x:c r="B1016" s="13" t="str">
        <x:v>Concepto no salarial 086: Pagos por publicidad, propaganda y cesión de espacios a emisoras de radio (PJD)</x:v>
      </x:c>
      <x:c r="C101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Concepto 086 (Pagos por publicidad, propaganda y cesión de espacios a emisoras de radio (PJD)); comprador facultado ISLR, factura 116 VES. Declarar expresamente tasa QA 3 %, base 100, sustraendo 1 y fundamento QA-CONCEPTO-086; soporte privado. Fixture de contrato sintético, no recomendación tributaria; no usar esta tasa QA en una operación real sin sustento específico.</x:v>
      </x:c>
      <x:c r="D1016" s="13" t="str">
        <x:v>1. Localizar ID 086 y descripción exacta en selector/GET concepts; no aceptar sustitución por otro concepto.
2. Introducir manualmente porcentaje 3, sustraendo 1, base 100 y ambas referencias no vacías; solicitar propuesta tax_kind ISLR.
3. Comparar max(0, 100×3/100−1)=2 y guardar previsión; recargar y verificar snapshot del concepto.
4. En fixture HTTP con doble confirmed, registrar comprobante ISLR único y consultar aplicación/payload; conservar veredictos deUI, local y remoto por variantes.</x:v>
      </x:c>
      <x:c r="E1016" s="13" t="str">
        <x:v>ID 086/descripción preservados; datos declarados no cambian al elegir concepto ni a causa de percentage_label. Previsión 2 no reduce deuda; aplicación local válida 2 deja 114 sin caja. HKA omite codigoOperacion /concept_id y no verifica concepto remoto; no certificar regla tributaria desde este fixture.
Control independiente: 100×3/100−1=2; saldo 116−2=114 sólo applied. Pending/previsión deja 116. Δcaja=0; concepto exacto, tasas declaradas son sintéticas.</x:v>
      </x:c>
      <x:c r="F101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17" ht="180" customHeight="1">
      <x:c r="A1017" s="13" t="str">
        <x:v>QA-RIVA-049</x:v>
      </x:c>
      <x:c r="B1017" s="13" t="str">
        <x:v>Soporte privado PDF: upload, consumo y descarga</x:v>
      </x:c>
      <x:c r="C1017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con datos comunes válidos, archivo QA PDF MIME correcto de 1 MB, usuario autorizado y UUID upload nuevo.</x:v>
      </x:c>
      <x:c r="D1017" s="13" t="str">
        <x:v>1. Subir soporte con upload-draft y capturar token/fecha expiración.
2. Consumir upload_id en registro del impuesto; descargar por endpoint autenticado.
3. Comparar bytes/hash y cabeceras private/no-store; probar URL pública y otro tenant como negativas.</x:v>
      </x:c>
      <x:c r="E1017" s="13" t="str">
        <x:v>PDF permitido≤5 MB; token vinculado tenant/usuario/24 h/consumo único y soporte privado factura. Descarga idéntica autorizada; no acceso público/ajeno ni creación de caja.
Control independiente: Hash descargado=hash original; 1 upload consumido, 1 archivo autorizado; Δcaja=0.</x:v>
      </x:c>
      <x:c r="F1017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18" ht="180" customHeight="1">
      <x:c r="A1018" s="13" t="str">
        <x:v>QA-RIVA-050</x:v>
      </x:c>
      <x:c r="B1018" s="13" t="str">
        <x:v>Soporte privado JPG: upload, consumo y descarga</x:v>
      </x:c>
      <x:c r="C1018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con datos comunes válidos, archivo QA JPG MIME correcto de 1 MB, usuario autorizado y UUID upload nuevo.</x:v>
      </x:c>
      <x:c r="D1018" s="13" t="str">
        <x:v>1. Subir soporte con upload-draft y capturar token/fecha expiración.
2. Consumir upload_id en registro del impuesto; descargar por endpoint autenticado.
3. Comparar bytes/hash y cabeceras private/no-store; probar URL pública y otro tenant como negativas.</x:v>
      </x:c>
      <x:c r="E1018" s="13" t="str">
        <x:v>JPG permitido≤5 MB; token vinculado tenant/usuario/24 h/consumo único y soporte privado factura. Descarga idéntica autorizada; no acceso público/ajeno ni creación de caja.
Control independiente: Hash descargado=hash original; 1 upload consumido, 1 archivo autorizado; Δcaja=0.</x:v>
      </x:c>
      <x:c r="F1018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19" ht="180" customHeight="1">
      <x:c r="A1019" s="13" t="str">
        <x:v>QA-RIVA-051</x:v>
      </x:c>
      <x:c r="B1019" s="13" t="str">
        <x:v>Soporte privado PNG: upload, consumo y descarga</x:v>
      </x:c>
      <x:c r="C1019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con datos comunes válidos, archivo QA PNG MIME correcto de 1 MB, usuario autorizado y UUID upload nuevo.</x:v>
      </x:c>
      <x:c r="D1019" s="13" t="str">
        <x:v>1. Subir soporte con upload-draft y capturar token/fecha expiración.
2. Consumir upload_id en registro del impuesto; descargar por endpoint autenticado.
3. Comparar bytes/hash y cabeceras private/no-store; probar URL pública y otro tenant como negativas.</x:v>
      </x:c>
      <x:c r="E1019" s="13" t="str">
        <x:v>PNG permitido≤5 MB; token vinculado tenant/usuario/24 h/consumo único y soporte privado factura. Descarga idéntica autorizada; no acceso público/ajeno ni creación de caja.
Control independiente: Hash descargado=hash original; 1 upload consumido, 1 archivo autorizado; Δcaja=0.</x:v>
      </x:c>
      <x:c r="F1019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20" ht="180" customHeight="1">
      <x:c r="A1020" s="13" t="str">
        <x:v>QA-RIVA-052</x:v>
      </x:c>
      <x:c r="B1020" s="13" t="str">
        <x:v>Soporte rechazado: token de otro usuario/tenant</x:v>
      </x:c>
      <x:c r="C1020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válido excepto token de otro usuario/tenant; controlar hora/archivo/token en QA aislado.</x:v>
      </x:c>
      <x:c r="D1020" s="13" t="str">
        <x:v>1. Preparar soporte/token con la condición exacta y capturar línea base.
2. Intentar upload/registro/descarga donde corresponda.
3. Conservar rechazo y consultar archivos/registros/saldo/outbox.</x:v>
      </x:c>
      <x:c r="E1020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20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21" ht="180" customHeight="1">
      <x:c r="A1021" s="13" t="str">
        <x:v>QA-RIVA-053</x:v>
      </x:c>
      <x:c r="B1021" s="13" t="str">
        <x:v>Soporte rechazado: token consumido</x:v>
      </x:c>
      <x:c r="C1021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válido excepto token consumido; controlar hora/archivo/token en QA aislado.</x:v>
      </x:c>
      <x:c r="D1021" s="13" t="str">
        <x:v>1. Preparar soporte/token con la condición exacta y capturar línea base.
2. Intentar upload/registro/descarga donde corresponda.
3. Conservar rechazo y consultar archivos/registros/saldo/outbox.</x:v>
      </x:c>
      <x:c r="E1021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21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22" ht="180" customHeight="1">
      <x:c r="A1022" s="13" t="str">
        <x:v>QA-RIVA-054</x:v>
      </x:c>
      <x:c r="B1022" s="13" t="str">
        <x:v>Soporte rechazado: token vencido después de 24 h</x:v>
      </x:c>
      <x:c r="C1022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válido excepto token vencido después de 24 h; controlar hora/archivo/token en QA aislado.</x:v>
      </x:c>
      <x:c r="D1022" s="13" t="str">
        <x:v>1. Preparar soporte/token con la condición exacta y capturar línea base.
2. Intentar upload/registro/descarga donde corresponda.
3. Conservar rechazo y consultar archivos/registros/saldo/outbox.</x:v>
      </x:c>
      <x:c r="E1022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22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23" ht="180" customHeight="1">
      <x:c r="A1023" s="13" t="str">
        <x:v>QA-RIVA-055</x:v>
      </x:c>
      <x:c r="B1023" s="13" t="str">
        <x:v>Soporte rechazado: archivo superior a 5 MB</x:v>
      </x:c>
      <x:c r="C1023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válido excepto archivo superior a 5 MB; controlar hora/archivo/token en QA aislado.</x:v>
      </x:c>
      <x:c r="D1023" s="13" t="str">
        <x:v>1. Preparar soporte/token con la condición exacta y capturar línea base.
2. Intentar upload/registro/descarga donde corresponda.
3. Conservar rechazo y consultar archivos/registros/saldo/outbox.</x:v>
      </x:c>
      <x:c r="E1023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23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24" ht="180" customHeight="1">
      <x:c r="A1024" s="13" t="str">
        <x:v>QA-RIVA-056</x:v>
      </x:c>
      <x:c r="B1024" s="13" t="str">
        <x:v>Soporte rechazado: MIME/extension no permitidos</x:v>
      </x:c>
      <x:c r="C1024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válido excepto MIME/extension no permitidos; controlar hora/archivo/token en QA aislado.</x:v>
      </x:c>
      <x:c r="D1024" s="13" t="str">
        <x:v>1. Preparar soporte/token con la condición exacta y capturar línea base.
2. Intentar upload/registro/descarga donde corresponda.
3. Conservar rechazo y consultar archivos/registros/saldo/outbox.</x:v>
      </x:c>
      <x:c r="E1024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24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25" ht="180" customHeight="1">
      <x:c r="A1025" s="13" t="str">
        <x:v>QA-RIVA-057</x:v>
      </x:c>
      <x:c r="B1025" s="13" t="str">
        <x:v>Soporte rechazado: sin soporte</x:v>
      </x:c>
      <x:c r="C1025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válido excepto sin soporte; controlar hora/archivo/token en QA aislado.</x:v>
      </x:c>
      <x:c r="D1025" s="13" t="str">
        <x:v>1. Preparar soporte/token con la condición exacta y capturar línea base.
2. Intentar upload/registro/descarga donde corresponda.
3. Conservar rechazo y consultar archivos/registros/saldo/outbox.</x:v>
      </x:c>
      <x:c r="E1025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25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26" ht="180" customHeight="1">
      <x:c r="A1026" s="13" t="str">
        <x:v>QA-RIVA-058</x:v>
      </x:c>
      <x:c r="B1026" s="13" t="str">
        <x:v>Rollback y limpieza de soporte compartido</x:v>
      </x:c>
      <x:c r="C1026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IVA: upload válido antes de 24 h; transacción externa falla después de copia y cleanup concurrente.</x:v>
      </x:c>
      <x:c r="D1026" s="13" t="str">
        <x:v>1. Consumir token dentro de venta controlada y provocar rollback externo.
2. Confirmar fuente temporal disponible y token no comprometido; reintentar correctamente.
3. Ejecutar limpieza concurrente con bloqueo y comprobar soporte consumido final.</x:v>
      </x:c>
      <x:c r="E1026" s="13" t="str">
        <x:v>Copia conserva fuente tras rollback; bloqueo impide eliminar soporte de operación consumida. Un registro válido, soporte auditoría intacto.
Control independiente: Tras rollbackΔregistros=0; tras reintento 1 registro y 1 soporte válido; limpieza no borra soporte asociado.</x:v>
      </x:c>
      <x:c r="F1026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27" ht="180" customHeight="1">
      <x:c r="A1027" s="13" t="str">
        <x:v>QA-RIVA-059</x:v>
      </x:c>
      <x:c r="B1027" s="13" t="str">
        <x:v>Bloqueo DEMO de cobro neto: VES / Contado</x:v>
      </x:c>
      <x:c r="C1027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capacidad demo_net_collection_verified =false; total 116 VES, previsión 12, pago real 104; condición Contado; sin aplicación confirmada.</x:v>
      </x:c>
      <x:c r="D1027" s="13" t="str">
        <x:v>1. Guardar venta/pago/previsión y capturar saldo real.
2. Consultar preparación/DTO y pulsar envío explícito si UI lo ofrece.
3. Contar HTTP Emision, pagos adicionales y comparar diagnóstico/ can_send.</x:v>
      </x:c>
      <x:c r="E1027" s="13" t="str">
        <x:v>Registro comercial puede conservarse; deuda 12 VES permanece. Preparación/envío bloqueados antes de HTTP can_send =false, diagnóstico impuesto/capacidad claro. No completar pagos ficticios ni habilitar flag por evidencia histórica.
Control independiente: 116−104=12; previsión no resta deuda; ΔEmision=0/Δpago ficticio=0.</x:v>
      </x:c>
      <x:c r="F1027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28" ht="180" customHeight="1">
      <x:c r="A1028" s="13" t="str">
        <x:v>QA-RIVA-060</x:v>
      </x:c>
      <x:c r="B1028" s="13" t="str">
        <x:v>Bloqueo DEMO de cobro neto: VES / Crédito con abono</x:v>
      </x:c>
      <x:c r="C1028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capacidad demo_net_collection_verified =false; total 116 VES, previsión 12, pago real 104; condición Crédito con abono; sin aplicación confirmada.</x:v>
      </x:c>
      <x:c r="D1028" s="13" t="str">
        <x:v>1. Guardar venta/pago/previsión y capturar saldo real.
2. Consultar preparación/DTO y pulsar envío explícito si UI lo ofrece.
3. Contar HTTP Emision, pagos adicionales y comparar diagnóstico/ can_send.</x:v>
      </x:c>
      <x:c r="E1028" s="13" t="str">
        <x:v>Registro comercial puede conservarse; deuda 12 VES permanece. Preparación/envío bloqueados antes de HTTP can_send =false, diagnóstico impuesto/capacidad claro. No completar pagos ficticios ni habilitar flag por evidencia histórica.
Control independiente: 116−104=12; previsión no resta deuda; ΔEmision=0/Δpago ficticio=0.</x:v>
      </x:c>
      <x:c r="F1028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29" ht="180" customHeight="1">
      <x:c r="A1029" s="13" t="str">
        <x:v>QA-RIVA-061</x:v>
      </x:c>
      <x:c r="B1029" s="13" t="str">
        <x:v>Bloqueo DEMO de cobro neto: USD / Contado</x:v>
      </x:c>
      <x:c r="C1029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capacidad demo_net_collection_verified =false; total 116 USD, previsión 12, pago real 104; condición Contado; sin aplicación confirmada.</x:v>
      </x:c>
      <x:c r="D1029" s="13" t="str">
        <x:v>1. Guardar venta/pago/previsión y capturar saldo real.
2. Consultar preparación/DTO y pulsar envío explícito si UI lo ofrece.
3. Contar HTTP Emision, pagos adicionales y comparar diagnóstico/ can_send.</x:v>
      </x:c>
      <x:c r="E1029" s="13" t="str">
        <x:v>Registro comercial puede conservarse; deuda 12 USD permanece. Preparación/envío bloqueados antes de HTTP can_send =false, diagnóstico impuesto/capacidad claro. No completar pagos ficticios ni habilitar flag por evidencia histórica.
Control independiente: 116−104=12; previsión no resta deuda; ΔEmision=0/Δpago ficticio=0.</x:v>
      </x:c>
      <x:c r="F1029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30" ht="180" customHeight="1">
      <x:c r="A1030" s="13" t="str">
        <x:v>QA-RIVA-062</x:v>
      </x:c>
      <x:c r="B1030" s="13" t="str">
        <x:v>Bloqueo DEMO de cobro neto: USD / Crédito con abono</x:v>
      </x:c>
      <x:c r="C1030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 capacidad demo_net_collection_verified =false; total 116 USD, previsión 12, pago real 104; condición Crédito con abono; sin aplicación confirmada.</x:v>
      </x:c>
      <x:c r="D1030" s="13" t="str">
        <x:v>1. Guardar venta/pago/previsión y capturar saldo real.
2. Consultar preparación/DTO y pulsar envío explícito si UI lo ofrece.
3. Contar HTTP Emision, pagos adicionales y comparar diagnóstico/ can_send.</x:v>
      </x:c>
      <x:c r="E1030" s="13" t="str">
        <x:v>Registro comercial puede conservarse; deuda 12 USD permanece. Preparación/envío bloqueados antes de HTTP can_send =false, diagnóstico impuesto/capacidad claro. No completar pagos ficticios ni habilitar flag por evidencia histórica.
Control independiente: 116−104=12; previsión no resta deuda; ΔEmision=0/Δpago ficticio=0.</x:v>
      </x:c>
      <x:c r="F1030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31" ht="180" customHeight="1">
      <x:c r="A1031" s="13" t="str">
        <x:v>QA-RIVA-063</x:v>
      </x:c>
      <x:c r="B1031" s="13" t="str">
        <x:v>Query y retry usan clave HKA vigente</x:v>
      </x:c>
      <x:c r="C1031" s="13" t="str">
        <x:v>QA-A digital/DEMO. P-G: base 100, IVA 16, total 116 VES, emisión 12/10/2026. Emisor ordinary sin exclusión; comprador con facultad IVA vigente a fecha comprobante. Comprobante 20261000000001 del 12/10, base IVA 16, porcentaje 75, importe 12, sustraendo 0, RIF agente coincidente, número/control fiscal exactos, UUID distinto por operación y soporte privadoPDF≤5 MB. Factura sin control para pending_validation; confirmed/control del doble para aplicación local positiva. Real DEMO sólo si un caso lo especifica; capacidad neta deshabilitada no se elude con pagos ficticios.
IVA: operación de aplicación y posteriormente retiro, UUIDs de operación distintos; U autorizado.</x:v>
      </x:c>
      <x:c r="D1031" s="13" t="str">
        <x:v>1. Consultar documento y capturar hka_operation_key actual.
2. Intentar retry con clave vieja/del otro impuesto como variantes.
3. Control retry actual cuando waiting/uncertain y permiso correspondiente.</x:v>
      </x:c>
      <x:c r="E1031" s="13" t="str">
        <x:v>Retry no reinterpreta operación vieja ni tax_kind cliente; se resuelve comprobante/impuesto autorizado. Retiro requiere delete_payment; aplicar requiere create_payment; estado no permitido no reenvía.
Control independiente: Comparar exactamente los valores y conteos definidos en el criterio. En rechazos: Δdocumentos, Δpagos, Δaplicaciones, Δstock y Δllamadas mutantes HKA = 0.</x:v>
      </x:c>
      <x:c r="F1031" s="13" t="str">
        <x:v>Fuentes: app/Services/Fiscal/ReceivedRetentionService.php, app/Http/Controllers/Tenant/IvaRetentionController.php, app/Services/Fiscal/HkaReceivedRetention.php, routes/web.php, routes/api.php, app/Services/Fiscal/IvaRetentionService.php, app/Services/Fiscal/HkaIvaRetention.php, app/Services/Fiscal/HkaIvaRetentionPayload.php, app/Services/Fiscal/HkaIvaRetentionCapability.php, tests/Unit/HkaIvaRetentionPayloadTest.php, tests/Unit/IvaRetentionHttpContractTest.php, tests/Support/IvaRetentionPersistenceCases.php, tests/js/iva-retention-ui.test.cjs, informes/retenciones_iva_recibidas_hka.md
Entrada: Factura → Pagos/Retenciones; propuesta, upload, registro, consulta HKA, recuperación y reversión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32" ht="168" customHeight="1">
      <x:c r="A1032" s="13" t="str">
        <x:v>QA-RISLR-121</x:v>
      </x:c>
      <x:c r="B1032" s="13" t="str">
        <x:v>Soporte privado PDF: upload, consumo y descarga</x:v>
      </x:c>
      <x:c r="C103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con datos comunes válidos, archivo QA PDF MIME correcto de 1 MB, usuario autorizado y UUID upload nuevo.</x:v>
      </x:c>
      <x:c r="D1032" s="13" t="str">
        <x:v>1. Subir soporte con upload-draft y capturar token/fecha expiración.
2. Consumir upload_id en registro del impuesto; descargar por endpoint autenticado.
3. Comparar bytes/hash y cabeceras private/no-store; probar URL pública y otro tenant como negativas.</x:v>
      </x:c>
      <x:c r="E1032" s="13" t="str">
        <x:v>PDF permitido≤5 MB; token vinculado tenant/usuario/24 h/consumo único y soporte privado factura. Descarga idéntica autorizada; no acceso público/ajeno ni creación de caja.
Control independiente: Hash descargado=hash original; 1 upload consumido, 1 archivo autorizado; Δcaja=0.</x:v>
      </x:c>
      <x:c r="F103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33" ht="168" customHeight="1">
      <x:c r="A1033" s="13" t="str">
        <x:v>QA-RISLR-122</x:v>
      </x:c>
      <x:c r="B1033" s="13" t="str">
        <x:v>Soporte privado JPG: upload, consumo y descarga</x:v>
      </x:c>
      <x:c r="C103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con datos comunes válidos, archivo QA JPG MIME correcto de 1 MB, usuario autorizado y UUID upload nuevo.</x:v>
      </x:c>
      <x:c r="D1033" s="13" t="str">
        <x:v>1. Subir soporte con upload-draft y capturar token/fecha expiración.
2. Consumir upload_id en registro del impuesto; descargar por endpoint autenticado.
3. Comparar bytes/hash y cabeceras private/no-store; probar URL pública y otro tenant como negativas.</x:v>
      </x:c>
      <x:c r="E1033" s="13" t="str">
        <x:v>JPG permitido≤5 MB; token vinculado tenant/usuario/24 h/consumo único y soporte privado factura. Descarga idéntica autorizada; no acceso público/ajeno ni creación de caja.
Control independiente: Hash descargado=hash original; 1 upload consumido, 1 archivo autorizado; Δcaja=0.</x:v>
      </x:c>
      <x:c r="F103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34" ht="168" customHeight="1">
      <x:c r="A1034" s="13" t="str">
        <x:v>QA-RISLR-123</x:v>
      </x:c>
      <x:c r="B1034" s="13" t="str">
        <x:v>Soporte privado PNG: upload, consumo y descarga</x:v>
      </x:c>
      <x:c r="C103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con datos comunes válidos, archivo QA PNG MIME correcto de 1 MB, usuario autorizado y UUID upload nuevo.</x:v>
      </x:c>
      <x:c r="D1034" s="13" t="str">
        <x:v>1. Subir soporte con upload-draft y capturar token/fecha expiración.
2. Consumir upload_id en registro del impuesto; descargar por endpoint autenticado.
3. Comparar bytes/hash y cabeceras private/no-store; probar URL pública y otro tenant como negativas.</x:v>
      </x:c>
      <x:c r="E1034" s="13" t="str">
        <x:v>PNG permitido≤5 MB; token vinculado tenant/usuario/24 h/consumo único y soporte privado factura. Descarga idéntica autorizada; no acceso público/ajeno ni creación de caja.
Control independiente: Hash descargado=hash original; 1 upload consumido, 1 archivo autorizado; Δcaja=0.</x:v>
      </x:c>
      <x:c r="F103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35" ht="168" customHeight="1">
      <x:c r="A1035" s="13" t="str">
        <x:v>QA-RISLR-124</x:v>
      </x:c>
      <x:c r="B1035" s="13" t="str">
        <x:v>Soporte rechazado: token de otro usuario/tenant</x:v>
      </x:c>
      <x:c r="C103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válido excepto token de otro usuario/tenant; controlar hora/archivo/token en QA aislado.</x:v>
      </x:c>
      <x:c r="D1035" s="13" t="str">
        <x:v>1. Preparar soporte/token con la condición exacta y capturar línea base.
2. Intentar upload/registro/descarga donde corresponda.
3. Conservar rechazo y consultar archivos/registros/saldo/outbox.</x:v>
      </x:c>
      <x:c r="E1035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3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36" ht="168" customHeight="1">
      <x:c r="A1036" s="13" t="str">
        <x:v>QA-RISLR-125</x:v>
      </x:c>
      <x:c r="B1036" s="13" t="str">
        <x:v>Soporte rechazado: token consumido</x:v>
      </x:c>
      <x:c r="C103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válido excepto token consumido; controlar hora/archivo/token en QA aislado.</x:v>
      </x:c>
      <x:c r="D1036" s="13" t="str">
        <x:v>1. Preparar soporte/token con la condición exacta y capturar línea base.
2. Intentar upload/registro/descarga donde corresponda.
3. Conservar rechazo y consultar archivos/registros/saldo/outbox.</x:v>
      </x:c>
      <x:c r="E1036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3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37" ht="168" customHeight="1">
      <x:c r="A1037" s="13" t="str">
        <x:v>QA-RISLR-126</x:v>
      </x:c>
      <x:c r="B1037" s="13" t="str">
        <x:v>Soporte rechazado: token vencido después de 24 h</x:v>
      </x:c>
      <x:c r="C1037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válido excepto token vencido después de 24 h; controlar hora/archivo/token en QA aislado.</x:v>
      </x:c>
      <x:c r="D1037" s="13" t="str">
        <x:v>1. Preparar soporte/token con la condición exacta y capturar línea base.
2. Intentar upload/registro/descarga donde corresponda.
3. Conservar rechazo y consultar archivos/registros/saldo/outbox.</x:v>
      </x:c>
      <x:c r="E1037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37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38" ht="168" customHeight="1">
      <x:c r="A1038" s="13" t="str">
        <x:v>QA-RISLR-127</x:v>
      </x:c>
      <x:c r="B1038" s="13" t="str">
        <x:v>Soporte rechazado: archivo superior a 5 MB</x:v>
      </x:c>
      <x:c r="C1038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válido excepto archivo superior a 5 MB; controlar hora/archivo/token en QA aislado.</x:v>
      </x:c>
      <x:c r="D1038" s="13" t="str">
        <x:v>1. Preparar soporte/token con la condición exacta y capturar línea base.
2. Intentar upload/registro/descarga donde corresponda.
3. Conservar rechazo y consultar archivos/registros/saldo/outbox.</x:v>
      </x:c>
      <x:c r="E1038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38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39" ht="168" customHeight="1">
      <x:c r="A1039" s="13" t="str">
        <x:v>QA-RISLR-128</x:v>
      </x:c>
      <x:c r="B1039" s="13" t="str">
        <x:v>Soporte rechazado: MIME/extension no permitidos</x:v>
      </x:c>
      <x:c r="C1039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válido excepto MIME/extension no permitidos; controlar hora/archivo/token en QA aislado.</x:v>
      </x:c>
      <x:c r="D1039" s="13" t="str">
        <x:v>1. Preparar soporte/token con la condición exacta y capturar línea base.
2. Intentar upload/registro/descarga donde corresponda.
3. Conservar rechazo y consultar archivos/registros/saldo/outbox.</x:v>
      </x:c>
      <x:c r="E1039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39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40" ht="168" customHeight="1">
      <x:c r="A1040" s="13" t="str">
        <x:v>QA-RISLR-129</x:v>
      </x:c>
      <x:c r="B1040" s="13" t="str">
        <x:v>Soporte rechazado: sin soporte</x:v>
      </x:c>
      <x:c r="C1040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válido excepto sin soporte; controlar hora/archivo/token en QA aislado.</x:v>
      </x:c>
      <x:c r="D1040" s="13" t="str">
        <x:v>1. Preparar soporte/token con la condición exacta y capturar línea base.
2. Intentar upload/registro/descarga donde corresponda.
3. Conservar rechazo y consultar archivos/registros/saldo/outbox.</x:v>
      </x:c>
      <x:c r="E1040" s="13" t="str">
        <x:v>Rechazo antes de aplicar/emitir; no archivo ajeno ni consumo incorrecto. Upload fallido no crea retención; preservar temporal si transacción exterior hace rollback.
Control independiente: Comparar exactamente los valores y conteos definidos en el criterio. En rechazos: Δdocumentos, Δpagos, Δaplicaciones, Δstock y Δllamadas mutantes HKA = 0.</x:v>
      </x:c>
      <x:c r="F1040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41" ht="168" customHeight="1">
      <x:c r="A1041" s="13" t="str">
        <x:v>QA-RISLR-130</x:v>
      </x:c>
      <x:c r="B1041" s="13" t="str">
        <x:v>Rollback y limpieza de soporte compartido</x:v>
      </x:c>
      <x:c r="C1041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ISLR: upload válido antes de 24 h; transacción externa falla después de copia y cleanup concurrente.</x:v>
      </x:c>
      <x:c r="D1041" s="13" t="str">
        <x:v>1. Consumir token dentro de venta controlada y provocar rollback externo.
2. Confirmar fuente temporal disponible y token no comprometido; reintentar correctamente.
3. Ejecutar limpieza concurrente con bloqueo y comprobar soporte consumido final.</x:v>
      </x:c>
      <x:c r="E1041" s="13" t="str">
        <x:v>Copia conserva fuente tras rollback; bloqueo impide eliminar soporte de operación consumida. Un registro válido, soporte auditoría intacto.
Control independiente: Tras rollbackΔregistros=0; tras reintento 1 registro y 1 soporte válido; limpieza no borra soporte asociado.</x:v>
      </x:c>
      <x:c r="F1041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42" ht="168" customHeight="1">
      <x:c r="A1042" s="13" t="str">
        <x:v>QA-RISLR-131</x:v>
      </x:c>
      <x:c r="B1042" s="13" t="str">
        <x:v>Bloqueo DEMO de cobro neto: VES / Contado</x:v>
      </x:c>
      <x:c r="C1042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capacidad demo_net_collection_verified =false; total 116 VES, previsión 3, pago real 113; condición Contado; sin aplicación confirmada.</x:v>
      </x:c>
      <x:c r="D1042" s="13" t="str">
        <x:v>1. Guardar venta/pago/previsión y capturar saldo real.
2. Consultar preparación/DTO y pulsar envío explícito si UI lo ofrece.
3. Contar HTTP Emision, pagos adicionales y comparar diagnóstico/ can_send.</x:v>
      </x:c>
      <x:c r="E1042" s="13" t="str">
        <x:v>Registro comercial puede conservarse; deuda 3 VES permanece. Preparación/envío bloqueados antes de HTTP can_send =false, diagnóstico impuesto/capacidad claro. No completar pagos ficticios ni habilitar flag por evidencia histórica.
Control independiente: 116−113=3; previsión no resta deuda; ΔEmision=0/Δpago ficticio=0.</x:v>
      </x:c>
      <x:c r="F1042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43" ht="168" customHeight="1">
      <x:c r="A1043" s="13" t="str">
        <x:v>QA-RISLR-132</x:v>
      </x:c>
      <x:c r="B1043" s="13" t="str">
        <x:v>Bloqueo DEMO de cobro neto: VES / Crédito con abono</x:v>
      </x:c>
      <x:c r="C1043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capacidad demo_net_collection_verified =false; total 116 VES, previsión 3, pago real 113; condición Crédito con abono; sin aplicación confirmada.</x:v>
      </x:c>
      <x:c r="D1043" s="13" t="str">
        <x:v>1. Guardar venta/pago/previsión y capturar saldo real.
2. Consultar preparación/DTO y pulsar envío explícito si UI lo ofrece.
3. Contar HTTP Emision, pagos adicionales y comparar diagnóstico/ can_send.</x:v>
      </x:c>
      <x:c r="E1043" s="13" t="str">
        <x:v>Registro comercial puede conservarse; deuda 3 VES permanece. Preparación/envío bloqueados antes de HTTP can_send =false, diagnóstico impuesto/capacidad claro. No completar pagos ficticios ni habilitar flag por evidencia histórica.
Control independiente: 116−113=3; previsión no resta deuda; ΔEmision=0/Δpago ficticio=0.</x:v>
      </x:c>
      <x:c r="F1043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44" ht="168" customHeight="1">
      <x:c r="A1044" s="13" t="str">
        <x:v>QA-RISLR-133</x:v>
      </x:c>
      <x:c r="B1044" s="13" t="str">
        <x:v>Bloqueo DEMO de cobro neto: USD / Contado</x:v>
      </x:c>
      <x:c r="C1044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capacidad demo_net_collection_verified =false; total 116 USD, previsión 3, pago real 113; condición Contado; sin aplicación confirmada.</x:v>
      </x:c>
      <x:c r="D1044" s="13" t="str">
        <x:v>1. Guardar venta/pago/previsión y capturar saldo real.
2. Consultar preparación/DTO y pulsar envío explícito si UI lo ofrece.
3. Contar HTTP Emision, pagos adicionales y comparar diagnóstico/ can_send.</x:v>
      </x:c>
      <x:c r="E1044" s="13" t="str">
        <x:v>Registro comercial puede conservarse; deuda 3 USD permanece. Preparación/envío bloqueados antes de HTTP can_send =false, diagnóstico impuesto/capacidad claro. No completar pagos ficticios ni habilitar flag por evidencia histórica.
Control independiente: 116−113=3; previsión no resta deuda; ΔEmision=0/Δpago ficticio=0.</x:v>
      </x:c>
      <x:c r="F1044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45" ht="168" customHeight="1">
      <x:c r="A1045" s="13" t="str">
        <x:v>QA-RISLR-134</x:v>
      </x:c>
      <x:c r="B1045" s="13" t="str">
        <x:v>Bloqueo DEMO de cobro neto: USD / Crédito con abono</x:v>
      </x:c>
      <x:c r="C1045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 capacidad demo_net_collection_verified =false; total 116 USD, previsión 3, pago real 113; condición Crédito con abono; sin aplicación confirmada.</x:v>
      </x:c>
      <x:c r="D1045" s="13" t="str">
        <x:v>1. Guardar venta/pago/previsión y capturar saldo real.
2. Consultar preparación/DTO y pulsar envío explícito si UI lo ofrece.
3. Contar HTTP Emision, pagos adicionales y comparar diagnóstico/ can_send.</x:v>
      </x:c>
      <x:c r="E1045" s="13" t="str">
        <x:v>Registro comercial puede conservarse; deuda 3 USD permanece. Preparación/envío bloqueados antes de HTTP can_send =false, diagnóstico impuesto/capacidad claro. No completar pagos ficticios ni habilitar flag por evidencia histórica.
Control independiente: 116−113=3; previsión no resta deuda; ΔEmision=0/Δpago ficticio=0.</x:v>
      </x:c>
      <x:c r="F1045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46" ht="168" customHeight="1">
      <x:c r="A1046" s="13" t="str">
        <x:v>QA-RISLR-135</x:v>
      </x:c>
      <x:c r="B1046" s="13" t="str">
        <x:v>Query y retry usan clave HKA vigente</x:v>
      </x:c>
      <x:c r="C1046" s="13" t="str">
        <x:v>QA-A digital/DEMO; factura P-G base 100+IVA 16, total 116 VES. Emisor ordinary/no SPE para aislar impuestos; comprador islr_agent =true con islr_basis QA-ISLR independiente vigente 12/10/2026. Concepto 002, base 100, percentage 3, subtrahend 0, amount 3, voucher_number ISLR-QA-001, voucher_date 12/10; fiscal_context concept_basis =QA-CONCEPTO y evidence_reference =QA-SOPORTE. Un concepto no salarial por comprobante, UUID propio, soporteprivadoPDF≤5 MB y referencia fiscal coincidente. Positiva local usa confirmed/control del doble, siempre rotulada simulada. Capacidad DEMO netaISLR false para cualquier moneda; no inferir habilitación de aceptación históricaVES.
ISLR: operación de aplicación y posteriormente retiro, UUIDs de operación distintos; U autorizado.</x:v>
      </x:c>
      <x:c r="D1046" s="13" t="str">
        <x:v>1. Consultar documento y capturar hka_operation_key actual.
2. Intentar retry con clave vieja/del otro impuesto como variantes.
3. Control retry actual cuando waiting/uncertain y permiso correspondiente.</x:v>
      </x:c>
      <x:c r="E1046" s="13" t="str">
        <x:v>Retry no reinterpreta operación vieja ni tax_kind cliente; se resuelve comprobante/impuesto autorizado. Retiro requiere delete_payment; aplicar requiere create_payment; estado no permitido no reenvía.
Control independiente: Comparar exactamente los valores y conteos definidos en el criterio. En rechazos: Δdocumentos, Δpagos, Δaplicaciones, Δstock y Δllamadas mutantes HKA = 0.</x:v>
      </x:c>
      <x:c r="F1046" s="13" t="str">
        <x:v>Fuentes: app/Services/Fiscal/ReceivedRetentionService.php, app/Http/Controllers/Tenant/IvaRetentionController.php, app/Services/Fiscal/HkaReceivedRetention.php, routes/web.php, routes/api.php, app/Services/Fiscal/IslrRetentionService.php, app/Services/Fiscal/HkaIslrRetention.php, app/Services/Fiscal/HkaIslrRetentionPayload.php, app/Services/Fiscal/HkaIslrRetentionCapability.php, database/seeders/data/tenant_initial_data.php, tests/Unit/HkaIslrRetentionTest.php, tests/Support/IslrRetentionPersistenceCases.php, informes/retenciones_islr_recibidas_hka.md
Entrada: Factura → Retenciones → ISLR; propuesta tax_kindISLR, registro, query/retry/reverse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47" ht="168" customHeight="1">
      <x:c r="A1047" s="13" t="str">
        <x:v>QA-INT-001</x:v>
      </x:c>
      <x:c r="B1047" s="13" t="str">
        <x:v>Previsiones coexistentes y cobro 101</x:v>
      </x:c>
      <x:c r="C1047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Total 116; IVA previsto 12 e ISLR previsto 3; sin comprobantes aplicados.</x:v>
      </x:c>
      <x:c r="D1047" s="13" t="str">
        <x:v>1. Guardar ambas previsiones y calcular cobro sugerido.
2. Aceptar explícitamente 101 y cobrarlo realmente.
3. Reabrir Pagos/CxC y leer saldo/outbox.</x:v>
      </x:c>
      <x:c r="E1047" s="13" t="str">
        <x:v>Sugerencia 116−12−3=101; caja 101, deuda 15 hasta validar comprobantes. Venta 116 e IVA 16 intactos; no aplicaciones ni falso saldo 0.
Control independiente: Comparar exactamente los valores y conteos definidos en el criterio. En rechazos: Δdocumentos, Δpagos, Δaplicaciones, Δstock y Δllamadas mutantes HKA = 0.</x:v>
      </x:c>
      <x:c r="F1047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48" ht="168" customHeight="1">
      <x:c r="A1048" s="13" t="str">
        <x:v>QA-INT-002</x:v>
      </x:c>
      <x:c r="B1048" s="13" t="str">
        <x:v>Aplicación secuencial IVA luego ISLR</x:v>
      </x:c>
      <x:c r="C1048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confirmed doble 116 con pago 101; soportes IVA 12/ISLR 3 válidos.</x:v>
      </x:c>
      <x:c r="D1048" s="13" t="str">
        <x:v>1. Registrar IVA 12.
2. Registrar ISLR 3 con UUID diferente.
3. Consultar saldo por etapa y ambas operaciones HKA.</x:v>
      </x:c>
      <x:c r="E1048" s="13" t="str">
        <x:v>Deuda 15→3→0; una IVA y una ISLR activa; caja 101 constante. Cada sincronización HKA tiene su propio resultado/intento.
Control independiente: Comparar exactamente los valores y conteos definidos en el criterio. En rechazos: Δdocumentos, Δpagos, Δaplicaciones, Δstock y Δllamadas mutantes HKA = 0.</x:v>
      </x:c>
      <x:c r="F1048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49" ht="168" customHeight="1">
      <x:c r="A1049" s="13" t="str">
        <x:v>QA-INT-003</x:v>
      </x:c>
      <x:c r="B1049" s="13" t="str">
        <x:v>Aplicación secuencial ISLR luego IVA</x:v>
      </x:c>
      <x:c r="C1049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Mismo fixture 116/pago 101; orden inverso.</x:v>
      </x:c>
      <x:c r="D1049" s="13" t="str">
        <x:v>1. Registrar ISLR 3.
2. Registrar IVA 12.
3. Leer saldos/CxC/historial por etapa.</x:v>
      </x:c>
      <x:c r="E1049" s="13" t="str">
        <x:v>Deuda 15→12→0; independiente del orden; no doble resta de previsiones tras aplicar.
Control independiente: Comparar exactamente los valores y conteos definidos en el criterio. En rechazos: Δdocumentos, Δpagos, Δaplicaciones, Δstock y Δllamadas mutantes HKA = 0.</x:v>
      </x:c>
      <x:c r="F1049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50" ht="168" customHeight="1">
      <x:c r="A1050" s="13" t="str">
        <x:v>QA-INT-004</x:v>
      </x:c>
      <x:c r="B1050" s="13" t="str">
        <x:v>Un impuesto inválido no invalida el otro</x:v>
      </x:c>
      <x:c r="C1050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116/pago 101; IVA válida 12, ISLR pendiente con control erróneo.</x:v>
      </x:c>
      <x:c r="D1050" s="13" t="str">
        <x:v>1. Activar IVA correctamente.
2. Reanudar ISLR y conservar diagnóstico.
3. Consultar estados/saldo/outboxes.</x:v>
      </x:c>
      <x:c r="E1050" s="13" t="str">
        <x:v>IVA applied 12 e ISLR invalid 0: saldo 3. No revertir IVA ni restar ISLR 3 invalid; impuestos y soportes separados.
Control independiente: Comparar exactamente los valores y conteos definidos en el criterio. En rechazos: Δdocumentos, Δpagos, Δaplicaciones, Δstock y Δllamadas mutantes HKA = 0.</x:v>
      </x:c>
      <x:c r="F1050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51" ht="168" customHeight="1">
      <x:c r="A1051" s="13" t="str">
        <x:v>QA-INT-005</x:v>
      </x:c>
      <x:c r="B1051" s="13" t="str">
        <x:v>Revertir IVA conservando ISLR y pago</x:v>
      </x:c>
      <x:c r="C1051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Coexistencia applied 12+3, pago 101, saldo 0; ausencia IVA acreditada.</x:v>
      </x:c>
      <x:c r="D1051" s="13" t="str">
        <x:v>1. Solicitar reverse IVA con RIVA.
2. Conciliar retiro sólo IVA.
3. Comparar ambas retenciones/caja/CxC.</x:v>
      </x:c>
      <x:c r="E1051" s="13" t="str">
        <x:v>Saldo 12, ISLR 3 continúa applied, pago 101 intacto. Caja 101; no GET/DELETE ISLR por reversión IVA.
Control independiente: Comparar exactamente los valores y conteos definidos en el criterio. En rechazos: Δdocumentos, Δpagos, Δaplicaciones, Δstock y Δllamadas mutantes HKA = 0.</x:v>
      </x:c>
      <x:c r="F1051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52" ht="168" customHeight="1">
      <x:c r="A1052" s="13" t="str">
        <x:v>QA-INT-006</x:v>
      </x:c>
      <x:c r="B1052" s="13" t="str">
        <x:v>Revertir ISLR conservando IVA y pago</x:v>
      </x:c>
      <x:c r="C1052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Mismo coexistencia; ausencia ISLR 204 acreditada.</x:v>
      </x:c>
      <x:c r="D1052" s="13" t="str">
        <x:v>1. Solicitar reverse ISLR con RISLR.
2. Conciliar retiro sólo ISLR.
3. Comparar ambas retenciones y saldo.</x:v>
      </x:c>
      <x:c r="E1052" s="13" t="str">
        <x:v>Saldo 3, IVA 12 aplicada; caja 101. No afectar operaciones IVA ni reemitir factura.
Control independiente: Comparar exactamente los valores y conteos definidos en el criterio. En rechazos: Δdocumentos, Δpagos, Δaplicaciones, Δstock y Δllamadas mutantes HKA = 0.</x:v>
      </x:c>
      <x:c r="F1052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53" ht="168" customHeight="1">
      <x:c r="A1053" s="13" t="str">
        <x:v>QA-INT-007</x:v>
      </x:c>
      <x:c r="B1053" s="13" t="str">
        <x:v>Ambas reversiones e historial</x:v>
      </x:c>
      <x:c r="C1053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Coexistencia applied 12+3, pago 101; retiro remoto concilia por impuesto.</x:v>
      </x:c>
      <x:c r="D1053" s="13" t="str">
        <x:v>1. Revertir cada impuesto con UUID distinto.
2. Repetir ambos UUIDs como replay.
3. Consultar previsiones restauradas/historial.</x:v>
      </x:c>
      <x:c r="E1053" s="13" t="str">
        <x:v>Saldo 0→12/3→15 según orden; cash 101 y venta 116. Reversiones únicas, historial/soportes conservados, nuevas previsiones no se aplican solas.
Control independiente: Comparar exactamente los valores y conteos definidos en el criterio. En rechazos: Δdocumentos, Δpagos, Δaplicaciones, Δstock y Δllamadas mutantes HKA = 0.</x:v>
      </x:c>
      <x:c r="F1053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54" ht="168" customHeight="1">
      <x:c r="A1054" s="13" t="str">
        <x:v>QA-INT-008</x:v>
      </x:c>
      <x:c r="B1054" s="13" t="str">
        <x:v>Crédito sin abonos no inventa pago</x:v>
      </x:c>
      <x:c r="C1054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116 crédito; IVA/ISLR previstas 12/3; pagos vacíos.</x:v>
      </x:c>
      <x:c r="D1054" s="13" t="str">
        <x:v>1. Elegir Crédito y registrar cuotas efectivas del canal.
2. Abrir/cerrar Pagos sin ingresar abono.
3. Guardar y recargar.</x:v>
      </x:c>
      <x:c r="E1054" s="13" t="str">
        <x:v>Cero abonos/caja 0/deuda 116; no agregar 116 ni 101 automáticos. Previsiones informativas; crédito neto HKA sigue bloqueado.
Control independiente: Comparar exactamente los valores y conteos definidos en el criterio. En rechazos: Δdocumentos, Δpagos, Δaplicaciones, Δstock y Δllamadas mutantes HKA = 0.</x:v>
      </x:c>
      <x:c r="F1054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55" ht="168" customHeight="1">
      <x:c r="A1055" s="13" t="str">
        <x:v>QA-INT-009</x:v>
      </x:c>
      <x:c r="B1055" s="13" t="str">
        <x:v>Conservar abonos al reabrir Pagos</x:v>
      </x:c>
      <x:c r="C1055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Total 116 crédito; abonos 30 y 20 con fechas/UUID/destinos distintos.</x:v>
      </x:c>
      <x:c r="D1055" s="13" t="str">
        <x:v>1. Ingresar ambos abonos y activar previsiones.
2. Cerrar/reabrir diálogo dos veces.
3. Guardar y leer cada pago.</x:v>
      </x:c>
      <x:c r="E1055" s="13" t="str">
        <x:v>Abonos 30/20 intactos, suma 50, caja 50, saldo 66. No sustituir por 101/116 ni repartir existente al cambiar propuestas.
Control independiente: Comparar exactamente los valores y conteos definidos en el criterio. En rechazos: Δdocumentos, Δpagos, Δaplicaciones, Δstock y Δllamadas mutantes HKA = 0.</x:v>
      </x:c>
      <x:c r="F1055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56" ht="168" customHeight="1">
      <x:c r="A1056" s="13" t="str">
        <x:v>QA-INT-010</x:v>
      </x:c>
      <x:c r="B1056" s="13" t="str">
        <x:v>Sugerir remanente neto sólo por acción explícita</x:v>
      </x:c>
      <x:c r="C1056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Abonos 30+20, total 116; previsiones 12+3.</x:v>
      </x:c>
      <x:c r="D1056" s="13" t="str">
        <x:v>1. Abrir Pagos y capturar fila estable.
2. Pulsar acción explícita de cobrar neto si existe.
3. Comparar nuevos importes y guardar sólo recepción real.</x:v>
      </x:c>
      <x:c r="E1056" s="13" t="str">
        <x:v>Remanente neto 116−50−12−3=51; sugerencia no modifica abonos anteriores ni genera efectivo hasta aceptar/cobrar. Tras nuevo 51: efectivo 101, deuda 15.
Control independiente: Comparar exactamente los valores y conteos definidos en el criterio. En rechazos: Δdocumentos, Δpagos, Δaplicaciones, Δstock y Δllamadas mutantes HKA = 0.</x:v>
      </x:c>
      <x:c r="F1056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57" ht="168" customHeight="1">
      <x:c r="A1057" s="13" t="str">
        <x:v>QA-INT-011</x:v>
      </x:c>
      <x:c r="B1057" s="13" t="str">
        <x:v>Borrador crédito recuperado</x:v>
      </x:c>
      <x:c r="C1057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POS/Garage/Web según soporte: total 116, abonos 30/20, IVA/ISLR previstas.</x:v>
      </x:c>
      <x:c r="D1057" s="13" t="str">
        <x:v>1. Guardar/suspender borrador con IDs fechas/UUID.
2. Recuperar desde acción real del canal.
3. Reabrir Pagos y comparar todos campos.</x:v>
      </x:c>
      <x:c r="E1057" s="13" t="str">
        <x:v>No autofull payment; conserva abonos y contexto fiscal. Cualquier support upload expirado exige nuevo soporte; no fraude confirmación.
Control independiente: Comparar exactamente los valores y conteos definidos en el criterio. En rechazos: Δdocumentos, Δpagos, Δaplicaciones, Δstock y Δllamadas mutantes HKA = 0.</x:v>
      </x:c>
      <x:c r="F1057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58" ht="168" customHeight="1">
      <x:c r="A1058" s="13" t="str">
        <x:v>QA-INT-012</x:v>
      </x:c>
      <x:c r="B1058" s="13" t="str">
        <x:v>Abonos con moneda propia y tasa</x:v>
      </x:c>
      <x:c r="C1058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USD 116; pago VES 1500 tasa 50 aplica 30 USD, pago USD 20.</x:v>
      </x:c>
      <x:c r="D1058" s="13" t="str">
        <x:v>1. Registrar por API/canal que efectivamente ofrece contrato de moneda propia.
2. Reabrir/recuperar Pagos.
3. Cambiar propuesta sin cambiar pagos.</x:v>
      </x:c>
      <x:c r="E1058" s="13" t="str">
        <x:v>Aplicado 50 USD/saldo 66 USD; recepción 1500 VES+20 USD separada. UUID/fecha/moneda/tasa intactos, no sumar nominalmente 1520 como USD.
Control independiente: Comparar exactamente los valores y conteos definidos en el criterio. En rechazos: Δdocumentos, Δpagos, Δaplicaciones, Δstock y Δllamadas mutantes HKA = 0.</x:v>
      </x:c>
      <x:c r="F1058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59" ht="168" customHeight="1">
      <x:c r="A1059" s="13" t="str">
        <x:v>QA-INT-013</x:v>
      </x:c>
      <x:c r="B1059" s="13" t="str">
        <x:v>Cambiar condición conserva entradas legítimas</x:v>
      </x:c>
      <x:c r="C1059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Crédito con abono 30 en borrador; cambiar Contado/Crédito según UI permitida.</x:v>
      </x:c>
      <x:c r="D1059" s="13" t="str">
        <x:v>1. Capturar pagos ingresados.
2. Cambiar condición y reabrir.
3. Guardar sólo pagos reales y comparar requests.</x:v>
      </x:c>
      <x:c r="E1059" s="13" t="str">
        <x:v>No duplicar/repartir abono 30; exigencias de condición evaluadas sin completar ficticiamente. Si transformación no permitida, rechazo sin mutar.
Control independiente: Comparar exactamente los valores y conteos definidos en el criterio. En rechazos: Δdocumentos, Δpagos, Δaplicaciones, Δstock y Δllamadas mutantes HKA = 0.</x:v>
      </x:c>
      <x:c r="F1059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60" ht="168" customHeight="1">
      <x:c r="A1060" s="13" t="str">
        <x:v>QA-INT-014</x:v>
      </x:c>
      <x:c r="B1060" s="13" t="str">
        <x:v>Respuesta propuesta antigua tras cambiar cliente</x:v>
      </x:c>
      <x:c r="C1060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XHR propuesta cliente agente lento; cambiar cliente no agente antes de respuesta.</x:v>
      </x:c>
      <x:c r="D1060" s="13" t="str">
        <x:v>1. Retener respuesta A en doble.
2. Solicitar B para nuevo cliente.
3. LiberarA después B y guardar.</x:v>
      </x:c>
      <x:c r="E1060" s="13" t="str">
        <x:v>UI/servidor ignora A obsoleta; nueva previsión null/no eligible. No neto 101 de otro comprador ni RIF agente viejo.
Control independiente: Comparar exactamente los valores y conteos definidos en el criterio. En rechazos: Δdocumentos, Δpagos, Δaplicaciones, Δstock y Δllamadas mutantes HKA = 0.</x:v>
      </x:c>
      <x:c r="F1060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61" ht="168" customHeight="1">
      <x:c r="A1061" s="13" t="str">
        <x:v>QA-INT-015</x:v>
      </x:c>
      <x:c r="B1061" s="13" t="str">
        <x:v>Respuesta propuesta antigua tras editar cantidades</x:v>
      </x:c>
      <x:c r="C1061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Cantidad 1 total 116 propuesta 12/3 pendiente; luego 2 total 232.</x:v>
      </x:c>
      <x:c r="D1061" s="13" t="str">
        <x:v>1. Retener propuesta A.
2. Solicitar B con IVA 32/base 200.
3. LiberarA después B y reabrir Pagos.</x:v>
      </x:c>
      <x:c r="E1061" s="13" t="str">
        <x:v>Sólo B vigente: IVA 24 e ISLR 6, sugerido 202; saldo 232 sin pago. No sobrescribir por 12/3 ni reescribir abonos.
Control independiente: Comparar exactamente los valores y conteos definidos en el criterio. En rechazos: Δdocumentos, Δpagos, Δaplicaciones, Δstock y Δllamadas mutantes HKA = 0.</x:v>
      </x:c>
      <x:c r="F1061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62" ht="168" customHeight="1">
      <x:c r="A1062" s="13" t="str">
        <x:v>QA-INT-016</x:v>
      </x:c>
      <x:c r="B1062" s="13" t="str">
        <x:v>Respuesta propuesta antigua tras cambiar fecha</x:v>
      </x:c>
      <x:c r="C1062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Perfil v1 agente hasta 11/10, v2 no agente 12/10.</x:v>
      </x:c>
      <x:c r="D1062" s="13" t="str">
        <x:v>1. SolicitarA fecha 11/10 lenta.
2. Cambiar fecha 12/10 y resolver B.
3. LiberarA y guardar.</x:v>
      </x:c>
      <x:c r="E1062" s="13" t="str">
        <x:v>No usa facultad v1/propuesta obsoleta en 12/10. Snapshot/versiones fechados correctos.
Control independiente: Comparar exactamente los valores y conteos definidos en el criterio. En rechazos: Δdocumentos, Δpagos, Δaplicaciones, Δstock y Δllamadas mutantes HKA = 0.</x:v>
      </x:c>
      <x:c r="F1062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63" ht="168" customHeight="1">
      <x:c r="A1063" s="13" t="str">
        <x:v>QA-INT-017</x:v>
      </x:c>
      <x:c r="B1063" s="13" t="str">
        <x:v>Propuestas HTTP adversarias se recalculan</x:v>
      </x:c>
      <x:c r="C1063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Cliente envía amount IVA 999/ISLR 999 yversion_ids manipulados.</x:v>
      </x:c>
      <x:c r="D1063" s="13" t="str">
        <x:v>1. Forzar datos de previsión en request.
2. Guardar documento.
3. Comparar respuesta/snapshot con oráculo 100/16.</x:v>
      </x:c>
      <x:c r="E1063" s="13" t="str">
        <x:v>Servidor recalcula 12/3 según contexto válido; no acepta importes/versiones autoritativos del navegador. Si campos no admitidos rechaza sin mutación.
Control independiente: Comparar exactamente los valores y conteos definidos en el criterio. En rechazos: Δdocumentos, Δpagos, Δaplicaciones, Δstock y Δllamadas mutantes HKA = 0.</x:v>
      </x:c>
      <x:c r="F1063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64" ht="168" customHeight="1">
      <x:c r="A1064" s="13" t="str">
        <x:v>QA-INT-018</x:v>
      </x:c>
      <x:c r="B1064" s="13" t="str">
        <x:v>Cambio a Nota de venta descarta retenciones de factura</x:v>
      </x:c>
      <x:c r="C1064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Borrador Factura 116 con IVA/ISLR previstas y vouchers pending, luego tipo 80.</x:v>
      </x:c>
      <x:c r="D1064" s="13" t="str">
        <x:v>1. Cambiar tipo por UI autorizada.
2. Guardar NV.
3. Comparar request/DTO y soportes no aplicados.</x:v>
      </x:c>
      <x:c r="E1064" s="13" t="str">
        <x:v>NV no hereda previsiones/vouchers de Factura ni crea aplicaciones/outboxes. Pagos comerciales legítimos mantienen contrato NV.
Control independiente: Comparar exactamente los valores y conteos definidos en el criterio. En rechazos: Δdocumentos, Δpagos, Δaplicaciones, Δstock y Δllamadas mutantes HKA = 0.</x:v>
      </x:c>
      <x:c r="F1064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65" ht="168" customHeight="1">
      <x:c r="A1065" s="13" t="str">
        <x:v>QA-INT-019</x:v>
      </x:c>
      <x:c r="B1065" s="13" t="str">
        <x:v>Regresar de Nota de venta a Factura</x:v>
      </x:c>
      <x:c r="C1065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NV sin previsión; seleccionar Factura y comprador con facultades.</x:v>
      </x:c>
      <x:c r="D1065" s="13" t="str">
        <x:v>1. Cambiar tipo 01 y solicitar propuestas nuevas.
2. Revisar UUID/soporte/referencias actuales.
3. Guardar y consultar.</x:v>
      </x:c>
      <x:c r="E1065" s="13" t="str">
        <x:v>No restaurar comprobantes viejos contra identidad nueva; previsiones recalculadas y validaciones vigentes antes de aplicar.
Control independiente: Comparar exactamente los valores y conteos definidos en el criterio. En rechazos: Δdocumentos, Δpagos, Δaplicaciones, Δstock y Δllamadas mutantes HKA = 0.</x:v>
      </x:c>
      <x:c r="F1065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66" ht="168" customHeight="1">
      <x:c r="A1066" s="13" t="str">
        <x:v>QA-INT-020</x:v>
      </x:c>
      <x:c r="B1066" s="13" t="str">
        <x:v>Conversión no copia confirmación o comprobante</x:v>
      </x:c>
      <x:c r="C1066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Origen NV/cotización/pedido/orden entrega con pagos/cliente como variantes.</x:v>
      </x:c>
      <x:c r="D1066" s="13" t="str">
        <x:v>1. Registrar corrida/tenant/sucursal/usuario, perfiles/versiones, IDs y datos de los fixtures; verificar precondiciones comunes y específicas. Capturar línea base y esperado independiente antes de actuar.
2. Convertir por flujo oficial.
3. Revisar snapshot perfil/previsiones y relaciones.
4. Intentar usar soporte/control del origen sin relación permitida.</x:v>
      </x:c>
      <x:c r="E1066" s="13" t="str">
        <x:v>Nueva Factura resuelve perfil y propuesta, no hereda control/confirmed/comprobante ajeno. Relación origen y stock sin duplicados.
Cálculo independiente: Comparar exactamente los valores y conteos definidos en el criterio. En rechazos: Δdocumentos, Δpagos, Δaplicaciones, Δstock y Δllamadas mutantes HKA = 0.</x:v>
      </x:c>
      <x:c r="F1066" s="13" t="str">
        <x:v>[app/Services/Fiscal/FiscalDocumentPersistence.php](../../app/Services/Fiscal/FiscalDocumentPersistence.php), [app/Services/Fiscal/ReceivedRetentionService.php](../../app/Services/Fiscal/ReceivedRetentionService.php), [app/Services/Fiscal/HkaIvaRetentionCapability.php](../../app/Services/Fiscal/HkaIvaRetentionCapability.php), [app/Services/Fiscal/HkaIslrRetentionCapability.php](../../app/Services/Fiscal/HkaIslrRetentionCapability.php), [resources/js/mixins/iva-retention.js](../../resources/js/mixins/iva-retention.js), [resources/js/views/tenant/documents/partials/payments.vue](../../resources/js/views/tenant/documents/partials/payments.vue), [resources/js/views/tenant/pos/partials/payment.vue](../../resources/js/views/tenant/pos/partials/payment.vue), [tests/js/fiscal-payment-ui.test.cjs](../../tests/js/fiscal-payment-ui.test.cjs), [tests/Support/IvaRetentionPersistenceCases.php](../../tests/Support/IvaRetentionPersistenceCases.php), [tests/Support/IslrRetentionPersistenceCases.php](../../tests/Support/IslrRetentionPersistenceCases.php), [routes/web.php](../../routes/web.php), [routes/api.php](../../routes/api.php)
Efectos posteriores: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
Contrato actualizado: Para órdenes09 hay emisión propia04/indicador1 y relación fiscal independiente; conversión no copia confirmed/control. FacturaGuia y sincronización requieren identidades coherentes sin repetir stock.</x:v>
      </x:c>
    </x:row>
    <x:row r="1067" ht="168" customHeight="1">
      <x:c r="A1067" s="13" t="str">
        <x:v>QA-INT-021</x:v>
      </x:c>
      <x:c r="B1067" s="13" t="str">
        <x:v>Conversión múltiple preserva abonos</x:v>
      </x:c>
      <x:c r="C1067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Dos NV mismo comprador; abonos 20/30, total nuevo 232.</x:v>
      </x:c>
      <x:c r="D1067" s="13" t="str">
        <x:v>1. Seleccionar conversión múltiple autorizada.
2. Capturar líneas y aplicación de abonos según contrato.
3. Reabrir Pagos y calcular deuda.</x:v>
      </x:c>
      <x:c r="E1067" s="13" t="str">
        <x:v>Abonos totales 50 sin duplicación; deuda 182 antes retenciones. Previsiones IVA 24/ISLR 6 no se convierten en ingreso ni distribuyen abonos ficticios.
Control independiente: Comparar exactamente los valores y conteos definidos en el criterio. En rechazos: Δdocumentos, Δpagos, Δaplicaciones, Δstock y Δllamadas mutantes HKA = 0.</x:v>
      </x:c>
      <x:c r="F1067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68" ht="168" customHeight="1">
      <x:c r="A1068" s="13" t="str">
        <x:v>QA-INT-022</x:v>
      </x:c>
      <x:c r="B1068" s="13" t="str">
        <x:v>Terceros más régimen exige cobro completo</x:v>
      </x:c>
      <x:c r="C1068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Web third 99+régimen 1, total 116, previsiones 12/3, pago 101.</x:v>
      </x:c>
      <x:c r="D1068" s="13" t="str">
        <x:v>1. Intentar guardar con pago 101.
2. Control pago 116 real y previsiones acordes.
3. Comparar diagnóstico/saldo/snapshot.</x:v>
      </x:c>
      <x:c r="E1068" s="13" t="str">
        <x:v>Rechazo de neto insuficiente en categoría especial; no completar 15 ni aplicar comprobante inexistente. Control soportado terceros+régimen contado real 116 saldo 0.
Control independiente: Comparar exactamente los valores y conteos definidos en el criterio. En rechazos: Δdocumentos, Δpagos, Δaplicaciones, Δstock y Δllamadas mutantes HKA = 0.</x:v>
      </x:c>
      <x:c r="F1068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69" ht="168" customHeight="1">
      <x:c r="A1069" s="13" t="str">
        <x:v>QA-INT-023</x:v>
      </x:c>
      <x:c r="B1069" s="13" t="str">
        <x:v>Reglas exportación no se abren por SPE</x:v>
      </x:c>
      <x:c r="C1069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Export FOB/CIF/EXW en monedas VES/USD, comprador SPE/local retenciones.</x:v>
      </x:c>
      <x:c r="D1069" s="13" t="str">
        <x:v>1. Probar cada combinación como variantes restrictivas.
2. Revisar identidad ND y datos fiscales.
3. Comparar políticas antes de HTTP.</x:v>
      </x:c>
      <x:c r="E1069" s="13" t="str">
        <x:v>SPE/retención no convierte exportación a venta interna ni habilita terceros/régimen/nota. Evaluar diagnóstico real; no asumir facultad doméstica en ND.
Control independiente: Comparar exactamente los valores y conteos definidos en el criterio. En rechazos: Δdocumentos, Δpagos, Δaplicaciones, Δstock y Δllamadas mutantes HKA = 0.</x:v>
      </x:c>
      <x:c r="F1069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70" ht="168" customHeight="1">
      <x:c r="A1070" s="13" t="str">
        <x:v>QA-INT-024</x:v>
      </x:c>
      <x:c r="B1070" s="13" t="str">
        <x:v>Concurrencia pago y dos impuestos</x:v>
      </x:c>
      <x:c r="C1070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Fixture confirmed 116; pago 101, IVA 12, ISLR 3 enviados con barrera.</x:v>
      </x:c>
      <x:c r="D1070" s="13" t="str">
        <x:v>1. Lanzar tres operaciones autorizadas.
2. Guardar todas respuestas.
3. Leer saldo/caja/activos/outboxes.</x:v>
      </x:c>
      <x:c r="E1070" s="13" t="str">
        <x:v>Bloqueos evitan exceso/negativo; suma aplicada≤116. Cuando todas válidas: caja 101, 1 IVA 12, 1 ISLR 3, saldo 0. Si secuencia causa rechazo legítimo, conciliar y reintentar con estado conocido sin duplicar.
Control independiente: Comparar exactamente los valores y conteos definidos en el criterio. En rechazos: Δdocumentos, Δpagos, Δaplicaciones, Δstock y Δllamadas mutantes HKA = 0.</x:v>
      </x:c>
      <x:c r="F1070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71" ht="168" customHeight="1">
      <x:c r="A1071" s="13" t="str">
        <x:v>QA-INT-025</x:v>
      </x:c>
      <x:c r="B1071" s="13" t="str">
        <x:v>Concurrencia reversión y reemplazo</x:v>
      </x:c>
      <x:c r="C1071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Un IVA y un ISLR applied; reversión IVA remota incierta mientras nuevo voucher IVA.</x:v>
      </x:c>
      <x:c r="D1071" s="13" t="str">
        <x:v>1. Enviar reverse y reemplazos simultáneos.
2. Medir activo y saldo.
3. Confirmar ausencia y registrar reemplazo con UUID nuevo.</x:v>
      </x:c>
      <x:c r="E1071" s="13" t="str">
        <x:v>No segundo activo mientras reversal_pending conserva applied; reemplazo sólo después reversed. ISLR y cash intactos.
Control independiente: Comparar exactamente los valores y conteos definidos en el criterio. En rechazos: Δdocumentos, Δpagos, Δaplicaciones, Δstock y Δllamadas mutantes HKA = 0.</x:v>
      </x:c>
      <x:c r="F1071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72" ht="168" customHeight="1">
      <x:c r="A1072" s="13" t="str">
        <x:v>QA-INT-026</x:v>
      </x:c>
      <x:c r="B1072" s="13" t="str">
        <x:v>Rollback de coexistencia</x:v>
      </x:c>
      <x:c r="C1072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Transacción creación guarda ambos comprobantes y fallo comercial después.</x:v>
      </x:c>
      <x:c r="D1072" s="13" t="str">
        <x:v>1. Capturar pagos/stock/uploads/red.
2. Provocar rollback externo.
3. Leer todo por tenant.</x:v>
      </x:c>
      <x:c r="E1072" s="13" t="str">
        <x:v>Cero guardado parcial/aplicación/outbox/HTTP; soporte temporal recuperable para ambos y cash previo inmutable.
Control independiente: Comparar exactamente los valores y conteos definidos en el criterio. En rechazos: Δdocumentos, Δpagos, Δaplicaciones, Δstock y Δllamadas mutantes HKA = 0.</x:v>
      </x:c>
      <x:c r="F1072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73" ht="168" customHeight="1">
      <x:c r="A1073" s="13" t="str">
        <x:v>QA-INT-027</x:v>
      </x:c>
      <x:c r="B1073" s="13" t="str">
        <x:v>Operaciones HKA no comparten estado</x:v>
      </x:c>
      <x:c r="C1073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IVA confirmed, ISLR uncertain/conflict como variantes.</x:v>
      </x:c>
      <x:c r="D1073" s="13" t="str">
        <x:v>1. Consultar DTO y listado.
2. Recuperar sólo ISLR.
3. Comparar intentos y estados IVA.</x:v>
      </x:c>
      <x:c r="E1073" s="13" t="str">
        <x:v>Cada impuesto conserva UUID/tabla/diagnóstico/campos verified propios; no marcar ambos confirmed por uno exitoso.
Control independiente: Comparar exactamente los valores y conteos definidos en el criterio. En rechazos: Δdocumentos, Δpagos, Δaplicaciones, Δstock y Δllamadas mutantes HKA = 0.</x:v>
      </x:c>
      <x:c r="F1073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74" ht="168" customHeight="1">
      <x:c r="A1074" s="13" t="str">
        <x:v>QA-INT-028</x:v>
      </x:c>
      <x:c r="B1074" s="13" t="str">
        <x:v>Rutas despachan impuesto del comprobante</x:v>
      </x:c>
      <x:c r="C1074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Voucher IVA e ISLR con IDs distintos; cliente altera tax_kind al query/reverse.</x:v>
      </x:c>
      <x:c r="D1074" s="13" t="str">
        <x:v>1. Intentar reinterpreta IVA como ISLR y viceversa.
2. Control por ID legítimo.
3. Capturar endpoint HKA real.</x:v>
      </x:c>
      <x:c r="E1074" s="13" t="str">
        <x:v>Tipo se resuelve del registro autorizado, no bandera adversaria; cero mutación/consulta de otro impuesto.
Control independiente: Comparar exactamente los valores y conteos definidos en el criterio. En rechazos: Δdocumentos, Δpagos, Δaplicaciones, Δstock y Δllamadas mutantes HKA = 0.</x:v>
      </x:c>
      <x:c r="F1074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75" ht="168" customHeight="1">
      <x:c r="A1075" s="13" t="str">
        <x:v>QA-INT-029</x:v>
      </x:c>
      <x:c r="B1075" s="13" t="str">
        <x:v>Cuatro capas en presentación</x:v>
      </x:c>
      <x:c r="C1075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Coexistencia local válida con HKA retención incierta y original HKA omite leyendas.</x:v>
      </x:c>
      <x:c r="D1075" s="13" t="str">
        <x:v>1. Abrir detalle/Pagos/reportes/ticket/A4/A5 como variantes.
2. Comparar snapshots con original hash.
3. Registrar cada estado sin agregarlos en aprobado fiscal.</x:v>
      </x:c>
      <x:c r="E1075" s="13" t="str">
        <x:v>Registro comercial, aplicación local, sincronización HKA y presentación tienen veredictos separados. Ticket refleja datos locales; original sin reescritura, omisiones reportadas.
Control independiente: Comparar exactamente los valores y conteos definidos en el criterio. En rechazos: Δdocumentos, Δpagos, Δaplicaciones, Δstock y Δllamadas mutantes HKA = 0.</x:v>
      </x:c>
      <x:c r="F1075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76" ht="168" customHeight="1">
      <x:c r="A1076" s="13" t="str">
        <x:v>QA-INT-030</x:v>
      </x:c>
      <x:c r="B1076" s="13" t="str">
        <x:v>Conciliación financiera de coexistencia</x:v>
      </x:c>
      <x:c r="C1076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Total 116, pago 101, IVA 12/ISLR 3 applied; moneda nominal VES.</x:v>
      </x:c>
      <x:c r="D1076" s="13" t="str">
        <x:v>1. Abrir caja, CxC, reporte ventas/retenciones y exportaciones disponibles.
2. Comparar filas/documentos y totales saneados.
3. Revertir ISLR y revisar diferencias.</x:v>
      </x:c>
      <x:c r="E1076" s="13" t="str">
        <x:v>Antes: venta 116, IVA 16, caja 101, retenciones 15, saldo 0; después ISLR reverse:caja 101, IVA retenido 12, saldo 3. No netear venta ni sumar retenciones a ingresos.
Control independiente: Comparar exactamente los valores y conteos definidos en el criterio. En rechazos: Δdocumentos, Δpagos, Δaplicaciones, Δstock y Δllamadas mutantes HKA = 0.</x:v>
      </x:c>
      <x:c r="F1076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77" ht="168" customHeight="1">
      <x:c r="A1077" s="13" t="str">
        <x:v>QA-INT-031</x:v>
      </x:c>
      <x:c r="B1077" s="13" t="str">
        <x:v>Conciliación moneda propia en reportes</x:v>
      </x:c>
      <x:c r="C1077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USD 116, pago USD 101, IVA 12/ISLR 3 USD; tasa 50.</x:v>
      </x:c>
      <x:c r="D1077" s="13" t="str">
        <x:v>1. Comparar reportes por moneda documental/recibida/fiscal.
2. Cambiar tasa actual a 60.
3. Reconsultar históricos.</x:v>
      </x:c>
      <x:c r="E1077" s="13" t="str">
        <x:v>USD 116 venta/101 recepción/15 aplicaciones; snapshot fiscal congelado 5800 VES, no nuevo 6960. No mezclar USD y VES ni recomputar conversiones con tasa actual.
Control independiente: Comparar exactamente los valores y conteos definidos en el criterio. En rechazos: Δdocumentos, Δpagos, Δaplicaciones, Δstock y Δllamadas mutantes HKA = 0.</x:v>
      </x:c>
      <x:c r="F1077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78" ht="168" customHeight="1">
      <x:c r="A1078" s="13" t="str">
        <x:v>QA-INT-032</x:v>
      </x:c>
      <x:c r="B1078" s="13" t="str">
        <x:v>Permisos y aislamiento transversal</x:v>
      </x:c>
      <x:c r="C1078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QA-A/B mismo ID local, S1/S2; endpoints perfil/propuesta/upload/store/query/retry/reverse/attachment.</x:v>
      </x:c>
      <x:c r="D1078" s="13" t="str">
        <x:v>1. Crear variante por endpoint×rol/tenant/sucursal.
2. Usar fixture control permitido.
3. Comparar lecturas/pagos/archivos/red.</x:v>
      </x:c>
      <x:c r="E1078" s="13" t="str">
        <x:v>Cero acceso/efecto de otro tenant. Factura/pagos/retenciones/adjuntos/query/retry/reverse exigen scope sucursal antes de efectos. Perfil compartido del mismo tenant mantiene lectura segúnmiddleware; escritura perfil admin, registro/uploadcreate_payment yretirodelete_payment. No inventar rechazo por sucursal a catálogos compartidos autorizados.
Control independiente: Comparar exactamente los valores y conteos definidos en el criterio. En rechazos: Δdocumentos, Δpagos, Δaplicaciones, Δstock y Δllamadas mutantes HKA = 0.</x:v>
      </x:c>
      <x:c r="F1078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79" ht="168" customHeight="1">
      <x:c r="A1079" s="13" t="str">
        <x:v>QA-INT-033</x:v>
      </x:c>
      <x:c r="B1079" s="13" t="str">
        <x:v>Borrador restaurado con soporte vencido</x:v>
      </x:c>
      <x:c r="C1079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POS/Garage borrador con upload temporal antiguo T0+24 h+1 min.</x:v>
      </x:c>
      <x:c r="D1079" s="13" t="str">
        <x:v>1. Recuperar borrador.
2. Intentar registro comprobante con token viejo.
3. Subir soporte nuevo y repetir según contrato.</x:v>
      </x:c>
      <x:c r="E1079" s="13" t="str">
        <x:v>Token vencido rechazado sin aplicación; no perder abonos ni borrar factura. Soporte nuevo permite continuar validaciones, no aplicación fiscal automática.
Control independiente: Comparar exactamente los valores y conteos definidos en el criterio. En rechazos: Δdocumentos, Δpagos, Δaplicaciones, Δstock y Δllamadas mutantes HKA = 0.</x:v>
      </x:c>
      <x:c r="F1079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80" ht="168" customHeight="1">
      <x:c r="A1080" s="13" t="str">
        <x:v>QA-INT-034</x:v>
      </x:c>
      <x:c r="B1080" s="13" t="str">
        <x:v>Fronteras de recuperación independientes</x:v>
      </x:c>
      <x:c r="C1080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pending 40 s; correo 50 s; IVA/ISLR pending 90 s en fixtures distintos.</x:v>
      </x:c>
      <x:c r="D1080" s="13" t="str">
        <x:v>1. Simular 39/40, 49/50, 89/90 con reloj controlado.
2. Ejecutar cada recuperador propio.
3. Comparar intentos/UUID/GET/POST y saldo.</x:v>
      </x:c>
      <x:c r="E1080" s="13" t="str">
        <x:v>Cada máquina respeta su ventana y contrato, sin reaplicaciones ni reenvío por compartir correlativo. Correo entregado no confirma retención; query retención no reemite factura.
Control independiente: Comparar exactamente los valores y conteos definidos en el criterio. En rechazos: Δdocumentos, Δpagos, Δaplicaciones, Δstock y Δllamadas mutantes HKA = 0.</x:v>
      </x:c>
      <x:c r="F1080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81" ht="168" customHeight="1">
      <x:c r="A1081" s="13" t="str">
        <x:v>QA-INT-035</x:v>
      </x:c>
      <x:c r="B1081" s="13" t="str">
        <x:v>Datos históricos no son resultados nuevos</x:v>
      </x:c>
      <x:c r="C1081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Informes de aceptación anteriores y tests unitarios simulados.</x:v>
      </x:c>
      <x:c r="D1081" s="13" t="str">
        <x:v>1. Inventariar referencias históricas en anexo del informe.
2. Iniciar casos nuevos Pendiente.
3. Calificar sólo ejecución atribuible acorrida/commit actual.</x:v>
      </x:c>
      <x:c r="E1081" s="13" t="str">
        <x:v>No Aprobó funcional por lectura/test fuente/histórico; todas variantes reales requieren evidencia actual. Bloqueos de cuenta SPE/capacidad quedan visibles.
Control independiente: Comparar exactamente los valores y conteos definidos en el criterio. En rechazos: Δdocumentos, Δpagos, Δaplicaciones, Δstock y Δllamadas mutantes HKA = 0.</x:v>
      </x:c>
      <x:c r="F1081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82" ht="180" customHeight="1">
      <x:c r="A1082" s="13" t="str">
        <x:v>QA-INT-036</x:v>
      </x:c>
      <x:c r="B1082" s="13" t="str">
        <x:v>Comprobantes web: integración de IVA</x:v>
      </x:c>
      <x:c r="C1082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Comprobantes web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082" s="13" t="str">
        <x:v>1. Entrar por Comprobantes web,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82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082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83" ht="180" customHeight="1">
      <x:c r="A1083" s="13" t="str">
        <x:v>QA-INT-037</x:v>
      </x:c>
      <x:c r="B1083" s="13" t="str">
        <x:v>Comprobantes web: integración de ISLR</x:v>
      </x:c>
      <x:c r="C1083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Comprobantes web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083" s="13" t="str">
        <x:v>1. Entrar por Comprobantes web,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83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083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84" ht="180" customHeight="1">
      <x:c r="A1084" s="13" t="str">
        <x:v>QA-INT-038</x:v>
      </x:c>
      <x:c r="B1084" s="13" t="str">
        <x:v>Comprobantes web: integración de IVA+ISLR</x:v>
      </x:c>
      <x:c r="C1084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Comprobantes web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084" s="13" t="str">
        <x:v>1. Entrar por Comprobantes web,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84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084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85" ht="180" customHeight="1">
      <x:c r="A1085" s="13" t="str">
        <x:v>QA-INT-039</x:v>
      </x:c>
      <x:c r="B1085" s="13" t="str">
        <x:v>POS pago normal: integración de IVA</x:v>
      </x:c>
      <x:c r="C1085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POS pago normal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085" s="13" t="str">
        <x:v>1. Entrar por POS pago normal,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85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085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86" ht="180" customHeight="1">
      <x:c r="A1086" s="13" t="str">
        <x:v>QA-INT-040</x:v>
      </x:c>
      <x:c r="B1086" s="13" t="str">
        <x:v>POS pago normal: integración de ISLR</x:v>
      </x:c>
      <x:c r="C1086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POS pago normal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086" s="13" t="str">
        <x:v>1. Entrar por POS pago normal,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86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086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87" ht="180" customHeight="1">
      <x:c r="A1087" s="13" t="str">
        <x:v>QA-INT-041</x:v>
      </x:c>
      <x:c r="B1087" s="13" t="str">
        <x:v>POS pago normal: integración de IVA+ISLR</x:v>
      </x:c>
      <x:c r="C1087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POS pago normal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087" s="13" t="str">
        <x:v>1. Entrar por POS pago normal,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87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087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88" ht="180" customHeight="1">
      <x:c r="A1088" s="13" t="str">
        <x:v>QA-INT-042</x:v>
      </x:c>
      <x:c r="B1088" s="13" t="str">
        <x:v>POS pago rápido: integración de IVA</x:v>
      </x:c>
      <x:c r="C1088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POS pago rápido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088" s="13" t="str">
        <x:v>1. Entrar por POS pago rápido,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88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088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89" ht="180" customHeight="1">
      <x:c r="A1089" s="13" t="str">
        <x:v>QA-INT-043</x:v>
      </x:c>
      <x:c r="B1089" s="13" t="str">
        <x:v>POS pago rápido: integración de ISLR</x:v>
      </x:c>
      <x:c r="C1089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POS pago rápido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089" s="13" t="str">
        <x:v>1. Entrar por POS pago rápido,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89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089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90" ht="180" customHeight="1">
      <x:c r="A1090" s="13" t="str">
        <x:v>QA-INT-044</x:v>
      </x:c>
      <x:c r="B1090" s="13" t="str">
        <x:v>POS pago rápido: integración de IVA+ISLR</x:v>
      </x:c>
      <x:c r="C1090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POS pago rápido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090" s="13" t="str">
        <x:v>1. Entrar por POS pago rápido,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90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090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91" ht="180" customHeight="1">
      <x:c r="A1091" s="13" t="str">
        <x:v>QA-INT-045</x:v>
      </x:c>
      <x:c r="B1091" s="13" t="str">
        <x:v>POS pagos múltiples: integración de IVA</x:v>
      </x:c>
      <x:c r="C1091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POS pagos múltiples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091" s="13" t="str">
        <x:v>1. Entrar por POS pagos múltiples,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91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091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92" ht="180" customHeight="1">
      <x:c r="A1092" s="13" t="str">
        <x:v>QA-INT-046</x:v>
      </x:c>
      <x:c r="B1092" s="13" t="str">
        <x:v>POS pagos múltiples: integración de ISLR</x:v>
      </x:c>
      <x:c r="C1092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POS pagos múltiples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092" s="13" t="str">
        <x:v>1. Entrar por POS pagos múltiples,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92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092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93" ht="180" customHeight="1">
      <x:c r="A1093" s="13" t="str">
        <x:v>QA-INT-047</x:v>
      </x:c>
      <x:c r="B1093" s="13" t="str">
        <x:v>POS pagos múltiples: integración de IVA+ISLR</x:v>
      </x:c>
      <x:c r="C1093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POS pagos múltiples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093" s="13" t="str">
        <x:v>1. Entrar por POS pagos múltiples,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93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093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94" ht="180" customHeight="1">
      <x:c r="A1094" s="13" t="str">
        <x:v>QA-INT-048</x:v>
      </x:c>
      <x:c r="B1094" s="13" t="str">
        <x:v>Garage pago rápido: integración de IVA</x:v>
      </x:c>
      <x:c r="C1094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Garage pago rápido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094" s="13" t="str">
        <x:v>1. Entrar por Garage pago rápido,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94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094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95" ht="180" customHeight="1">
      <x:c r="A1095" s="13" t="str">
        <x:v>QA-INT-049</x:v>
      </x:c>
      <x:c r="B1095" s="13" t="str">
        <x:v>Garage pago rápido: integración de ISLR</x:v>
      </x:c>
      <x:c r="C1095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Garage pago rápido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095" s="13" t="str">
        <x:v>1. Entrar por Garage pago rápido,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95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095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96" ht="180" customHeight="1">
      <x:c r="A1096" s="13" t="str">
        <x:v>QA-INT-050</x:v>
      </x:c>
      <x:c r="B1096" s="13" t="str">
        <x:v>Garage pago rápido: integración de IVA+ISLR</x:v>
      </x:c>
      <x:c r="C1096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Garage pago rápido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096" s="13" t="str">
        <x:v>1. Entrar por Garage pago rápido,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96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096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97" ht="180" customHeight="1">
      <x:c r="A1097" s="13" t="str">
        <x:v>QA-INT-051</x:v>
      </x:c>
      <x:c r="B1097" s="13" t="str">
        <x:v>Garage pagos múltiples: integración de IVA</x:v>
      </x:c>
      <x:c r="C1097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Garage pagos múltiples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097" s="13" t="str">
        <x:v>1. Entrar por Garage pagos múltiples,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97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097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98" ht="180" customHeight="1">
      <x:c r="A1098" s="13" t="str">
        <x:v>QA-INT-052</x:v>
      </x:c>
      <x:c r="B1098" s="13" t="str">
        <x:v>Garage pagos múltiples: integración de ISLR</x:v>
      </x:c>
      <x:c r="C1098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Garage pagos múltiples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098" s="13" t="str">
        <x:v>1. Entrar por Garage pagos múltiples,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98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098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099" ht="180" customHeight="1">
      <x:c r="A1099" s="13" t="str">
        <x:v>QA-INT-053</x:v>
      </x:c>
      <x:c r="B1099" s="13" t="str">
        <x:v>Garage pagos múltiples: integración de IVA+ISLR</x:v>
      </x:c>
      <x:c r="C1099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Garage pagos múltiples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099" s="13" t="str">
        <x:v>1. Entrar por Garage pagos múltiples,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099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099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00" ht="180" customHeight="1">
      <x:c r="A1100" s="13" t="str">
        <x:v>QA-INT-054</x:v>
      </x:c>
      <x:c r="B1100" s="13" t="str">
        <x:v>Hotel checkout: integración de IVA</x:v>
      </x:c>
      <x:c r="C1100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Hotel checkout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100" s="13" t="str">
        <x:v>1. Entrar por Hotel checkout,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00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100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01" ht="180" customHeight="1">
      <x:c r="A1101" s="13" t="str">
        <x:v>QA-INT-055</x:v>
      </x:c>
      <x:c r="B1101" s="13" t="str">
        <x:v>Hotel checkout: integración de ISLR</x:v>
      </x:c>
      <x:c r="C1101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Hotel checkout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101" s="13" t="str">
        <x:v>1. Entrar por Hotel checkout,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01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101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02" ht="180" customHeight="1">
      <x:c r="A1102" s="13" t="str">
        <x:v>QA-INT-056</x:v>
      </x:c>
      <x:c r="B1102" s="13" t="str">
        <x:v>Hotel checkout: integración de IVA+ISLR</x:v>
      </x:c>
      <x:c r="C1102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Hotel checkout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102" s="13" t="str">
        <x:v>1. Entrar por Hotel checkout,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02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102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03" ht="180" customHeight="1">
      <x:c r="A1103" s="13" t="str">
        <x:v>QA-INT-057</x:v>
      </x:c>
      <x:c r="B1103" s="13" t="str">
        <x:v>Pedidos/OrderNotes: integración de IVA</x:v>
      </x:c>
      <x:c r="C1103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Pedidos/OrderNotes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103" s="13" t="str">
        <x:v>1. Entrar por Pedidos/OrderNotes,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03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103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04" ht="180" customHeight="1">
      <x:c r="A1104" s="13" t="str">
        <x:v>QA-INT-058</x:v>
      </x:c>
      <x:c r="B1104" s="13" t="str">
        <x:v>Pedidos/OrderNotes: integración de ISLR</x:v>
      </x:c>
      <x:c r="C1104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Pedidos/OrderNotes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104" s="13" t="str">
        <x:v>1. Entrar por Pedidos/OrderNotes,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04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104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05" ht="180" customHeight="1">
      <x:c r="A1105" s="13" t="str">
        <x:v>QA-INT-059</x:v>
      </x:c>
      <x:c r="B1105" s="13" t="str">
        <x:v>Pedidos/OrderNotes: integración de IVA+ISLR</x:v>
      </x:c>
      <x:c r="C1105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Pedidos/OrderNotes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105" s="13" t="str">
        <x:v>1. Entrar por Pedidos/OrderNotes,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05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105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06" ht="180" customHeight="1">
      <x:c r="A1106" s="13" t="str">
        <x:v>QA-INT-060</x:v>
      </x:c>
      <x:c r="B1106" s="13" t="str">
        <x:v>Servicio técnico: integración de IVA</x:v>
      </x:c>
      <x:c r="C1106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Servicio técnico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106" s="13" t="str">
        <x:v>1. Entrar por Servicio técnico,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06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106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07" ht="180" customHeight="1">
      <x:c r="A1107" s="13" t="str">
        <x:v>QA-INT-061</x:v>
      </x:c>
      <x:c r="B1107" s="13" t="str">
        <x:v>Servicio técnico: integración de ISLR</x:v>
      </x:c>
      <x:c r="C1107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Servicio técnico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107" s="13" t="str">
        <x:v>1. Entrar por Servicio técnico,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07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107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08" ht="180" customHeight="1">
      <x:c r="A1108" s="13" t="str">
        <x:v>QA-INT-062</x:v>
      </x:c>
      <x:c r="B1108" s="13" t="str">
        <x:v>Servicio técnico: integración de IVA+ISLR</x:v>
      </x:c>
      <x:c r="C1108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Servicio técnico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108" s="13" t="str">
        <x:v>1. Entrar por Servicio técnico,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08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108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09" ht="180" customHeight="1">
      <x:c r="A1109" s="13" t="str">
        <x:v>QA-INT-063</x:v>
      </x:c>
      <x:c r="B1109" s="13" t="str">
        <x:v>Suscription: integración de IVA</x:v>
      </x:c>
      <x:c r="C1109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Suscription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109" s="13" t="str">
        <x:v>1. Entrar por Suscription,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09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109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10" ht="180" customHeight="1">
      <x:c r="A1110" s="13" t="str">
        <x:v>QA-INT-064</x:v>
      </x:c>
      <x:c r="B1110" s="13" t="str">
        <x:v>Suscription: integración de ISLR</x:v>
      </x:c>
      <x:c r="C1110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Suscription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110" s="13" t="str">
        <x:v>1. Entrar por Suscription,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10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110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11" ht="180" customHeight="1">
      <x:c r="A1111" s="13" t="str">
        <x:v>QA-INT-065</x:v>
      </x:c>
      <x:c r="B1111" s="13" t="str">
        <x:v>Suscription: integración de IVA+ISLR</x:v>
      </x:c>
      <x:c r="C1111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Suscription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111" s="13" t="str">
        <x:v>1. Entrar por Suscription,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11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111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12" ht="180" customHeight="1">
      <x:c r="A1112" s="13" t="str">
        <x:v>QA-INT-066</x:v>
      </x:c>
      <x:c r="B1112" s="13" t="str">
        <x:v>FullSuscription: integración de IVA</x:v>
      </x:c>
      <x:c r="C1112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FullSuscription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112" s="13" t="str">
        <x:v>1. Entrar por FullSuscription,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12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112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13" ht="180" customHeight="1">
      <x:c r="A1113" s="13" t="str">
        <x:v>QA-INT-067</x:v>
      </x:c>
      <x:c r="B1113" s="13" t="str">
        <x:v>FullSuscription: integración de ISLR</x:v>
      </x:c>
      <x:c r="C1113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FullSuscription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113" s="13" t="str">
        <x:v>1. Entrar por FullSuscription,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13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113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14" ht="180" customHeight="1">
      <x:c r="A1114" s="13" t="str">
        <x:v>QA-INT-068</x:v>
      </x:c>
      <x:c r="B1114" s="13" t="str">
        <x:v>FullSuscription: integración de IVA+ISLR</x:v>
      </x:c>
      <x:c r="C1114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FullSuscription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114" s="13" t="str">
        <x:v>1. Entrar por FullSuscription,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14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114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15" ht="180" customHeight="1">
      <x:c r="A1115" s="13" t="str">
        <x:v>QA-INT-069</x:v>
      </x:c>
      <x:c r="B1115" s="13" t="str">
        <x:v>Restaurante mediante POS: integración de IVA</x:v>
      </x:c>
      <x:c r="C1115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Restaurante mediante POS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115" s="13" t="str">
        <x:v>1. Entrar por Restaurante mediante POS,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15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115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16" ht="180" customHeight="1">
      <x:c r="A1116" s="13" t="str">
        <x:v>QA-INT-070</x:v>
      </x:c>
      <x:c r="B1116" s="13" t="str">
        <x:v>Restaurante mediante POS: integración de ISLR</x:v>
      </x:c>
      <x:c r="C1116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Restaurante mediante POS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116" s="13" t="str">
        <x:v>1. Entrar por Restaurante mediante POS,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16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116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17" ht="180" customHeight="1">
      <x:c r="A1117" s="13" t="str">
        <x:v>QA-INT-071</x:v>
      </x:c>
      <x:c r="B1117" s="13" t="str">
        <x:v>Restaurante mediante POS: integración de IVA+ISLR</x:v>
      </x:c>
      <x:c r="C1117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Restaurante mediante POS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117" s="13" t="str">
        <x:v>1. Entrar por Restaurante mediante POS,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17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117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18" ht="180" customHeight="1">
      <x:c r="A1118" s="13" t="str">
        <x:v>QA-INT-072</x:v>
      </x:c>
      <x:c r="B1118" s="13" t="str">
        <x:v>API autenticada: integración de IVA</x:v>
      </x:c>
      <x:c r="C1118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API autenticada habilitado, identidad doméstica válida, Factura 01/0101, total 116 VES, perfil comprador facultado para IVA. Previsión 12, neto 104; abono manual 30 antes de abrir Pagos y soporte real QA por impuesto. Verificar endpoint/escritor real; no inventar controles ausentes.</x:v>
      </x:c>
      <x:c r="D1118" s="13" t="str">
        <x:v>1. Entrar por API autenticada, elegir Factura y activar/consultar IVA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18" s="13" t="str">
        <x:v>Abono 30 intacto/caja 30, deuda 86 antes aplicaciones; propuesta 12 informativa y remanente neto 74. Tras aplicación local válida de IVA: saldo 74, sin otra caja. UI y DTO separan impuestos/estados; factura neta no se envía con flag false y no autofill 116/104. Registrar por separado cada escritor/control/variante y la prueba simulada no acredita DEMO real.
Control independiente: 116−30=86; 86−12=74. Previsión sólo propone; sólo comprobante applied reduce. Δstock P-G=−1 por venta, nunca por registro/reversión retención.</x:v>
      </x:c>
      <x:c r="F1118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19" ht="180" customHeight="1">
      <x:c r="A1119" s="13" t="str">
        <x:v>QA-INT-073</x:v>
      </x:c>
      <x:c r="B1119" s="13" t="str">
        <x:v>API autenticada: integración de ISLR</x:v>
      </x:c>
      <x:c r="C1119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API autenticada habilitado, identidad doméstica válida, Factura 01/0101, total 116 VES, perfil comprador facultado para ISLR. Previsión 3, neto 113; abono manual 30 antes de abrir Pagos y soporte real QA por impuesto. Verificar endpoint/escritor real; no inventar controles ausentes.</x:v>
      </x:c>
      <x:c r="D1119" s="13" t="str">
        <x:v>1. Entrar por API autenticada, elegir Factura y activar/consultar 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19" s="13" t="str">
        <x:v>Abono 30 intacto/caja 30, deuda 86 antes aplicaciones; propuesta 3 informativa y remanente neto 83. Tras aplicación local válida de ISLR: saldo 83, sin otra caja. UI y DTO separan impuestos/estados; factura neta no se envía con flag false y no autofill 116/113. Registrar por separado cada escritor/control/variante y la prueba simulada no acredita DEMO real.
Control independiente: 116−30=86; 86−3=83. Previsión sólo propone; sólo comprobante applied reduce. Δstock P-G=−1 por venta, nunca por registro/reversión retención.</x:v>
      </x:c>
      <x:c r="F1119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20" ht="180" customHeight="1">
      <x:c r="A1120" s="13" t="str">
        <x:v>QA-INT-074</x:v>
      </x:c>
      <x:c r="B1120" s="13" t="str">
        <x:v>API autenticada: integración de IVA+ISLR</x:v>
      </x:c>
      <x:c r="C1120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Canal API autenticada habilitado, identidad doméstica válida, Factura 01/0101, total 116 VES, perfil comprador facultado para IVA+ISLR. Previsión 15, neto 101; abono manual 30 antes de abrir Pagos y soporte real QA por impuesto. Verificar endpoint/escritor real; no inventar controles ausentes.</x:v>
      </x:c>
      <x:c r="D1120" s="13" t="str">
        <x:v>1. Entrar por API autenticada, elegir Factura y activar/consultar IVA+ISLR mediante sus controles existentes; registrar dónde ofrece gestión posterior si no hay registro inline.
2. Introducir abono 30 y conservar UUID/fecha/destino; cerrar/reabrir Pagos o recuperar borrador cuando canal lo ofrece.
3. Guardar sólo el abono 30 real, consultar previsiones/comprobantes por impuesto y verificar restricción HKA con capacidades false.
4. En variante HTTP con doble confirmed y saldo disponible, completar registro local válido de los impuestos; consultar opcionales gestión/query/reverse y recargar detalle.</x:v>
      </x:c>
      <x:c r="E1120" s="13" t="str">
        <x:v>Abono 30 intacto/caja 30, deuda 86 antes aplicaciones; propuesta 15 informativa y remanente neto 71. Tras aplicación local válida de IVA+ISLR: saldo 71, sin otra caja. UI y DTO separan impuestos/estados; factura neta no se envía con flag false y no autofill 116/101. Registrar por separado cada escritor/control/variante y la prueba simulada no acredita DEMO real.
Control independiente: 116−30=86; 86−15=71. Previsión sólo propone; sólo comprobante applied reduce. Δstock P-G=−1 por venta, nunca por registro/reversión retención.</x:v>
      </x:c>
      <x:c r="F1120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21" ht="168" customHeight="1">
      <x:c r="A1121" s="13" t="str">
        <x:v>QA-INT-075</x:v>
      </x:c>
      <x:c r="B1121" s="13" t="str">
        <x:v>Capacidad combinada IVA+ISLR: VES / Contado</x:v>
      </x:c>
      <x:c r="C1121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116 VES; IVA prevista 12/ISLR prevista 3, capacidades IVA/ISLR false; condición Contado, pago 0 si sin abono y 101 en otras.</x:v>
      </x:c>
      <x:c r="D1121" s="13" t="str">
        <x:v>1. Guardar registro comercial según condición y capturar saldo real.
2. Consultar preparación/ can_send y solicitar envío explícito por UI/HTTP.
3. Revisar diagnóstico, contador HKA y pagos; cualquier verificación de flags alternos se hace sólo en doble aislado.</x:v>
      </x:c>
      <x:c r="E1121" s="13" t="str">
        <x:v>No enviar cobro neto combinado con capacidades sin verificación; diagnóstico claro y can_send =false antes de Emision. Cero pago extra/falso. Activar sólo un flag en doble no acredita capacidad combinada; requiere ambas capacidades y verificaciones propias por moneda.
Control independiente: Pago 101→deuda 15; pago 0→deuda 116. Previsiones 12+3 no reducen saldo; llamadas Emision 0.</x:v>
      </x:c>
      <x:c r="F1121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22" ht="168" customHeight="1">
      <x:c r="A1122" s="13" t="str">
        <x:v>QA-INT-076</x:v>
      </x:c>
      <x:c r="B1122" s="13" t="str">
        <x:v>Capacidad combinada IVA+ISLR: VES / Crédito sin abono</x:v>
      </x:c>
      <x:c r="C1122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116 VES; IVA prevista 12/ISLR prevista 3, capacidades IVA/ISLR false; condición Crédito sin abono, pago 0 si sin abono y 101 en otras.</x:v>
      </x:c>
      <x:c r="D1122" s="13" t="str">
        <x:v>1. Guardar registro comercial según condición y capturar saldo real.
2. Consultar preparación/ can_send y solicitar envío explícito por UI/HTTP.
3. Revisar diagnóstico, contador HKA y pagos; cualquier verificación de flags alternos se hace sólo en doble aislado.</x:v>
      </x:c>
      <x:c r="E1122" s="13" t="str">
        <x:v>No enviar cobro neto combinado con capacidades sin verificación; diagnóstico claro y can_send =false antes de Emision. Cero pago extra/falso. Activar sólo un flag en doble no acredita capacidad combinada; requiere ambas capacidades y verificaciones propias por moneda.
Control independiente: Pago 101→deuda 15; pago 0→deuda 116. Previsiones 12+3 no reducen saldo; llamadas Emision 0.</x:v>
      </x:c>
      <x:c r="F1122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23" ht="168" customHeight="1">
      <x:c r="A1123" s="13" t="str">
        <x:v>QA-INT-077</x:v>
      </x:c>
      <x:c r="B1123" s="13" t="str">
        <x:v>Capacidad combinada IVA+ISLR: VES / Crédito con abono</x:v>
      </x:c>
      <x:c r="C1123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116 VES; IVA prevista 12/ISLR prevista 3, capacidades IVA/ISLR false; condición Crédito con abono, pago 0 si sin abono y 101 en otras.</x:v>
      </x:c>
      <x:c r="D1123" s="13" t="str">
        <x:v>1. Guardar registro comercial según condición y capturar saldo real.
2. Consultar preparación/ can_send y solicitar envío explícito por UI/HTTP.
3. Revisar diagnóstico, contador HKA y pagos; cualquier verificación de flags alternos se hace sólo en doble aislado.</x:v>
      </x:c>
      <x:c r="E1123" s="13" t="str">
        <x:v>No enviar cobro neto combinado con capacidades sin verificación; diagnóstico claro y can_send =false antes de Emision. Cero pago extra/falso. Activar sólo un flag en doble no acredita capacidad combinada; requiere ambas capacidades y verificaciones propias por moneda.
Control independiente: Pago 101→deuda 15; pago 0→deuda 116. Previsiones 12+3 no reducen saldo; llamadas Emision 0.</x:v>
      </x:c>
      <x:c r="F1123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24" ht="168" customHeight="1">
      <x:c r="A1124" s="13" t="str">
        <x:v>QA-INT-078</x:v>
      </x:c>
      <x:c r="B1124" s="13" t="str">
        <x:v>Capacidad combinada IVA+ISLR: USD / Contado</x:v>
      </x:c>
      <x:c r="C1124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116 USD; IVA prevista 12/ISLR prevista 3, capacidades IVA/ISLR false; condición Contado, pago 0 si sin abono y 101 en otras.</x:v>
      </x:c>
      <x:c r="D1124" s="13" t="str">
        <x:v>1. Guardar registro comercial según condición y capturar saldo real.
2. Consultar preparación/ can_send y solicitar envío explícito por UI/HTTP.
3. Revisar diagnóstico, contador HKA y pagos; cualquier verificación de flags alternos se hace sólo en doble aislado.</x:v>
      </x:c>
      <x:c r="E1124" s="13" t="str">
        <x:v>No enviar cobro neto combinado con capacidades sin verificación; diagnóstico claro y can_send =false antes de Emision. Cero pago extra/falso. Activar sólo un flag en doble no acredita capacidad combinada; requiere ambas capacidades y verificaciones propias por moneda.
Control independiente: Pago 101→deuda 15; pago 0→deuda 116. Previsiones 12+3 no reducen saldo; llamadas Emision 0.</x:v>
      </x:c>
      <x:c r="F1124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25" ht="168" customHeight="1">
      <x:c r="A1125" s="13" t="str">
        <x:v>QA-INT-079</x:v>
      </x:c>
      <x:c r="B1125" s="13" t="str">
        <x:v>Capacidad combinada IVA+ISLR: USD / Crédito sin abono</x:v>
      </x:c>
      <x:c r="C1125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116 USD; IVA prevista 12/ISLR prevista 3, capacidades IVA/ISLR false; condición Crédito sin abono, pago 0 si sin abono y 101 en otras.</x:v>
      </x:c>
      <x:c r="D1125" s="13" t="str">
        <x:v>1. Guardar registro comercial según condición y capturar saldo real.
2. Consultar preparación/ can_send y solicitar envío explícito por UI/HTTP.
3. Revisar diagnóstico, contador HKA y pagos; cualquier verificación de flags alternos se hace sólo en doble aislado.</x:v>
      </x:c>
      <x:c r="E1125" s="13" t="str">
        <x:v>No enviar cobro neto combinado con capacidades sin verificación; diagnóstico claro y can_send =false antes de Emision. Cero pago extra/falso. Activar sólo un flag en doble no acredita capacidad combinada; requiere ambas capacidades y verificaciones propias por moneda.
Control independiente: Pago 101→deuda 15; pago 0→deuda 116. Previsiones 12+3 no reducen saldo; llamadas Emision 0.</x:v>
      </x:c>
      <x:c r="F1125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26" ht="168" customHeight="1">
      <x:c r="A1126" s="13" t="str">
        <x:v>QA-INT-080</x:v>
      </x:c>
      <x:c r="B1126" s="13" t="str">
        <x:v>Capacidad combinada IVA+ISLR: USD / Crédito con abono</x:v>
      </x:c>
      <x:c r="C1126" s="13" t="str">
        <x:v>QA-A/QA-B y S1/S2 con caja y stock controlados. Emisor ordinary/no SPE para aislar retenciones, comprador con facultades IVA e ISLR independientes. P-G: base 100, IVA 16, total 116 en moneda nominal del caso; previsiones IVA 12 e ISLR 3 (concepto 002/base 100/3 %/sustraendo 0). Todos los comprobantes tienen soporte privado, UUID propio, referencia exacta y fecha 12/10/2026. Para aplicación positiva usar factura/control confirmed del doble; nunca contabilizarla como emisión real. Ambas capacidades HKA de cobro netofalse. Restaurar borradores/pagos reales sin autorrellenar total ni dividir abonos.
Factura 116 USD; IVA prevista 12/ISLR prevista 3, capacidades IVA/ISLR false; condición Crédito con abono, pago 0 si sin abono y 101 en otras.</x:v>
      </x:c>
      <x:c r="D1126" s="13" t="str">
        <x:v>1. Guardar registro comercial según condición y capturar saldo real.
2. Consultar preparación/ can_send y solicitar envío explícito por UI/HTTP.
3. Revisar diagnóstico, contador HKA y pagos; cualquier verificación de flags alternos se hace sólo en doble aislado.</x:v>
      </x:c>
      <x:c r="E1126" s="13" t="str">
        <x:v>No enviar cobro neto combinado con capacidades sin verificación; diagnóstico claro y can_send =false antes de Emision. Cero pago extra/falso. Activar sólo un flag en doble no acredita capacidad combinada; requiere ambas capacidades y verificaciones propias por moneda.
Control independiente: Pago 101→deuda 15; pago 0→deuda 116. Previsiones 12+3 no reducen saldo; llamadas Emision 0.</x:v>
      </x:c>
      <x:c r="F1126" s="13" t="str">
        <x:v>Fuentes: app/Services/Fiscal/FiscalDocumentPersistence.php, app/Services/Fiscal/ReceivedRetentionService.php, app/Services/Fiscal/HkaIvaRetentionCapability.php, app/Services/Fiscal/HkaIslrRetentionCapability.php, resources/js/mixins/iva-retention.js, resources/js/views/tenant/documents/partials/payments.vue, resources/js/views/tenant/pos/partials/payment.vue, tests/js/fiscal-payment-ui.test.cjs, tests/Support/IvaRetentionPersistenceCases.php, tests/Support/IslrRetentionPersistenceCases.php, routes/web.php, routes/api.php
Entrada: Web/POS/Garage; conversiones; API; Pagos; reportes y recuperación
Después: Recargar detalle y consultar persistencia autorizada. Comparar identidad, versiones, UUID, saldo, stock, caja y operaciones antes/después; ningún efecto adicional al descrito. Separar aplicación local de confirmación HKA y de PDF/correo.
Evidencia: Guardar captura del control y resultado, request/response saneados, lectura antes/después, cálculo independiente, identificadores y contador/bitácora del doble. Para Real DEMO añadir control y consulta atribuibles a esta corrida. No adjuntar secretos ni usar evidencia histórica como ejecución.</x:v>
      </x:c>
    </x:row>
    <x:row r="1127" ht="390" customHeight="1">
      <x:c r="A1127" s="13" t="str">
        <x:v>QA-NHD-001</x:v>
      </x:c>
      <x:c r="B1127" s="13" t="str">
        <x:v>NC 01 Anulación total / VES / propia / R0 Sin régimen / sin cobro propio</x:v>
      </x:c>
      <x:c r="C112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F-NC-01-VES-T0-R0-C0: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special_tax_regime_id=null (Sin régimen);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2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27" s="13" t="str">
        <x:v>NC interna 07 → HKA 02, tipoTransaccion=03; no heredar 99 como transacción de nota. Total local 232.00 VES, base 200.00, IVA 32.00; Δstock=+2 UND en almacén original. Heredar tercero/régimen sin consultar datos mutados. Referencia mantiene total original 232, tasa original 50 y control de F. Principal fiscal HKA 232.00 VES si USD; el dinero local permanece VES.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USD×tasa=232.00 VES. Δstock=2; Δcobros=0; Δdevoluciones=0. Saldo F=232−232−NC+devolución; ND=11.60−cobros ND. A4/A5 nunca alteran valores locales.</x:v>
      </x:c>
      <x:c r="F112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28" ht="390" customHeight="1">
      <x:c r="A1128" s="13" t="str">
        <x:v>QA-NHD-002</x:v>
      </x:c>
      <x:c r="B1128" s="13" t="str">
        <x:v>NC 01 Anulación total / VES / propia / R1 Zonas económicas especiales / sin cobro propio</x:v>
      </x:c>
      <x:c r="C112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F-NC-01-VES-T0-R1-C0: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special_tax_regime_id=1 (Zonas económicas especiales);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2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28" s="13" t="str">
        <x:v>NC interna 07 → HKA 02, tipoTransaccion=03; no heredar 99 como transacción de nota. Total local 232.00 VES, base 200.00, IVA 32.00; Δstock=+2 UND en almacén original. Heredar tercero/régimen sin consultar datos mutados. Referencia mantiene total original 232, tasa original 50 y control de F. Principal fiscal HKA 232.00 VES si USD; el dinero local permanece VES.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USD×tasa=232.00 VES. Δstock=2; Δcobros=0; Δdevoluciones=0. Saldo F=232−232−NC+devolución; ND=11.60−cobros ND. A4/A5 nunca alteran valores locales.</x:v>
      </x:c>
      <x:c r="F112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29" ht="390" customHeight="1">
      <x:c r="A1129" s="13" t="str">
        <x:v>QA-NHD-003</x:v>
      </x:c>
      <x:c r="B1129" s="13" t="str">
        <x:v>NC 01 Anulación total / VES / propia / R2 Zona franca de Paraguaná / sin cobro propio</x:v>
      </x:c>
      <x:c r="C112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F-NC-01-VES-T0-R2-C0: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special_tax_regime_id=2 (Zona franca de Paraguaná);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2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29" s="13" t="str">
        <x:v>NC interna 07 → HKA 02, tipoTransaccion=03; no heredar 99 como transacción de nota. Total local 232.00 VES, base 200.00, IVA 32.00; Δstock=+2 UND en almacén original. Heredar tercero/régimen sin consultar datos mutados. Referencia mantiene total original 232, tasa original 50 y control de F. Principal fiscal HKA 232.00 VES si USD; el dinero local permanece VES.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USD×tasa=232.00 VES. Δstock=2; Δcobros=0; Δdevoluciones=0. Saldo F=232−232−NC+devolución; ND=11.60−cobros ND. A4/A5 nunca alteran valores locales.</x:v>
      </x:c>
      <x:c r="F112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30" ht="390" customHeight="1">
      <x:c r="A1130" s="13" t="str">
        <x:v>QA-NHD-004</x:v>
      </x:c>
      <x:c r="B1130" s="13" t="str">
        <x:v>NC 01 Anulación total / VES / propia / R3 Zona libre de Paraguaná / sin cobro propio</x:v>
      </x:c>
      <x:c r="C113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F-NC-01-VES-T0-R3-C0: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special_tax_regime_id=3 (Zona libre de Paraguaná);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3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30" s="13" t="str">
        <x:v>NC interna 07 → HKA 02, tipoTransaccion=03; no heredar 99 como transacción de nota. Total local 232.00 VES, base 200.00, IVA 32.00; Δstock=+2 UND en almacén original. Heredar tercero/régimen sin consultar datos mutados. Referencia mantiene total original 232, tasa original 50 y control de F. Principal fiscal HKA 232.00 VES si USD; el dinero local permanece VES.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USD×tasa=232.00 VES. Δstock=2; Δcobros=0; Δdevoluciones=0. Saldo F=232−232−NC+devolución; ND=11.60−cobros ND. A4/A5 nunca alteran valores locales.</x:v>
      </x:c>
      <x:c r="F113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31" ht="390" customHeight="1">
      <x:c r="A1131" s="13" t="str">
        <x:v>QA-NHD-005</x:v>
      </x:c>
      <x:c r="B1131" s="13" t="str">
        <x:v>NC 01 Anulación total / VES / propia / R4 Puerto libre Santa Elena de Uairén / sin cobro propio</x:v>
      </x:c>
      <x:c r="C113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F-NC-01-VES-T0-R4-C0: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special_tax_regime_id=4 (Puerto libre Santa Elena de Uairén);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3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31" s="13" t="str">
        <x:v>NC interna 07 → HKA 02, tipoTransaccion=03; no heredar 99 como transacción de nota. Total local 232.00 VES, base 200.00, IVA 32.00; Δstock=+2 UND en almacén original. Heredar tercero/régimen sin consultar datos mutados. Referencia mantiene total original 232, tasa original 50 y control de F. Principal fiscal HKA 232.00 VES si USD; el dinero local permanece VES.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USD×tasa=232.00 VES. Δstock=2; Δcobros=0; Δdevoluciones=0. Saldo F=232−232−NC+devolución; ND=11.60−cobros ND. A4/A5 nunca alteran valores locales.</x:v>
      </x:c>
      <x:c r="F113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32" ht="390" customHeight="1">
      <x:c r="A1132" s="13" t="str">
        <x:v>QA-NHD-006</x:v>
      </x:c>
      <x:c r="B1132" s="13" t="str">
        <x:v>NC 01 Anulación total / VES / propia / R5 Zona Libre de Mérida / sin cobro propio</x:v>
      </x:c>
      <x:c r="C113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F-NC-01-VES-T0-R5-C0: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special_tax_regime_id=5 (Zona Libre de Mérida);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3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32" s="13" t="str">
        <x:v>NC interna 07 → HKA 02, tipoTransaccion=03; no heredar 99 como transacción de nota. Total local 232.00 VES, base 200.00, IVA 32.00; Δstock=+2 UND en almacén original. Heredar tercero/régimen sin consultar datos mutados. Referencia mantiene total original 232, tasa original 50 y control de F. Principal fiscal HKA 232.00 VES si USD; el dinero local permanece VES.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USD×tasa=232.00 VES. Δstock=2; Δcobros=0; Δdevoluciones=0. Saldo F=232−232−NC+devolución; ND=11.60−cobros ND. A4/A5 nunca alteran valores locales.</x:v>
      </x:c>
      <x:c r="F113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33" ht="390" customHeight="1">
      <x:c r="A1133" s="13" t="str">
        <x:v>QA-NHD-007</x:v>
      </x:c>
      <x:c r="B1133" s="13" t="str">
        <x:v>NC 01 Anulación total / VES / propia / R6 Puerto libre Estado Nueva Esparta / sin cobro propio</x:v>
      </x:c>
      <x:c r="C113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F-NC-01-VES-T0-R6-C0: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special_tax_regime_id=6 (Puerto libre Estado Nueva Esparta);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3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33" s="13" t="str">
        <x:v>NC interna 07 → HKA 02, tipoTransaccion=03; no heredar 99 como transacción de nota. Total local 232.00 VES, base 200.00, IVA 32.00; Δstock=+2 UND en almacén original. Heredar tercero/régimen sin consultar datos mutados. Referencia mantiene total original 232, tasa original 50 y control de F. Principal fiscal HKA 232.00 VES si USD; el dinero local permanece VES.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USD×tasa=232.00 VES. Δstock=2; Δcobros=0; Δdevoluciones=0. Saldo F=232−232−NC+devolución; ND=11.60−cobros ND. A4/A5 nunca alteran valores locales.</x:v>
      </x:c>
      <x:c r="F113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34" ht="390" customHeight="1">
      <x:c r="A1134" s="13" t="str">
        <x:v>QA-NHD-008</x:v>
      </x:c>
      <x:c r="B1134" s="13" t="str">
        <x:v>NC 01 Anulación total / VES / propia / R7 Dutty Free / sin cobro propio</x:v>
      </x:c>
      <x:c r="C113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F-NC-01-VES-T0-R7-C0: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special_tax_regime_id=7 (Dutty Free);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3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34" s="13" t="str">
        <x:v>NC interna 07 → HKA 02, tipoTransaccion=03; no heredar 99 como transacción de nota. Total local 232.00 VES, base 200.00, IVA 32.00; Δstock=+2 UND en almacén original. Heredar tercero/régimen sin consultar datos mutados. Referencia mantiene total original 232, tasa original 50 y control de F. Principal fiscal HKA 232.00 VES si USD; el dinero local permanece VES.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USD×tasa=232.00 VES. Δstock=2; Δcobros=0; Δdevoluciones=0. Saldo F=232−232−NC+devolución; ND=11.60−cobros ND. A4/A5 nunca alteran valores locales.</x:v>
      </x:c>
      <x:c r="F113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35" ht="390" customHeight="1">
      <x:c r="A1135" s="13" t="str">
        <x:v>QA-NHD-009</x:v>
      </x:c>
      <x:c r="B1135" s="13" t="str">
        <x:v>NC 01 Anulación total / VES / terceros / R0 Sin régimen / sin cobro propio</x:v>
      </x:c>
      <x:c r="C113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F-NC-01-VES-T1-R0-C0: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special_tax_regime_id=null (Sin régimen);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3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35" s="13" t="str">
        <x:v>NC interna 07 → HKA 02, tipoTransaccion=03; no heredar 99 como transacción de nota. Total local 232.00 VES, base 200.00, IVA 32.00; Δstock=+2 UND en almacén original. Heredar tercero/régimen sin consultar datos mutados. Referencia mantiene total original 232, tasa original 50 y control de F. Principal fiscal HKA 232.00 VES si USD; el dinero local permanece VES.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USD×tasa=232.00 VES. Δstock=2; Δcobros=0; Δdevoluciones=0. Saldo F=232−232−NC+devolución; ND=11.60−cobros ND. A4/A5 nunca alteran valores locales.</x:v>
      </x:c>
      <x:c r="F113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36" ht="390" customHeight="1">
      <x:c r="A1136" s="13" t="str">
        <x:v>QA-NHD-010</x:v>
      </x:c>
      <x:c r="B1136" s="13" t="str">
        <x:v>NC 01 Anulación total / VES / terceros / R1 Zonas económicas especiales / sin cobro propio</x:v>
      </x:c>
      <x:c r="C113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F-NC-01-VES-T1-R1-C0: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special_tax_regime_id=1 (Zonas económicas especiales);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3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36" s="13" t="str">
        <x:v>NC interna 07 → HKA 02, tipoTransaccion=03; no heredar 99 como transacción de nota. Total local 232.00 VES, base 200.00, IVA 32.00; Δstock=+2 UND en almacén original. Heredar tercero/régimen sin consultar datos mutados. Referencia mantiene total original 232, tasa original 50 y control de F. Principal fiscal HKA 232.00 VES si USD; el dinero local permanece VES.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USD×tasa=232.00 VES. Δstock=2; Δcobros=0; Δdevoluciones=0. Saldo F=232−232−NC+devolución; ND=11.60−cobros ND. A4/A5 nunca alteran valores locales.</x:v>
      </x:c>
      <x:c r="F113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37" ht="390" customHeight="1">
      <x:c r="A1137" s="13" t="str">
        <x:v>QA-NHD-011</x:v>
      </x:c>
      <x:c r="B1137" s="13" t="str">
        <x:v>NC 01 Anulación total / VES / terceros / R2 Zona franca de Paraguaná / sin cobro propio</x:v>
      </x:c>
      <x:c r="C113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F-NC-01-VES-T1-R2-C0: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special_tax_regime_id=2 (Zona franca de Paraguaná);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3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37" s="13" t="str">
        <x:v>NC interna 07 → HKA 02, tipoTransaccion=03; no heredar 99 como transacción de nota. Total local 232.00 VES, base 200.00, IVA 32.00; Δstock=+2 UND en almacén original. Heredar tercero/régimen sin consultar datos mutados. Referencia mantiene total original 232, tasa original 50 y control de F. Principal fiscal HKA 232.00 VES si USD; el dinero local permanece VES.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USD×tasa=232.00 VES. Δstock=2; Δcobros=0; Δdevoluciones=0. Saldo F=232−232−NC+devolución; ND=11.60−cobros ND. A4/A5 nunca alteran valores locales.</x:v>
      </x:c>
      <x:c r="F113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38" ht="390" customHeight="1">
      <x:c r="A1138" s="13" t="str">
        <x:v>QA-NHD-012</x:v>
      </x:c>
      <x:c r="B1138" s="13" t="str">
        <x:v>NC 01 Anulación total / VES / terceros / R3 Zona libre de Paraguaná / sin cobro propio</x:v>
      </x:c>
      <x:c r="C113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F-NC-01-VES-T1-R3-C0: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special_tax_regime_id=3 (Zona libre de Paraguaná);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3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38" s="13" t="str">
        <x:v>NC interna 07 → HKA 02, tipoTransaccion=03; no heredar 99 como transacción de nota. Total local 232.00 VES, base 200.00, IVA 32.00; Δstock=+2 UND en almacén original. Heredar tercero/régimen sin consultar datos mutados. Referencia mantiene total original 232, tasa original 50 y control de F. Principal fiscal HKA 232.00 VES si USD; el dinero local permanece VES.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USD×tasa=232.00 VES. Δstock=2; Δcobros=0; Δdevoluciones=0. Saldo F=232−232−NC+devolución; ND=11.60−cobros ND. A4/A5 nunca alteran valores locales.</x:v>
      </x:c>
      <x:c r="F113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39" ht="390" customHeight="1">
      <x:c r="A1139" s="13" t="str">
        <x:v>QA-NHD-013</x:v>
      </x:c>
      <x:c r="B1139" s="13" t="str">
        <x:v>NC 01 Anulación total / VES / terceros / R4 Puerto libre Santa Elena de Uairén / sin cobro propio</x:v>
      </x:c>
      <x:c r="C113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F-NC-01-VES-T1-R4-C0: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special_tax_regime_id=4 (Puerto libre Santa Elena de Uairén);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3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39" s="13" t="str">
        <x:v>NC interna 07 → HKA 02, tipoTransaccion=03; no heredar 99 como transacción de nota. Total local 232.00 VES, base 200.00, IVA 32.00; Δstock=+2 UND en almacén original. Heredar tercero/régimen sin consultar datos mutados. Referencia mantiene total original 232, tasa original 50 y control de F. Principal fiscal HKA 232.00 VES si USD; el dinero local permanece VES.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USD×tasa=232.00 VES. Δstock=2; Δcobros=0; Δdevoluciones=0. Saldo F=232−232−NC+devolución; ND=11.60−cobros ND. A4/A5 nunca alteran valores locales.</x:v>
      </x:c>
      <x:c r="F113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40" ht="390" customHeight="1">
      <x:c r="A1140" s="13" t="str">
        <x:v>QA-NHD-014</x:v>
      </x:c>
      <x:c r="B1140" s="13" t="str">
        <x:v>NC 01 Anulación total / VES / terceros / R5 Zona Libre de Mérida / sin cobro propio</x:v>
      </x:c>
      <x:c r="C114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F-NC-01-VES-T1-R5-C0: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special_tax_regime_id=5 (Zona Libre de Mérida);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4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40" s="13" t="str">
        <x:v>NC interna 07 → HKA 02, tipoTransaccion=03; no heredar 99 como transacción de nota. Total local 232.00 VES, base 200.00, IVA 32.00; Δstock=+2 UND en almacén original. Heredar tercero/régimen sin consultar datos mutados. Referencia mantiene total original 232, tasa original 50 y control de F. Principal fiscal HKA 232.00 VES si USD; el dinero local permanece VES.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USD×tasa=232.00 VES. Δstock=2; Δcobros=0; Δdevoluciones=0. Saldo F=232−232−NC+devolución; ND=11.60−cobros ND. A4/A5 nunca alteran valores locales.</x:v>
      </x:c>
      <x:c r="F114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41" ht="390" customHeight="1">
      <x:c r="A1141" s="13" t="str">
        <x:v>QA-NHD-015</x:v>
      </x:c>
      <x:c r="B1141" s="13" t="str">
        <x:v>NC 01 Anulación total / VES / terceros / R6 Puerto libre Estado Nueva Esparta / sin cobro propio</x:v>
      </x:c>
      <x:c r="C114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F-NC-01-VES-T1-R6-C0: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special_tax_regime_id=6 (Puerto libre Estado Nueva Esparta);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4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41" s="13" t="str">
        <x:v>NC interna 07 → HKA 02, tipoTransaccion=03; no heredar 99 como transacción de nota. Total local 232.00 VES, base 200.00, IVA 32.00; Δstock=+2 UND en almacén original. Heredar tercero/régimen sin consultar datos mutados. Referencia mantiene total original 232, tasa original 50 y control de F. Principal fiscal HKA 232.00 VES si USD; el dinero local permanece VES.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USD×tasa=232.00 VES. Δstock=2; Δcobros=0; Δdevoluciones=0. Saldo F=232−232−NC+devolución; ND=11.60−cobros ND. A4/A5 nunca alteran valores locales.</x:v>
      </x:c>
      <x:c r="F114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42" ht="390" customHeight="1">
      <x:c r="A1142" s="13" t="str">
        <x:v>QA-NHD-016</x:v>
      </x:c>
      <x:c r="B1142" s="13" t="str">
        <x:v>NC 01 Anulación total / VES / terceros / R7 Dutty Free / sin cobro propio</x:v>
      </x:c>
      <x:c r="C114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F-NC-01-VES-T1-R7-C0: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special_tax_regime_id=7 (Dutty Free);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4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42" s="13" t="str">
        <x:v>NC interna 07 → HKA 02, tipoTransaccion=03; no heredar 99 como transacción de nota. Total local 232.00 VES, base 200.00, IVA 32.00; Δstock=+2 UND en almacén original. Heredar tercero/régimen sin consultar datos mutados. Referencia mantiene total original 232, tasa original 50 y control de F. Principal fiscal HKA 232.00 VES si USD; el dinero local permanece VES.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USD×tasa=232.00 VES. Δstock=2; Δcobros=0; Δdevoluciones=0. Saldo F=232−232−NC+devolución; ND=11.60−cobros ND. A4/A5 nunca alteran valores locales.</x:v>
      </x:c>
      <x:c r="F114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43" ht="390" customHeight="1">
      <x:c r="A1143" s="13" t="str">
        <x:v>QA-NHD-017</x:v>
      </x:c>
      <x:c r="B1143" s="13" t="str">
        <x:v>NC 01 Anulación total / USD / propia / R0 Sin régimen / sin cobro propio</x:v>
      </x:c>
      <x:c r="C114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F-NC-01-USD-T0-R0-C0: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special_tax_regime_id=null (Sin régimen);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4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43" s="13" t="str">
        <x:v>NC interna 07 → HKA 02, tipoTransaccion=03; no heredar 99 como transacción de nota. Total local 232.00 USD, base 200.00, IVA 32.00; Δstock=+2 UND en almacén original. Heredar tercero/régimen sin consultar datos mutados. Referencia mantiene total original 232, tasa original 50 y control de F. Principal fiscal HKA 11600.00 VES si USD; el dinero local permanece USD.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USD×tasa=11600.00 VES. Δstock=2; Δcobros=0; Δdevoluciones=0. Saldo F=232−232−NC+devolución; ND=11.60−cobros ND. A4/A5 nunca alteran valores locales.</x:v>
      </x:c>
      <x:c r="F114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44" ht="390" customHeight="1">
      <x:c r="A1144" s="13" t="str">
        <x:v>QA-NHD-018</x:v>
      </x:c>
      <x:c r="B1144" s="13" t="str">
        <x:v>NC 01 Anulación total / USD / propia / R1 Zonas económicas especiales / sin cobro propio</x:v>
      </x:c>
      <x:c r="C114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F-NC-01-USD-T0-R1-C0: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special_tax_regime_id=1 (Zonas económicas especiales);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4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44" s="13" t="str">
        <x:v>NC interna 07 → HKA 02, tipoTransaccion=03; no heredar 99 como transacción de nota. Total local 232.00 USD, base 200.00, IVA 32.00; Δstock=+2 UND en almacén original. Heredar tercero/régimen sin consultar datos mutados. Referencia mantiene total original 232, tasa original 50 y control de F. Principal fiscal HKA 11600.00 VES si USD; el dinero local permanece USD.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USD×tasa=11600.00 VES. Δstock=2; Δcobros=0; Δdevoluciones=0. Saldo F=232−232−NC+devolución; ND=11.60−cobros ND. A4/A5 nunca alteran valores locales.</x:v>
      </x:c>
      <x:c r="F114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45" ht="390" customHeight="1">
      <x:c r="A1145" s="13" t="str">
        <x:v>QA-NHD-019</x:v>
      </x:c>
      <x:c r="B1145" s="13" t="str">
        <x:v>NC 01 Anulación total / USD / propia / R2 Zona franca de Paraguaná / sin cobro propio</x:v>
      </x:c>
      <x:c r="C114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F-NC-01-USD-T0-R2-C0: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special_tax_regime_id=2 (Zona franca de Paraguaná);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4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45" s="13" t="str">
        <x:v>NC interna 07 → HKA 02, tipoTransaccion=03; no heredar 99 como transacción de nota. Total local 232.00 USD, base 200.00, IVA 32.00; Δstock=+2 UND en almacén original. Heredar tercero/régimen sin consultar datos mutados. Referencia mantiene total original 232, tasa original 50 y control de F. Principal fiscal HKA 11600.00 VES si USD; el dinero local permanece USD.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USD×tasa=11600.00 VES. Δstock=2; Δcobros=0; Δdevoluciones=0. Saldo F=232−232−NC+devolución; ND=11.60−cobros ND. A4/A5 nunca alteran valores locales.</x:v>
      </x:c>
      <x:c r="F114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46" ht="390" customHeight="1">
      <x:c r="A1146" s="13" t="str">
        <x:v>QA-NHD-020</x:v>
      </x:c>
      <x:c r="B1146" s="13" t="str">
        <x:v>NC 01 Anulación total / USD / propia / R3 Zona libre de Paraguaná / sin cobro propio</x:v>
      </x:c>
      <x:c r="C114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F-NC-01-USD-T0-R3-C0: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special_tax_regime_id=3 (Zona libre de Paraguaná);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4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46" s="13" t="str">
        <x:v>NC interna 07 → HKA 02, tipoTransaccion=03; no heredar 99 como transacción de nota. Total local 232.00 USD, base 200.00, IVA 32.00; Δstock=+2 UND en almacén original. Heredar tercero/régimen sin consultar datos mutados. Referencia mantiene total original 232, tasa original 50 y control de F. Principal fiscal HKA 11600.00 VES si USD; el dinero local permanece USD.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USD×tasa=11600.00 VES. Δstock=2; Δcobros=0; Δdevoluciones=0. Saldo F=232−232−NC+devolución; ND=11.60−cobros ND. A4/A5 nunca alteran valores locales.</x:v>
      </x:c>
      <x:c r="F114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47" ht="390" customHeight="1">
      <x:c r="A1147" s="13" t="str">
        <x:v>QA-NHD-021</x:v>
      </x:c>
      <x:c r="B1147" s="13" t="str">
        <x:v>NC 01 Anulación total / USD / propia / R4 Puerto libre Santa Elena de Uairén / sin cobro propio</x:v>
      </x:c>
      <x:c r="C114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F-NC-01-USD-T0-R4-C0: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special_tax_regime_id=4 (Puerto libre Santa Elena de Uairén);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4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47" s="13" t="str">
        <x:v>NC interna 07 → HKA 02, tipoTransaccion=03; no heredar 99 como transacción de nota. Total local 232.00 USD, base 200.00, IVA 32.00; Δstock=+2 UND en almacén original. Heredar tercero/régimen sin consultar datos mutados. Referencia mantiene total original 232, tasa original 50 y control de F. Principal fiscal HKA 11600.00 VES si USD; el dinero local permanece USD.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USD×tasa=11600.00 VES. Δstock=2; Δcobros=0; Δdevoluciones=0. Saldo F=232−232−NC+devolución; ND=11.60−cobros ND. A4/A5 nunca alteran valores locales.</x:v>
      </x:c>
      <x:c r="F114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48" ht="390" customHeight="1">
      <x:c r="A1148" s="13" t="str">
        <x:v>QA-NHD-022</x:v>
      </x:c>
      <x:c r="B1148" s="13" t="str">
        <x:v>NC 01 Anulación total / USD / propia / R5 Zona Libre de Mérida / sin cobro propio</x:v>
      </x:c>
      <x:c r="C114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F-NC-01-USD-T0-R5-C0: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special_tax_regime_id=5 (Zona Libre de Mérida);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4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48" s="13" t="str">
        <x:v>NC interna 07 → HKA 02, tipoTransaccion=03; no heredar 99 como transacción de nota. Total local 232.00 USD, base 200.00, IVA 32.00; Δstock=+2 UND en almacén original. Heredar tercero/régimen sin consultar datos mutados. Referencia mantiene total original 232, tasa original 50 y control de F. Principal fiscal HKA 11600.00 VES si USD; el dinero local permanece USD.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USD×tasa=11600.00 VES. Δstock=2; Δcobros=0; Δdevoluciones=0. Saldo F=232−232−NC+devolución; ND=11.60−cobros ND. A4/A5 nunca alteran valores locales.</x:v>
      </x:c>
      <x:c r="F114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49" ht="390" customHeight="1">
      <x:c r="A1149" s="13" t="str">
        <x:v>QA-NHD-023</x:v>
      </x:c>
      <x:c r="B1149" s="13" t="str">
        <x:v>NC 01 Anulación total / USD / propia / R6 Puerto libre Estado Nueva Esparta / sin cobro propio</x:v>
      </x:c>
      <x:c r="C114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F-NC-01-USD-T0-R6-C0: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special_tax_regime_id=6 (Puerto libre Estado Nueva Esparta);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4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49" s="13" t="str">
        <x:v>NC interna 07 → HKA 02, tipoTransaccion=03; no heredar 99 como transacción de nota. Total local 232.00 USD, base 200.00, IVA 32.00; Δstock=+2 UND en almacén original. Heredar tercero/régimen sin consultar datos mutados. Referencia mantiene total original 232, tasa original 50 y control de F. Principal fiscal HKA 11600.00 VES si USD; el dinero local permanece USD.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USD×tasa=11600.00 VES. Δstock=2; Δcobros=0; Δdevoluciones=0. Saldo F=232−232−NC+devolución; ND=11.60−cobros ND. A4/A5 nunca alteran valores locales.</x:v>
      </x:c>
      <x:c r="F114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50" ht="390" customHeight="1">
      <x:c r="A1150" s="13" t="str">
        <x:v>QA-NHD-024</x:v>
      </x:c>
      <x:c r="B1150" s="13" t="str">
        <x:v>NC 01 Anulación total / USD / propia / R7 Dutty Free / sin cobro propio</x:v>
      </x:c>
      <x:c r="C115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F-NC-01-USD-T0-R7-C0: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special_tax_regime_id=7 (Dutty Free);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5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50" s="13" t="str">
        <x:v>NC interna 07 → HKA 02, tipoTransaccion=03; no heredar 99 como transacción de nota. Total local 232.00 USD, base 200.00, IVA 32.00; Δstock=+2 UND en almacén original. Heredar tercero/régimen sin consultar datos mutados. Referencia mantiene total original 232, tasa original 50 y control de F. Principal fiscal HKA 11600.00 VES si USD; el dinero local permanece USD.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USD×tasa=11600.00 VES. Δstock=2; Δcobros=0; Δdevoluciones=0. Saldo F=232−232−NC+devolución; ND=11.60−cobros ND. A4/A5 nunca alteran valores locales.</x:v>
      </x:c>
      <x:c r="F115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51" ht="390" customHeight="1">
      <x:c r="A1151" s="13" t="str">
        <x:v>QA-NHD-025</x:v>
      </x:c>
      <x:c r="B1151" s="13" t="str">
        <x:v>NC 01 Anulación total / USD / terceros / R0 Sin régimen / sin cobro propio</x:v>
      </x:c>
      <x:c r="C115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F-NC-01-USD-T1-R0-C0: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special_tax_regime_id=null (Sin régimen);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5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51" s="13" t="str">
        <x:v>NC interna 07 → HKA 02, tipoTransaccion=03; no heredar 99 como transacción de nota. Total local 232.00 USD, base 200.00, IVA 32.00; Δstock=+2 UND en almacén original. Heredar tercero/régimen sin consultar datos mutados. Referencia mantiene total original 232, tasa original 50 y control de F. Principal fiscal HKA 11600.00 VES si USD; el dinero local permanece USD.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USD×tasa=11600.00 VES. Δstock=2; Δcobros=0; Δdevoluciones=0. Saldo F=232−232−NC+devolución; ND=11.60−cobros ND. A4/A5 nunca alteran valores locales.</x:v>
      </x:c>
      <x:c r="F115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52" ht="390" customHeight="1">
      <x:c r="A1152" s="13" t="str">
        <x:v>QA-NHD-026</x:v>
      </x:c>
      <x:c r="B1152" s="13" t="str">
        <x:v>NC 01 Anulación total / USD / terceros / R1 Zonas económicas especiales / sin cobro propio</x:v>
      </x:c>
      <x:c r="C115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F-NC-01-USD-T1-R1-C0: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special_tax_regime_id=1 (Zonas económicas especiales);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5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52" s="13" t="str">
        <x:v>NC interna 07 → HKA 02, tipoTransaccion=03; no heredar 99 como transacción de nota. Total local 232.00 USD, base 200.00, IVA 32.00; Δstock=+2 UND en almacén original. Heredar tercero/régimen sin consultar datos mutados. Referencia mantiene total original 232, tasa original 50 y control de F. Principal fiscal HKA 11600.00 VES si USD; el dinero local permanece USD.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USD×tasa=11600.00 VES. Δstock=2; Δcobros=0; Δdevoluciones=0. Saldo F=232−232−NC+devolución; ND=11.60−cobros ND. A4/A5 nunca alteran valores locales.</x:v>
      </x:c>
      <x:c r="F115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53" ht="390" customHeight="1">
      <x:c r="A1153" s="13" t="str">
        <x:v>QA-NHD-027</x:v>
      </x:c>
      <x:c r="B1153" s="13" t="str">
        <x:v>NC 01 Anulación total / USD / terceros / R2 Zona franca de Paraguaná / sin cobro propio</x:v>
      </x:c>
      <x:c r="C115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F-NC-01-USD-T1-R2-C0: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special_tax_regime_id=2 (Zona franca de Paraguaná);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5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53" s="13" t="str">
        <x:v>NC interna 07 → HKA 02, tipoTransaccion=03; no heredar 99 como transacción de nota. Total local 232.00 USD, base 200.00, IVA 32.00; Δstock=+2 UND en almacén original. Heredar tercero/régimen sin consultar datos mutados. Referencia mantiene total original 232, tasa original 50 y control de F. Principal fiscal HKA 11600.00 VES si USD; el dinero local permanece USD.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USD×tasa=11600.00 VES. Δstock=2; Δcobros=0; Δdevoluciones=0. Saldo F=232−232−NC+devolución; ND=11.60−cobros ND. A4/A5 nunca alteran valores locales.</x:v>
      </x:c>
      <x:c r="F115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54" ht="390" customHeight="1">
      <x:c r="A1154" s="13" t="str">
        <x:v>QA-NHD-028</x:v>
      </x:c>
      <x:c r="B1154" s="13" t="str">
        <x:v>NC 01 Anulación total / USD / terceros / R3 Zona libre de Paraguaná / sin cobro propio</x:v>
      </x:c>
      <x:c r="C115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F-NC-01-USD-T1-R3-C0: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special_tax_regime_id=3 (Zona libre de Paraguaná);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5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54" s="13" t="str">
        <x:v>NC interna 07 → HKA 02, tipoTransaccion=03; no heredar 99 como transacción de nota. Total local 232.00 USD, base 200.00, IVA 32.00; Δstock=+2 UND en almacén original. Heredar tercero/régimen sin consultar datos mutados. Referencia mantiene total original 232, tasa original 50 y control de F. Principal fiscal HKA 11600.00 VES si USD; el dinero local permanece USD.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USD×tasa=11600.00 VES. Δstock=2; Δcobros=0; Δdevoluciones=0. Saldo F=232−232−NC+devolución; ND=11.60−cobros ND. A4/A5 nunca alteran valores locales.</x:v>
      </x:c>
      <x:c r="F115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55" ht="390" customHeight="1">
      <x:c r="A1155" s="13" t="str">
        <x:v>QA-NHD-029</x:v>
      </x:c>
      <x:c r="B1155" s="13" t="str">
        <x:v>NC 01 Anulación total / USD / terceros / R4 Puerto libre Santa Elena de Uairén / sin cobro propio</x:v>
      </x:c>
      <x:c r="C115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F-NC-01-USD-T1-R4-C0: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special_tax_regime_id=4 (Puerto libre Santa Elena de Uairén);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5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55" s="13" t="str">
        <x:v>NC interna 07 → HKA 02, tipoTransaccion=03; no heredar 99 como transacción de nota. Total local 232.00 USD, base 200.00, IVA 32.00; Δstock=+2 UND en almacén original. Heredar tercero/régimen sin consultar datos mutados. Referencia mantiene total original 232, tasa original 50 y control de F. Principal fiscal HKA 11600.00 VES si USD; el dinero local permanece USD.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USD×tasa=11600.00 VES. Δstock=2; Δcobros=0; Δdevoluciones=0. Saldo F=232−232−NC+devolución; ND=11.60−cobros ND. A4/A5 nunca alteran valores locales.</x:v>
      </x:c>
      <x:c r="F115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56" ht="390" customHeight="1">
      <x:c r="A1156" s="13" t="str">
        <x:v>QA-NHD-030</x:v>
      </x:c>
      <x:c r="B1156" s="13" t="str">
        <x:v>NC 01 Anulación total / USD / terceros / R5 Zona Libre de Mérida / sin cobro propio</x:v>
      </x:c>
      <x:c r="C115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F-NC-01-USD-T1-R5-C0: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special_tax_regime_id=5 (Zona Libre de Mérida);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5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56" s="13" t="str">
        <x:v>NC interna 07 → HKA 02, tipoTransaccion=03; no heredar 99 como transacción de nota. Total local 232.00 USD, base 200.00, IVA 32.00; Δstock=+2 UND en almacén original. Heredar tercero/régimen sin consultar datos mutados. Referencia mantiene total original 232, tasa original 50 y control de F. Principal fiscal HKA 11600.00 VES si USD; el dinero local permanece USD.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USD×tasa=11600.00 VES. Δstock=2; Δcobros=0; Δdevoluciones=0. Saldo F=232−232−NC+devolución; ND=11.60−cobros ND. A4/A5 nunca alteran valores locales.</x:v>
      </x:c>
      <x:c r="F115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57" ht="390" customHeight="1">
      <x:c r="A1157" s="13" t="str">
        <x:v>QA-NHD-031</x:v>
      </x:c>
      <x:c r="B1157" s="13" t="str">
        <x:v>NC 01 Anulación total / USD / terceros / R6 Puerto libre Estado Nueva Esparta / sin cobro propio</x:v>
      </x:c>
      <x:c r="C115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F-NC-01-USD-T1-R6-C0: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special_tax_regime_id=6 (Puerto libre Estado Nueva Esparta);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5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57" s="13" t="str">
        <x:v>NC interna 07 → HKA 02, tipoTransaccion=03; no heredar 99 como transacción de nota. Total local 232.00 USD, base 200.00, IVA 32.00; Δstock=+2 UND en almacén original. Heredar tercero/régimen sin consultar datos mutados. Referencia mantiene total original 232, tasa original 50 y control de F. Principal fiscal HKA 11600.00 VES si USD; el dinero local permanece USD.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USD×tasa=11600.00 VES. Δstock=2; Δcobros=0; Δdevoluciones=0. Saldo F=232−232−NC+devolución; ND=11.60−cobros ND. A4/A5 nunca alteran valores locales.</x:v>
      </x:c>
      <x:c r="F115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58" ht="390" customHeight="1">
      <x:c r="A1158" s="13" t="str">
        <x:v>QA-NHD-032</x:v>
      </x:c>
      <x:c r="B1158" s="13" t="str">
        <x:v>NC 01 Anulación total / USD / terceros / R7 Dutty Free / sin cobro propio</x:v>
      </x:c>
      <x:c r="C115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F-NC-01-USD-T1-R7-C0: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special_tax_regime_id=7 (Dutty Free); validar texto exacto del catálogo en snapshot. Nota: sin condición de cobro y sin pagos propios; selección automática del remanente de las dos unidades; tasa 50.00000000 original de la factura. UUID note_creation_key nuevo y enlaces affected_document_item_id reales. Aplican los fixtures y precondiciones comunes del grupo; sólo crear datos sintéticos propios de la corrida.</x:v>
      </x:c>
      <x:c r="D115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selección automática del remanente de las dos unidades,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58" s="13" t="str">
        <x:v>NC interna 07 → HKA 02, tipoTransaccion=03; no heredar 99 como transacción de nota. Total local 232.00 USD, base 200.00, IVA 32.00; Δstock=+2 UND en almacén original. Heredar tercero/régimen sin consultar datos mutados. Referencia mantiene total original 232, tasa original 50 y control de F. Principal fiscal HKA 11600.00 VES si USD; el dinero local permanece USD. NC sin pagos ni egresos; saldo cobrable NC=0 y saldo aritmético F=−232.00,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Base=200; IVA=200×0.16=32.00; total=232.00. Tasa NC 50 / ND 51: principal fiscal USD×tasa=11600.00 VES. Δstock=2; Δcobros=0; Δdevoluciones=0. Saldo F=232−232−NC+devolución; ND=11.60−cobros ND. A4/A5 nunca alteran valores locales.</x:v>
      </x:c>
      <x:c r="F115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59" ht="390" customHeight="1">
      <x:c r="A1159" s="13" t="str">
        <x:v>QA-NHD-033</x:v>
      </x:c>
      <x:c r="B1159" s="13" t="str">
        <x:v>NC 07 Devolución parcial / VES / propia / R0 Sin régimen / sin cobro propio</x:v>
      </x:c>
      <x:c r="C115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F-NC-07-VES-T0-R0-C0: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special_tax_regime_id=null (Sin régimen);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5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59" s="13" t="str">
        <x:v>NC interna 07 → HKA 02, tipoTransaccion=04; no heredar 99 como transacción de nota. Total local 116.00 VES, base 100.00, IVA 16.00; Δstock=+1 UND en almacén original. Heredar tercero/régimen sin consultar datos mutados. Referencia mantiene total original 232, tasa original 50 y control de F. Principal fiscal HKA 116.00 VES si USD; el dinero local permanece VES.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USD×tasa=116.00 VES. Δstock=1; Δcobros=0; Δdevoluciones=0. Saldo F=232−232−NC+devolución; ND=11.60−cobros ND. A4/A5 nunca alteran valores locales.</x:v>
      </x:c>
      <x:c r="F115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60" ht="390" customHeight="1">
      <x:c r="A1160" s="13" t="str">
        <x:v>QA-NHD-034</x:v>
      </x:c>
      <x:c r="B1160" s="13" t="str">
        <x:v>NC 07 Devolución parcial / VES / propia / R1 Zonas económicas especiales / sin cobro propio</x:v>
      </x:c>
      <x:c r="C116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F-NC-07-VES-T0-R1-C0: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special_tax_regime_id=1 (Zonas económicas especiales);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6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60" s="13" t="str">
        <x:v>NC interna 07 → HKA 02, tipoTransaccion=04; no heredar 99 como transacción de nota. Total local 116.00 VES, base 100.00, IVA 16.00; Δstock=+1 UND en almacén original. Heredar tercero/régimen sin consultar datos mutados. Referencia mantiene total original 232, tasa original 50 y control de F. Principal fiscal HKA 116.00 VES si USD; el dinero local permanece VES.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USD×tasa=116.00 VES. Δstock=1; Δcobros=0; Δdevoluciones=0. Saldo F=232−232−NC+devolución; ND=11.60−cobros ND. A4/A5 nunca alteran valores locales.</x:v>
      </x:c>
      <x:c r="F116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61" ht="390" customHeight="1">
      <x:c r="A1161" s="13" t="str">
        <x:v>QA-NHD-035</x:v>
      </x:c>
      <x:c r="B1161" s="13" t="str">
        <x:v>NC 07 Devolución parcial / VES / propia / R2 Zona franca de Paraguaná / sin cobro propio</x:v>
      </x:c>
      <x:c r="C116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F-NC-07-VES-T0-R2-C0: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special_tax_regime_id=2 (Zona franca de Paraguaná);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6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61" s="13" t="str">
        <x:v>NC interna 07 → HKA 02, tipoTransaccion=04; no heredar 99 como transacción de nota. Total local 116.00 VES, base 100.00, IVA 16.00; Δstock=+1 UND en almacén original. Heredar tercero/régimen sin consultar datos mutados. Referencia mantiene total original 232, tasa original 50 y control de F. Principal fiscal HKA 116.00 VES si USD; el dinero local permanece VES.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USD×tasa=116.00 VES. Δstock=1; Δcobros=0; Δdevoluciones=0. Saldo F=232−232−NC+devolución; ND=11.60−cobros ND. A4/A5 nunca alteran valores locales.</x:v>
      </x:c>
      <x:c r="F116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62" ht="390" customHeight="1">
      <x:c r="A1162" s="13" t="str">
        <x:v>QA-NHD-036</x:v>
      </x:c>
      <x:c r="B1162" s="13" t="str">
        <x:v>NC 07 Devolución parcial / VES / propia / R3 Zona libre de Paraguaná / sin cobro propio</x:v>
      </x:c>
      <x:c r="C116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F-NC-07-VES-T0-R3-C0: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special_tax_regime_id=3 (Zona libre de Paraguaná);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6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62" s="13" t="str">
        <x:v>NC interna 07 → HKA 02, tipoTransaccion=04; no heredar 99 como transacción de nota. Total local 116.00 VES, base 100.00, IVA 16.00; Δstock=+1 UND en almacén original. Heredar tercero/régimen sin consultar datos mutados. Referencia mantiene total original 232, tasa original 50 y control de F. Principal fiscal HKA 116.00 VES si USD; el dinero local permanece VES.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USD×tasa=116.00 VES. Δstock=1; Δcobros=0; Δdevoluciones=0. Saldo F=232−232−NC+devolución; ND=11.60−cobros ND. A4/A5 nunca alteran valores locales.</x:v>
      </x:c>
      <x:c r="F116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63" ht="390" customHeight="1">
      <x:c r="A1163" s="13" t="str">
        <x:v>QA-NHD-037</x:v>
      </x:c>
      <x:c r="B1163" s="13" t="str">
        <x:v>NC 07 Devolución parcial / VES / propia / R4 Puerto libre Santa Elena de Uairén / sin cobro propio</x:v>
      </x:c>
      <x:c r="C116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F-NC-07-VES-T0-R4-C0: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special_tax_regime_id=4 (Puerto libre Santa Elena de Uairén);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6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63" s="13" t="str">
        <x:v>NC interna 07 → HKA 02, tipoTransaccion=04; no heredar 99 como transacción de nota. Total local 116.00 VES, base 100.00, IVA 16.00; Δstock=+1 UND en almacén original. Heredar tercero/régimen sin consultar datos mutados. Referencia mantiene total original 232, tasa original 50 y control de F. Principal fiscal HKA 116.00 VES si USD; el dinero local permanece VES.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USD×tasa=116.00 VES. Δstock=1; Δcobros=0; Δdevoluciones=0. Saldo F=232−232−NC+devolución; ND=11.60−cobros ND. A4/A5 nunca alteran valores locales.</x:v>
      </x:c>
      <x:c r="F116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64" ht="390" customHeight="1">
      <x:c r="A1164" s="13" t="str">
        <x:v>QA-NHD-038</x:v>
      </x:c>
      <x:c r="B1164" s="13" t="str">
        <x:v>NC 07 Devolución parcial / VES / propia / R5 Zona Libre de Mérida / sin cobro propio</x:v>
      </x:c>
      <x:c r="C116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F-NC-07-VES-T0-R5-C0: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special_tax_regime_id=5 (Zona Libre de Mérida);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6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64" s="13" t="str">
        <x:v>NC interna 07 → HKA 02, tipoTransaccion=04; no heredar 99 como transacción de nota. Total local 116.00 VES, base 100.00, IVA 16.00; Δstock=+1 UND en almacén original. Heredar tercero/régimen sin consultar datos mutados. Referencia mantiene total original 232, tasa original 50 y control de F. Principal fiscal HKA 116.00 VES si USD; el dinero local permanece VES.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USD×tasa=116.00 VES. Δstock=1; Δcobros=0; Δdevoluciones=0. Saldo F=232−232−NC+devolución; ND=11.60−cobros ND. A4/A5 nunca alteran valores locales.</x:v>
      </x:c>
      <x:c r="F116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65" ht="390" customHeight="1">
      <x:c r="A1165" s="13" t="str">
        <x:v>QA-NHD-039</x:v>
      </x:c>
      <x:c r="B1165" s="13" t="str">
        <x:v>NC 07 Devolución parcial / VES / propia / R6 Puerto libre Estado Nueva Esparta / sin cobro propio</x:v>
      </x:c>
      <x:c r="C116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F-NC-07-VES-T0-R6-C0: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special_tax_regime_id=6 (Puerto libre Estado Nueva Esparta);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6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65" s="13" t="str">
        <x:v>NC interna 07 → HKA 02, tipoTransaccion=04; no heredar 99 como transacción de nota. Total local 116.00 VES, base 100.00, IVA 16.00; Δstock=+1 UND en almacén original. Heredar tercero/régimen sin consultar datos mutados. Referencia mantiene total original 232, tasa original 50 y control de F. Principal fiscal HKA 116.00 VES si USD; el dinero local permanece VES.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USD×tasa=116.00 VES. Δstock=1; Δcobros=0; Δdevoluciones=0. Saldo F=232−232−NC+devolución; ND=11.60−cobros ND. A4/A5 nunca alteran valores locales.</x:v>
      </x:c>
      <x:c r="F116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66" ht="390" customHeight="1">
      <x:c r="A1166" s="13" t="str">
        <x:v>QA-NHD-040</x:v>
      </x:c>
      <x:c r="B1166" s="13" t="str">
        <x:v>NC 07 Devolución parcial / VES / propia / R7 Dutty Free / sin cobro propio</x:v>
      </x:c>
      <x:c r="C116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F-NC-07-VES-T0-R7-C0: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special_tax_regime_id=7 (Dutty Free);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6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66" s="13" t="str">
        <x:v>NC interna 07 → HKA 02, tipoTransaccion=04; no heredar 99 como transacción de nota. Total local 116.00 VES, base 100.00, IVA 16.00; Δstock=+1 UND en almacén original. Heredar tercero/régimen sin consultar datos mutados. Referencia mantiene total original 232, tasa original 50 y control de F. Principal fiscal HKA 116.00 VES si USD; el dinero local permanece VES.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USD×tasa=116.00 VES. Δstock=1; Δcobros=0; Δdevoluciones=0. Saldo F=232−232−NC+devolución; ND=11.60−cobros ND. A4/A5 nunca alteran valores locales.</x:v>
      </x:c>
      <x:c r="F116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67" ht="390" customHeight="1">
      <x:c r="A1167" s="13" t="str">
        <x:v>QA-NHD-041</x:v>
      </x:c>
      <x:c r="B1167" s="13" t="str">
        <x:v>NC 07 Devolución parcial / VES / terceros / R0 Sin régimen / sin cobro propio</x:v>
      </x:c>
      <x:c r="C116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F-NC-07-VES-T1-R0-C0: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special_tax_regime_id=null (Sin régimen);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6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67" s="13" t="str">
        <x:v>NC interna 07 → HKA 02, tipoTransaccion=04; no heredar 99 como transacción de nota. Total local 116.00 VES, base 100.00, IVA 16.00; Δstock=+1 UND en almacén original. Heredar tercero/régimen sin consultar datos mutados. Referencia mantiene total original 232, tasa original 50 y control de F. Principal fiscal HKA 116.00 VES si USD; el dinero local permanece VES.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USD×tasa=116.00 VES. Δstock=1; Δcobros=0; Δdevoluciones=0. Saldo F=232−232−NC+devolución; ND=11.60−cobros ND. A4/A5 nunca alteran valores locales.</x:v>
      </x:c>
      <x:c r="F116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68" ht="390" customHeight="1">
      <x:c r="A1168" s="13" t="str">
        <x:v>QA-NHD-042</x:v>
      </x:c>
      <x:c r="B1168" s="13" t="str">
        <x:v>NC 07 Devolución parcial / VES / terceros / R1 Zonas económicas especiales / sin cobro propio</x:v>
      </x:c>
      <x:c r="C116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F-NC-07-VES-T1-R1-C0: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special_tax_regime_id=1 (Zonas económicas especiales);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6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68" s="13" t="str">
        <x:v>NC interna 07 → HKA 02, tipoTransaccion=04; no heredar 99 como transacción de nota. Total local 116.00 VES, base 100.00, IVA 16.00; Δstock=+1 UND en almacén original. Heredar tercero/régimen sin consultar datos mutados. Referencia mantiene total original 232, tasa original 50 y control de F. Principal fiscal HKA 116.00 VES si USD; el dinero local permanece VES.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USD×tasa=116.00 VES. Δstock=1; Δcobros=0; Δdevoluciones=0. Saldo F=232−232−NC+devolución; ND=11.60−cobros ND. A4/A5 nunca alteran valores locales.</x:v>
      </x:c>
      <x:c r="F116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69" ht="390" customHeight="1">
      <x:c r="A1169" s="13" t="str">
        <x:v>QA-NHD-043</x:v>
      </x:c>
      <x:c r="B1169" s="13" t="str">
        <x:v>NC 07 Devolución parcial / VES / terceros / R2 Zona franca de Paraguaná / sin cobro propio</x:v>
      </x:c>
      <x:c r="C116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F-NC-07-VES-T1-R2-C0: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special_tax_regime_id=2 (Zona franca de Paraguaná);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6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69" s="13" t="str">
        <x:v>NC interna 07 → HKA 02, tipoTransaccion=04; no heredar 99 como transacción de nota. Total local 116.00 VES, base 100.00, IVA 16.00; Δstock=+1 UND en almacén original. Heredar tercero/régimen sin consultar datos mutados. Referencia mantiene total original 232, tasa original 50 y control de F. Principal fiscal HKA 116.00 VES si USD; el dinero local permanece VES.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USD×tasa=116.00 VES. Δstock=1; Δcobros=0; Δdevoluciones=0. Saldo F=232−232−NC+devolución; ND=11.60−cobros ND. A4/A5 nunca alteran valores locales.</x:v>
      </x:c>
      <x:c r="F116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70" ht="390" customHeight="1">
      <x:c r="A1170" s="13" t="str">
        <x:v>QA-NHD-044</x:v>
      </x:c>
      <x:c r="B1170" s="13" t="str">
        <x:v>NC 07 Devolución parcial / VES / terceros / R3 Zona libre de Paraguaná / sin cobro propio</x:v>
      </x:c>
      <x:c r="C117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F-NC-07-VES-T1-R3-C0: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special_tax_regime_id=3 (Zona libre de Paraguaná);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7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70" s="13" t="str">
        <x:v>NC interna 07 → HKA 02, tipoTransaccion=04; no heredar 99 como transacción de nota. Total local 116.00 VES, base 100.00, IVA 16.00; Δstock=+1 UND en almacén original. Heredar tercero/régimen sin consultar datos mutados. Referencia mantiene total original 232, tasa original 50 y control de F. Principal fiscal HKA 116.00 VES si USD; el dinero local permanece VES.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USD×tasa=116.00 VES. Δstock=1; Δcobros=0; Δdevoluciones=0. Saldo F=232−232−NC+devolución; ND=11.60−cobros ND. A4/A5 nunca alteran valores locales.</x:v>
      </x:c>
      <x:c r="F117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71" ht="390" customHeight="1">
      <x:c r="A1171" s="13" t="str">
        <x:v>QA-NHD-045</x:v>
      </x:c>
      <x:c r="B1171" s="13" t="str">
        <x:v>NC 07 Devolución parcial / VES / terceros / R4 Puerto libre Santa Elena de Uairén / sin cobro propio</x:v>
      </x:c>
      <x:c r="C117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F-NC-07-VES-T1-R4-C0: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special_tax_regime_id=4 (Puerto libre Santa Elena de Uairén);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7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71" s="13" t="str">
        <x:v>NC interna 07 → HKA 02, tipoTransaccion=04; no heredar 99 como transacción de nota. Total local 116.00 VES, base 100.00, IVA 16.00; Δstock=+1 UND en almacén original. Heredar tercero/régimen sin consultar datos mutados. Referencia mantiene total original 232, tasa original 50 y control de F. Principal fiscal HKA 116.00 VES si USD; el dinero local permanece VES.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USD×tasa=116.00 VES. Δstock=1; Δcobros=0; Δdevoluciones=0. Saldo F=232−232−NC+devolución; ND=11.60−cobros ND. A4/A5 nunca alteran valores locales.</x:v>
      </x:c>
      <x:c r="F117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72" ht="390" customHeight="1">
      <x:c r="A1172" s="13" t="str">
        <x:v>QA-NHD-046</x:v>
      </x:c>
      <x:c r="B1172" s="13" t="str">
        <x:v>NC 07 Devolución parcial / VES / terceros / R5 Zona Libre de Mérida / sin cobro propio</x:v>
      </x:c>
      <x:c r="C117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F-NC-07-VES-T1-R5-C0: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special_tax_regime_id=5 (Zona Libre de Mérida);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7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72" s="13" t="str">
        <x:v>NC interna 07 → HKA 02, tipoTransaccion=04; no heredar 99 como transacción de nota. Total local 116.00 VES, base 100.00, IVA 16.00; Δstock=+1 UND en almacén original. Heredar tercero/régimen sin consultar datos mutados. Referencia mantiene total original 232, tasa original 50 y control de F. Principal fiscal HKA 116.00 VES si USD; el dinero local permanece VES.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USD×tasa=116.00 VES. Δstock=1; Δcobros=0; Δdevoluciones=0. Saldo F=232−232−NC+devolución; ND=11.60−cobros ND. A4/A5 nunca alteran valores locales.</x:v>
      </x:c>
      <x:c r="F117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73" ht="390" customHeight="1">
      <x:c r="A1173" s="13" t="str">
        <x:v>QA-NHD-047</x:v>
      </x:c>
      <x:c r="B1173" s="13" t="str">
        <x:v>NC 07 Devolución parcial / VES / terceros / R6 Puerto libre Estado Nueva Esparta / sin cobro propio</x:v>
      </x:c>
      <x:c r="C117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F-NC-07-VES-T1-R6-C0: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special_tax_regime_id=6 (Puerto libre Estado Nueva Esparta);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7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73" s="13" t="str">
        <x:v>NC interna 07 → HKA 02, tipoTransaccion=04; no heredar 99 como transacción de nota. Total local 116.00 VES, base 100.00, IVA 16.00; Δstock=+1 UND en almacén original. Heredar tercero/régimen sin consultar datos mutados. Referencia mantiene total original 232, tasa original 50 y control de F. Principal fiscal HKA 116.00 VES si USD; el dinero local permanece VES.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USD×tasa=116.00 VES. Δstock=1; Δcobros=0; Δdevoluciones=0. Saldo F=232−232−NC+devolución; ND=11.60−cobros ND. A4/A5 nunca alteran valores locales.</x:v>
      </x:c>
      <x:c r="F117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74" ht="390" customHeight="1">
      <x:c r="A1174" s="13" t="str">
        <x:v>QA-NHD-048</x:v>
      </x:c>
      <x:c r="B1174" s="13" t="str">
        <x:v>NC 07 Devolución parcial / VES / terceros / R7 Dutty Free / sin cobro propio</x:v>
      </x:c>
      <x:c r="C117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F-NC-07-VES-T1-R7-C0: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special_tax_regime_id=7 (Dutty Free);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7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74" s="13" t="str">
        <x:v>NC interna 07 → HKA 02, tipoTransaccion=04; no heredar 99 como transacción de nota. Total local 116.00 VES, base 100.00, IVA 16.00; Δstock=+1 UND en almacén original. Heredar tercero/régimen sin consultar datos mutados. Referencia mantiene total original 232, tasa original 50 y control de F. Principal fiscal HKA 116.00 VES si USD; el dinero local permanece VES.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USD×tasa=116.00 VES. Δstock=1; Δcobros=0; Δdevoluciones=0. Saldo F=232−232−NC+devolución; ND=11.60−cobros ND. A4/A5 nunca alteran valores locales.</x:v>
      </x:c>
      <x:c r="F117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75" ht="390" customHeight="1">
      <x:c r="A1175" s="13" t="str">
        <x:v>QA-NHD-049</x:v>
      </x:c>
      <x:c r="B1175" s="13" t="str">
        <x:v>NC 07 Devolución parcial / USD / propia / R0 Sin régimen / sin cobro propio</x:v>
      </x:c>
      <x:c r="C117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F-NC-07-USD-T0-R0-C0: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special_tax_regime_id=null (Sin régimen);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7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75" s="13" t="str">
        <x:v>NC interna 07 → HKA 02, tipoTransaccion=04; no heredar 99 como transacción de nota. Total local 116.00 USD, base 100.00, IVA 16.00; Δstock=+1 UND en almacén original. Heredar tercero/régimen sin consultar datos mutados. Referencia mantiene total original 232, tasa original 50 y control de F. Principal fiscal HKA 5800.00 VES si USD; el dinero local permanece USD.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USD×tasa=5800.00 VES. Δstock=1; Δcobros=0; Δdevoluciones=0. Saldo F=232−232−NC+devolución; ND=11.60−cobros ND. A4/A5 nunca alteran valores locales.</x:v>
      </x:c>
      <x:c r="F117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76" ht="390" customHeight="1">
      <x:c r="A1176" s="13" t="str">
        <x:v>QA-NHD-050</x:v>
      </x:c>
      <x:c r="B1176" s="13" t="str">
        <x:v>NC 07 Devolución parcial / USD / propia / R1 Zonas económicas especiales / sin cobro propio</x:v>
      </x:c>
      <x:c r="C117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F-NC-07-USD-T0-R1-C0: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special_tax_regime_id=1 (Zonas económicas especiales);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7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76" s="13" t="str">
        <x:v>NC interna 07 → HKA 02, tipoTransaccion=04; no heredar 99 como transacción de nota. Total local 116.00 USD, base 100.00, IVA 16.00; Δstock=+1 UND en almacén original. Heredar tercero/régimen sin consultar datos mutados. Referencia mantiene total original 232, tasa original 50 y control de F. Principal fiscal HKA 5800.00 VES si USD; el dinero local permanece USD.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USD×tasa=5800.00 VES. Δstock=1; Δcobros=0; Δdevoluciones=0. Saldo F=232−232−NC+devolución; ND=11.60−cobros ND. A4/A5 nunca alteran valores locales.</x:v>
      </x:c>
      <x:c r="F117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77" ht="390" customHeight="1">
      <x:c r="A1177" s="13" t="str">
        <x:v>QA-NHD-051</x:v>
      </x:c>
      <x:c r="B1177" s="13" t="str">
        <x:v>NC 07 Devolución parcial / USD / propia / R2 Zona franca de Paraguaná / sin cobro propio</x:v>
      </x:c>
      <x:c r="C117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F-NC-07-USD-T0-R2-C0: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special_tax_regime_id=2 (Zona franca de Paraguaná);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7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77" s="13" t="str">
        <x:v>NC interna 07 → HKA 02, tipoTransaccion=04; no heredar 99 como transacción de nota. Total local 116.00 USD, base 100.00, IVA 16.00; Δstock=+1 UND en almacén original. Heredar tercero/régimen sin consultar datos mutados. Referencia mantiene total original 232, tasa original 50 y control de F. Principal fiscal HKA 5800.00 VES si USD; el dinero local permanece USD.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USD×tasa=5800.00 VES. Δstock=1; Δcobros=0; Δdevoluciones=0. Saldo F=232−232−NC+devolución; ND=11.60−cobros ND. A4/A5 nunca alteran valores locales.</x:v>
      </x:c>
      <x:c r="F117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78" ht="390" customHeight="1">
      <x:c r="A1178" s="13" t="str">
        <x:v>QA-NHD-052</x:v>
      </x:c>
      <x:c r="B1178" s="13" t="str">
        <x:v>NC 07 Devolución parcial / USD / propia / R3 Zona libre de Paraguaná / sin cobro propio</x:v>
      </x:c>
      <x:c r="C117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F-NC-07-USD-T0-R3-C0: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special_tax_regime_id=3 (Zona libre de Paraguaná);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7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78" s="13" t="str">
        <x:v>NC interna 07 → HKA 02, tipoTransaccion=04; no heredar 99 como transacción de nota. Total local 116.00 USD, base 100.00, IVA 16.00; Δstock=+1 UND en almacén original. Heredar tercero/régimen sin consultar datos mutados. Referencia mantiene total original 232, tasa original 50 y control de F. Principal fiscal HKA 5800.00 VES si USD; el dinero local permanece USD.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USD×tasa=5800.00 VES. Δstock=1; Δcobros=0; Δdevoluciones=0. Saldo F=232−232−NC+devolución; ND=11.60−cobros ND. A4/A5 nunca alteran valores locales.</x:v>
      </x:c>
      <x:c r="F117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79" ht="390" customHeight="1">
      <x:c r="A1179" s="13" t="str">
        <x:v>QA-NHD-053</x:v>
      </x:c>
      <x:c r="B1179" s="13" t="str">
        <x:v>NC 07 Devolución parcial / USD / propia / R4 Puerto libre Santa Elena de Uairén / sin cobro propio</x:v>
      </x:c>
      <x:c r="C117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F-NC-07-USD-T0-R4-C0: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special_tax_regime_id=4 (Puerto libre Santa Elena de Uairén);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7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79" s="13" t="str">
        <x:v>NC interna 07 → HKA 02, tipoTransaccion=04; no heredar 99 como transacción de nota. Total local 116.00 USD, base 100.00, IVA 16.00; Δstock=+1 UND en almacén original. Heredar tercero/régimen sin consultar datos mutados. Referencia mantiene total original 232, tasa original 50 y control de F. Principal fiscal HKA 5800.00 VES si USD; el dinero local permanece USD.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USD×tasa=5800.00 VES. Δstock=1; Δcobros=0; Δdevoluciones=0. Saldo F=232−232−NC+devolución; ND=11.60−cobros ND. A4/A5 nunca alteran valores locales.</x:v>
      </x:c>
      <x:c r="F117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80" ht="390" customHeight="1">
      <x:c r="A1180" s="13" t="str">
        <x:v>QA-NHD-054</x:v>
      </x:c>
      <x:c r="B1180" s="13" t="str">
        <x:v>NC 07 Devolución parcial / USD / propia / R5 Zona Libre de Mérida / sin cobro propio</x:v>
      </x:c>
      <x:c r="C118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F-NC-07-USD-T0-R5-C0: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special_tax_regime_id=5 (Zona Libre de Mérida);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8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80" s="13" t="str">
        <x:v>NC interna 07 → HKA 02, tipoTransaccion=04; no heredar 99 como transacción de nota. Total local 116.00 USD, base 100.00, IVA 16.00; Δstock=+1 UND en almacén original. Heredar tercero/régimen sin consultar datos mutados. Referencia mantiene total original 232, tasa original 50 y control de F. Principal fiscal HKA 5800.00 VES si USD; el dinero local permanece USD.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USD×tasa=5800.00 VES. Δstock=1; Δcobros=0; Δdevoluciones=0. Saldo F=232−232−NC+devolución; ND=11.60−cobros ND. A4/A5 nunca alteran valores locales.</x:v>
      </x:c>
      <x:c r="F118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81" ht="390" customHeight="1">
      <x:c r="A1181" s="13" t="str">
        <x:v>QA-NHD-055</x:v>
      </x:c>
      <x:c r="B1181" s="13" t="str">
        <x:v>NC 07 Devolución parcial / USD / propia / R6 Puerto libre Estado Nueva Esparta / sin cobro propio</x:v>
      </x:c>
      <x:c r="C118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F-NC-07-USD-T0-R6-C0: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special_tax_regime_id=6 (Puerto libre Estado Nueva Esparta);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8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81" s="13" t="str">
        <x:v>NC interna 07 → HKA 02, tipoTransaccion=04; no heredar 99 como transacción de nota. Total local 116.00 USD, base 100.00, IVA 16.00; Δstock=+1 UND en almacén original. Heredar tercero/régimen sin consultar datos mutados. Referencia mantiene total original 232, tasa original 50 y control de F. Principal fiscal HKA 5800.00 VES si USD; el dinero local permanece USD.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USD×tasa=5800.00 VES. Δstock=1; Δcobros=0; Δdevoluciones=0. Saldo F=232−232−NC+devolución; ND=11.60−cobros ND. A4/A5 nunca alteran valores locales.</x:v>
      </x:c>
      <x:c r="F118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82" ht="390" customHeight="1">
      <x:c r="A1182" s="13" t="str">
        <x:v>QA-NHD-056</x:v>
      </x:c>
      <x:c r="B1182" s="13" t="str">
        <x:v>NC 07 Devolución parcial / USD / propia / R7 Dutty Free / sin cobro propio</x:v>
      </x:c>
      <x:c r="C118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F-NC-07-USD-T0-R7-C0: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special_tax_regime_id=7 (Dutty Free);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8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82" s="13" t="str">
        <x:v>NC interna 07 → HKA 02, tipoTransaccion=04; no heredar 99 como transacción de nota. Total local 116.00 USD, base 100.00, IVA 16.00; Δstock=+1 UND en almacén original. Heredar tercero/régimen sin consultar datos mutados. Referencia mantiene total original 232, tasa original 50 y control de F. Principal fiscal HKA 5800.00 VES si USD; el dinero local permanece USD.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USD×tasa=5800.00 VES. Δstock=1; Δcobros=0; Δdevoluciones=0. Saldo F=232−232−NC+devolución; ND=11.60−cobros ND. A4/A5 nunca alteran valores locales.</x:v>
      </x:c>
      <x:c r="F118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83" ht="390" customHeight="1">
      <x:c r="A1183" s="13" t="str">
        <x:v>QA-NHD-057</x:v>
      </x:c>
      <x:c r="B1183" s="13" t="str">
        <x:v>NC 07 Devolución parcial / USD / terceros / R0 Sin régimen / sin cobro propio</x:v>
      </x:c>
      <x:c r="C118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F-NC-07-USD-T1-R0-C0: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special_tax_regime_id=null (Sin régimen);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8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83" s="13" t="str">
        <x:v>NC interna 07 → HKA 02, tipoTransaccion=04; no heredar 99 como transacción de nota. Total local 116.00 USD, base 100.00, IVA 16.00; Δstock=+1 UND en almacén original. Heredar tercero/régimen sin consultar datos mutados. Referencia mantiene total original 232, tasa original 50 y control de F. Principal fiscal HKA 5800.00 VES si USD; el dinero local permanece USD.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USD×tasa=5800.00 VES. Δstock=1; Δcobros=0; Δdevoluciones=0. Saldo F=232−232−NC+devolución; ND=11.60−cobros ND. A4/A5 nunca alteran valores locales.</x:v>
      </x:c>
      <x:c r="F118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84" ht="390" customHeight="1">
      <x:c r="A1184" s="13" t="str">
        <x:v>QA-NHD-058</x:v>
      </x:c>
      <x:c r="B1184" s="13" t="str">
        <x:v>NC 07 Devolución parcial / USD / terceros / R1 Zonas económicas especiales / sin cobro propio</x:v>
      </x:c>
      <x:c r="C118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F-NC-07-USD-T1-R1-C0: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special_tax_regime_id=1 (Zonas económicas especiales);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8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84" s="13" t="str">
        <x:v>NC interna 07 → HKA 02, tipoTransaccion=04; no heredar 99 como transacción de nota. Total local 116.00 USD, base 100.00, IVA 16.00; Δstock=+1 UND en almacén original. Heredar tercero/régimen sin consultar datos mutados. Referencia mantiene total original 232, tasa original 50 y control de F. Principal fiscal HKA 5800.00 VES si USD; el dinero local permanece USD.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USD×tasa=5800.00 VES. Δstock=1; Δcobros=0; Δdevoluciones=0. Saldo F=232−232−NC+devolución; ND=11.60−cobros ND. A4/A5 nunca alteran valores locales.</x:v>
      </x:c>
      <x:c r="F118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85" ht="390" customHeight="1">
      <x:c r="A1185" s="13" t="str">
        <x:v>QA-NHD-059</x:v>
      </x:c>
      <x:c r="B1185" s="13" t="str">
        <x:v>NC 07 Devolución parcial / USD / terceros / R2 Zona franca de Paraguaná / sin cobro propio</x:v>
      </x:c>
      <x:c r="C118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F-NC-07-USD-T1-R2-C0: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special_tax_regime_id=2 (Zona franca de Paraguaná);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8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85" s="13" t="str">
        <x:v>NC interna 07 → HKA 02, tipoTransaccion=04; no heredar 99 como transacción de nota. Total local 116.00 USD, base 100.00, IVA 16.00; Δstock=+1 UND en almacén original. Heredar tercero/régimen sin consultar datos mutados. Referencia mantiene total original 232, tasa original 50 y control de F. Principal fiscal HKA 5800.00 VES si USD; el dinero local permanece USD.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USD×tasa=5800.00 VES. Δstock=1; Δcobros=0; Δdevoluciones=0. Saldo F=232−232−NC+devolución; ND=11.60−cobros ND. A4/A5 nunca alteran valores locales.</x:v>
      </x:c>
      <x:c r="F118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86" ht="390" customHeight="1">
      <x:c r="A1186" s="13" t="str">
        <x:v>QA-NHD-060</x:v>
      </x:c>
      <x:c r="B1186" s="13" t="str">
        <x:v>NC 07 Devolución parcial / USD / terceros / R3 Zona libre de Paraguaná / sin cobro propio</x:v>
      </x:c>
      <x:c r="C118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F-NC-07-USD-T1-R3-C0: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special_tax_regime_id=3 (Zona libre de Paraguaná);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8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86" s="13" t="str">
        <x:v>NC interna 07 → HKA 02, tipoTransaccion=04; no heredar 99 como transacción de nota. Total local 116.00 USD, base 100.00, IVA 16.00; Δstock=+1 UND en almacén original. Heredar tercero/régimen sin consultar datos mutados. Referencia mantiene total original 232, tasa original 50 y control de F. Principal fiscal HKA 5800.00 VES si USD; el dinero local permanece USD.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USD×tasa=5800.00 VES. Δstock=1; Δcobros=0; Δdevoluciones=0. Saldo F=232−232−NC+devolución; ND=11.60−cobros ND. A4/A5 nunca alteran valores locales.</x:v>
      </x:c>
      <x:c r="F118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87" ht="390" customHeight="1">
      <x:c r="A1187" s="13" t="str">
        <x:v>QA-NHD-061</x:v>
      </x:c>
      <x:c r="B1187" s="13" t="str">
        <x:v>NC 07 Devolución parcial / USD / terceros / R4 Puerto libre Santa Elena de Uairén / sin cobro propio</x:v>
      </x:c>
      <x:c r="C118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F-NC-07-USD-T1-R4-C0: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special_tax_regime_id=4 (Puerto libre Santa Elena de Uairén);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8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87" s="13" t="str">
        <x:v>NC interna 07 → HKA 02, tipoTransaccion=04; no heredar 99 como transacción de nota. Total local 116.00 USD, base 100.00, IVA 16.00; Δstock=+1 UND en almacén original. Heredar tercero/régimen sin consultar datos mutados. Referencia mantiene total original 232, tasa original 50 y control de F. Principal fiscal HKA 5800.00 VES si USD; el dinero local permanece USD.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USD×tasa=5800.00 VES. Δstock=1; Δcobros=0; Δdevoluciones=0. Saldo F=232−232−NC+devolución; ND=11.60−cobros ND. A4/A5 nunca alteran valores locales.</x:v>
      </x:c>
      <x:c r="F118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88" ht="390" customHeight="1">
      <x:c r="A1188" s="13" t="str">
        <x:v>QA-NHD-062</x:v>
      </x:c>
      <x:c r="B1188" s="13" t="str">
        <x:v>NC 07 Devolución parcial / USD / terceros / R5 Zona Libre de Mérida / sin cobro propio</x:v>
      </x:c>
      <x:c r="C118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F-NC-07-USD-T1-R5-C0: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special_tax_regime_id=5 (Zona Libre de Mérida);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8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88" s="13" t="str">
        <x:v>NC interna 07 → HKA 02, tipoTransaccion=04; no heredar 99 como transacción de nota. Total local 116.00 USD, base 100.00, IVA 16.00; Δstock=+1 UND en almacén original. Heredar tercero/régimen sin consultar datos mutados. Referencia mantiene total original 232, tasa original 50 y control de F. Principal fiscal HKA 5800.00 VES si USD; el dinero local permanece USD.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USD×tasa=5800.00 VES. Δstock=1; Δcobros=0; Δdevoluciones=0. Saldo F=232−232−NC+devolución; ND=11.60−cobros ND. A4/A5 nunca alteran valores locales.</x:v>
      </x:c>
      <x:c r="F118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89" ht="390" customHeight="1">
      <x:c r="A1189" s="13" t="str">
        <x:v>QA-NHD-063</x:v>
      </x:c>
      <x:c r="B1189" s="13" t="str">
        <x:v>NC 07 Devolución parcial / USD / terceros / R6 Puerto libre Estado Nueva Esparta / sin cobro propio</x:v>
      </x:c>
      <x:c r="C118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F-NC-07-USD-T1-R6-C0: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special_tax_regime_id=6 (Puerto libre Estado Nueva Esparta);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8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89" s="13" t="str">
        <x:v>NC interna 07 → HKA 02, tipoTransaccion=04; no heredar 99 como transacción de nota. Total local 116.00 USD, base 100.00, IVA 16.00; Δstock=+1 UND en almacén original. Heredar tercero/régimen sin consultar datos mutados. Referencia mantiene total original 232, tasa original 50 y control de F. Principal fiscal HKA 5800.00 VES si USD; el dinero local permanece USD.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USD×tasa=5800.00 VES. Δstock=1; Δcobros=0; Δdevoluciones=0. Saldo F=232−232−NC+devolución; ND=11.60−cobros ND. A4/A5 nunca alteran valores locales.</x:v>
      </x:c>
      <x:c r="F118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90" ht="390" customHeight="1">
      <x:c r="A1190" s="13" t="str">
        <x:v>QA-NHD-064</x:v>
      </x:c>
      <x:c r="B1190" s="13" t="str">
        <x:v>NC 07 Devolución parcial / USD / terceros / R7 Dutty Free / sin cobro propio</x:v>
      </x:c>
      <x:c r="C119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F-NC-07-USD-T1-R7-C0: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special_tax_regime_id=7 (Dutty Free); validar texto exacto del catálogo en snapshot. Nota: sin condición de cobro y sin pagos propios; devolver 1 de las 2 unidades físicas; tasa 50.00000000 original de la factura. UUID note_creation_key nuevo y enlaces affected_document_item_id reales. Aplican los fixtures y precondiciones comunes del grupo; sólo crear datos sintéticos propios de la corrida.</x:v>
      </x:c>
      <x:c r="D119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devolver 1 de las 2 unidades físicas,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90" s="13" t="str">
        <x:v>NC interna 07 → HKA 02, tipoTransaccion=04; no heredar 99 como transacción de nota. Total local 116.00 USD, base 100.00, IVA 16.00; Δstock=+1 UND en almacén original. Heredar tercero/régimen sin consultar datos mutados. Referencia mantiene total original 232, tasa original 50 y control de F. Principal fiscal HKA 5800.00 VES si USD; el dinero local permanece USD. NC sin pagos ni egresos; saldo cobrable NC=0 y saldo aritmético F=−116.00,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Base=100; IVA=100×0.16=16.00; total=116.00. Tasa NC 50 / ND 51: principal fiscal USD×tasa=5800.00 VES. Δstock=1; Δcobros=0; Δdevoluciones=0. Saldo F=232−232−NC+devolución; ND=11.60−cobros ND. A4/A5 nunca alteran valores locales.</x:v>
      </x:c>
      <x:c r="F119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91" ht="390" customHeight="1">
      <x:c r="A1191" s="13" t="str">
        <x:v>QA-NHD-065</x:v>
      </x:c>
      <x:c r="B1191" s="13" t="str">
        <x:v>NC 04 Descuento / VES / propia / R0 Sin régimen / sin cobro propio</x:v>
      </x:c>
      <x:c r="C119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F-NC-04-VES-T0-R0-C0: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special_tax_regime_id=null (Sin régimen);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19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91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19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92" ht="390" customHeight="1">
      <x:c r="A1192" s="13" t="str">
        <x:v>QA-NHD-066</x:v>
      </x:c>
      <x:c r="B1192" s="13" t="str">
        <x:v>NC 04 Descuento / VES / propia / R1 Zonas económicas especiales / sin cobro propio</x:v>
      </x:c>
      <x:c r="C119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F-NC-04-VES-T0-R1-C0: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special_tax_regime_id=1 (Zonas económicas especiales);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19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92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19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93" ht="390" customHeight="1">
      <x:c r="A1193" s="13" t="str">
        <x:v>QA-NHD-067</x:v>
      </x:c>
      <x:c r="B1193" s="13" t="str">
        <x:v>NC 04 Descuento / VES / propia / R2 Zona franca de Paraguaná / sin cobro propio</x:v>
      </x:c>
      <x:c r="C119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F-NC-04-VES-T0-R2-C0: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special_tax_regime_id=2 (Zona franca de Paraguaná);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19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93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19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94" ht="390" customHeight="1">
      <x:c r="A1194" s="13" t="str">
        <x:v>QA-NHD-068</x:v>
      </x:c>
      <x:c r="B1194" s="13" t="str">
        <x:v>NC 04 Descuento / VES / propia / R3 Zona libre de Paraguaná / sin cobro propio</x:v>
      </x:c>
      <x:c r="C119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F-NC-04-VES-T0-R3-C0: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special_tax_regime_id=3 (Zona libre de Paraguaná);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19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94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19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95" ht="390" customHeight="1">
      <x:c r="A1195" s="13" t="str">
        <x:v>QA-NHD-069</x:v>
      </x:c>
      <x:c r="B1195" s="13" t="str">
        <x:v>NC 04 Descuento / VES / propia / R4 Puerto libre Santa Elena de Uairén / sin cobro propio</x:v>
      </x:c>
      <x:c r="C119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F-NC-04-VES-T0-R4-C0: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special_tax_regime_id=4 (Puerto libre Santa Elena de Uairén);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19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95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19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96" ht="390" customHeight="1">
      <x:c r="A1196" s="13" t="str">
        <x:v>QA-NHD-070</x:v>
      </x:c>
      <x:c r="B1196" s="13" t="str">
        <x:v>NC 04 Descuento / VES / propia / R5 Zona Libre de Mérida / sin cobro propio</x:v>
      </x:c>
      <x:c r="C119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F-NC-04-VES-T0-R5-C0: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special_tax_regime_id=5 (Zona Libre de Mérida);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19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96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19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97" ht="390" customHeight="1">
      <x:c r="A1197" s="13" t="str">
        <x:v>QA-NHD-071</x:v>
      </x:c>
      <x:c r="B1197" s="13" t="str">
        <x:v>NC 04 Descuento / VES / propia / R6 Puerto libre Estado Nueva Esparta / sin cobro propio</x:v>
      </x:c>
      <x:c r="C119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F-NC-04-VES-T0-R6-C0: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special_tax_regime_id=6 (Puerto libre Estado Nueva Esparta);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19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97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19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98" ht="390" customHeight="1">
      <x:c r="A1198" s="13" t="str">
        <x:v>QA-NHD-072</x:v>
      </x:c>
      <x:c r="B1198" s="13" t="str">
        <x:v>NC 04 Descuento / VES / propia / R7 Dutty Free / sin cobro propio</x:v>
      </x:c>
      <x:c r="C119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F-NC-04-VES-T0-R7-C0: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special_tax_regime_id=7 (Dutty Free);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19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98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19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199" ht="390" customHeight="1">
      <x:c r="A1199" s="13" t="str">
        <x:v>QA-NHD-073</x:v>
      </x:c>
      <x:c r="B1199" s="13" t="str">
        <x:v>NC 04 Descuento / VES / terceros / R0 Sin régimen / sin cobro propio</x:v>
      </x:c>
      <x:c r="C119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F-NC-04-VES-T1-R0-C0: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special_tax_regime_id=null (Sin régimen);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19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199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19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00" ht="390" customHeight="1">
      <x:c r="A1200" s="13" t="str">
        <x:v>QA-NHD-074</x:v>
      </x:c>
      <x:c r="B1200" s="13" t="str">
        <x:v>NC 04 Descuento / VES / terceros / R1 Zonas económicas especiales / sin cobro propio</x:v>
      </x:c>
      <x:c r="C120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F-NC-04-VES-T1-R1-C0: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special_tax_regime_id=1 (Zonas económicas especiales);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0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00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0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01" ht="390" customHeight="1">
      <x:c r="A1201" s="13" t="str">
        <x:v>QA-NHD-075</x:v>
      </x:c>
      <x:c r="B1201" s="13" t="str">
        <x:v>NC 04 Descuento / VES / terceros / R2 Zona franca de Paraguaná / sin cobro propio</x:v>
      </x:c>
      <x:c r="C120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F-NC-04-VES-T1-R2-C0: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special_tax_regime_id=2 (Zona franca de Paraguaná);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0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01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0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02" ht="390" customHeight="1">
      <x:c r="A1202" s="13" t="str">
        <x:v>QA-NHD-076</x:v>
      </x:c>
      <x:c r="B1202" s="13" t="str">
        <x:v>NC 04 Descuento / VES / terceros / R3 Zona libre de Paraguaná / sin cobro propio</x:v>
      </x:c>
      <x:c r="C120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F-NC-04-VES-T1-R3-C0: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special_tax_regime_id=3 (Zona libre de Paraguaná);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0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02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0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03" ht="390" customHeight="1">
      <x:c r="A1203" s="13" t="str">
        <x:v>QA-NHD-077</x:v>
      </x:c>
      <x:c r="B1203" s="13" t="str">
        <x:v>NC 04 Descuento / VES / terceros / R4 Puerto libre Santa Elena de Uairén / sin cobro propio</x:v>
      </x:c>
      <x:c r="C120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F-NC-04-VES-T1-R4-C0: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special_tax_regime_id=4 (Puerto libre Santa Elena de Uairén);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0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03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0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04" ht="390" customHeight="1">
      <x:c r="A1204" s="13" t="str">
        <x:v>QA-NHD-078</x:v>
      </x:c>
      <x:c r="B1204" s="13" t="str">
        <x:v>NC 04 Descuento / VES / terceros / R5 Zona Libre de Mérida / sin cobro propio</x:v>
      </x:c>
      <x:c r="C120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F-NC-04-VES-T1-R5-C0: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special_tax_regime_id=5 (Zona Libre de Mérida);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0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04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0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05" ht="390" customHeight="1">
      <x:c r="A1205" s="13" t="str">
        <x:v>QA-NHD-079</x:v>
      </x:c>
      <x:c r="B1205" s="13" t="str">
        <x:v>NC 04 Descuento / VES / terceros / R6 Puerto libre Estado Nueva Esparta / sin cobro propio</x:v>
      </x:c>
      <x:c r="C120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F-NC-04-VES-T1-R6-C0: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special_tax_regime_id=6 (Puerto libre Estado Nueva Esparta);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0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05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0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06" ht="390" customHeight="1">
      <x:c r="A1206" s="13" t="str">
        <x:v>QA-NHD-080</x:v>
      </x:c>
      <x:c r="B1206" s="13" t="str">
        <x:v>NC 04 Descuento / VES / terceros / R7 Dutty Free / sin cobro propio</x:v>
      </x:c>
      <x:c r="C120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F-NC-04-VES-T1-R7-C0: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special_tax_regime_id=7 (Dutty Free);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0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06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0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07" ht="390" customHeight="1">
      <x:c r="A1207" s="13" t="str">
        <x:v>QA-NHD-081</x:v>
      </x:c>
      <x:c r="B1207" s="13" t="str">
        <x:v>NC 04 Descuento / USD / propia / R0 Sin régimen / sin cobro propio</x:v>
      </x:c>
      <x:c r="C120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F-NC-04-USD-T0-R0-C0: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special_tax_regime_id=null (Sin régimen);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0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07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0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08" ht="390" customHeight="1">
      <x:c r="A1208" s="13" t="str">
        <x:v>QA-NHD-082</x:v>
      </x:c>
      <x:c r="B1208" s="13" t="str">
        <x:v>NC 04 Descuento / USD / propia / R1 Zonas económicas especiales / sin cobro propio</x:v>
      </x:c>
      <x:c r="C120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F-NC-04-USD-T0-R1-C0: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special_tax_regime_id=1 (Zonas económicas especiales);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0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08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0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09" ht="390" customHeight="1">
      <x:c r="A1209" s="13" t="str">
        <x:v>QA-NHD-083</x:v>
      </x:c>
      <x:c r="B1209" s="13" t="str">
        <x:v>NC 04 Descuento / USD / propia / R2 Zona franca de Paraguaná / sin cobro propio</x:v>
      </x:c>
      <x:c r="C120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F-NC-04-USD-T0-R2-C0: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special_tax_regime_id=2 (Zona franca de Paraguaná);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0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09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0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10" ht="390" customHeight="1">
      <x:c r="A1210" s="13" t="str">
        <x:v>QA-NHD-084</x:v>
      </x:c>
      <x:c r="B1210" s="13" t="str">
        <x:v>NC 04 Descuento / USD / propia / R3 Zona libre de Paraguaná / sin cobro propio</x:v>
      </x:c>
      <x:c r="C121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F-NC-04-USD-T0-R3-C0: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special_tax_regime_id=3 (Zona libre de Paraguaná);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1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10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1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11" ht="390" customHeight="1">
      <x:c r="A1211" s="13" t="str">
        <x:v>QA-NHD-085</x:v>
      </x:c>
      <x:c r="B1211" s="13" t="str">
        <x:v>NC 04 Descuento / USD / propia / R4 Puerto libre Santa Elena de Uairén / sin cobro propio</x:v>
      </x:c>
      <x:c r="C121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F-NC-04-USD-T0-R4-C0: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special_tax_regime_id=4 (Puerto libre Santa Elena de Uairén);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1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11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1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12" ht="390" customHeight="1">
      <x:c r="A1212" s="13" t="str">
        <x:v>QA-NHD-086</x:v>
      </x:c>
      <x:c r="B1212" s="13" t="str">
        <x:v>NC 04 Descuento / USD / propia / R5 Zona Libre de Mérida / sin cobro propio</x:v>
      </x:c>
      <x:c r="C121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F-NC-04-USD-T0-R5-C0: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special_tax_regime_id=5 (Zona Libre de Mérida);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1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12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1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13" ht="390" customHeight="1">
      <x:c r="A1213" s="13" t="str">
        <x:v>QA-NHD-087</x:v>
      </x:c>
      <x:c r="B1213" s="13" t="str">
        <x:v>NC 04 Descuento / USD / propia / R6 Puerto libre Estado Nueva Esparta / sin cobro propio</x:v>
      </x:c>
      <x:c r="C121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F-NC-04-USD-T0-R6-C0: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special_tax_regime_id=6 (Puerto libre Estado Nueva Esparta);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1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13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1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14" ht="390" customHeight="1">
      <x:c r="A1214" s="13" t="str">
        <x:v>QA-NHD-088</x:v>
      </x:c>
      <x:c r="B1214" s="13" t="str">
        <x:v>NC 04 Descuento / USD / propia / R7 Dutty Free / sin cobro propio</x:v>
      </x:c>
      <x:c r="C121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F-NC-04-USD-T0-R7-C0: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special_tax_regime_id=7 (Dutty Free);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1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14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1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15" ht="390" customHeight="1">
      <x:c r="A1215" s="13" t="str">
        <x:v>QA-NHD-089</x:v>
      </x:c>
      <x:c r="B1215" s="13" t="str">
        <x:v>NC 04 Descuento / USD / terceros / R0 Sin régimen / sin cobro propio</x:v>
      </x:c>
      <x:c r="C121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F-NC-04-USD-T1-R0-C0: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special_tax_regime_id=null (Sin régimen);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1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15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1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16" ht="390" customHeight="1">
      <x:c r="A1216" s="13" t="str">
        <x:v>QA-NHD-090</x:v>
      </x:c>
      <x:c r="B1216" s="13" t="str">
        <x:v>NC 04 Descuento / USD / terceros / R1 Zonas económicas especiales / sin cobro propio</x:v>
      </x:c>
      <x:c r="C121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F-NC-04-USD-T1-R1-C0: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special_tax_regime_id=1 (Zonas económicas especiales);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1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16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1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17" ht="390" customHeight="1">
      <x:c r="A1217" s="13" t="str">
        <x:v>QA-NHD-091</x:v>
      </x:c>
      <x:c r="B1217" s="13" t="str">
        <x:v>NC 04 Descuento / USD / terceros / R2 Zona franca de Paraguaná / sin cobro propio</x:v>
      </x:c>
      <x:c r="C121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F-NC-04-USD-T1-R2-C0: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special_tax_regime_id=2 (Zona franca de Paraguaná);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1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17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1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18" ht="390" customHeight="1">
      <x:c r="A1218" s="13" t="str">
        <x:v>QA-NHD-092</x:v>
      </x:c>
      <x:c r="B1218" s="13" t="str">
        <x:v>NC 04 Descuento / USD / terceros / R3 Zona libre de Paraguaná / sin cobro propio</x:v>
      </x:c>
      <x:c r="C121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F-NC-04-USD-T1-R3-C0: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special_tax_regime_id=3 (Zona libre de Paraguaná);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1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18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1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19" ht="390" customHeight="1">
      <x:c r="A1219" s="13" t="str">
        <x:v>QA-NHD-093</x:v>
      </x:c>
      <x:c r="B1219" s="13" t="str">
        <x:v>NC 04 Descuento / USD / terceros / R4 Puerto libre Santa Elena de Uairén / sin cobro propio</x:v>
      </x:c>
      <x:c r="C121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F-NC-04-USD-T1-R4-C0: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special_tax_regime_id=4 (Puerto libre Santa Elena de Uairén);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1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19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1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20" ht="390" customHeight="1">
      <x:c r="A1220" s="13" t="str">
        <x:v>QA-NHD-094</x:v>
      </x:c>
      <x:c r="B1220" s="13" t="str">
        <x:v>NC 04 Descuento / USD / terceros / R5 Zona Libre de Mérida / sin cobro propio</x:v>
      </x:c>
      <x:c r="C122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F-NC-04-USD-T1-R5-C0: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special_tax_regime_id=5 (Zona Libre de Mérida);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2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20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2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21" ht="390" customHeight="1">
      <x:c r="A1221" s="13" t="str">
        <x:v>QA-NHD-095</x:v>
      </x:c>
      <x:c r="B1221" s="13" t="str">
        <x:v>NC 04 Descuento / USD / terceros / R6 Puerto libre Estado Nueva Esparta / sin cobro propio</x:v>
      </x:c>
      <x:c r="C122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F-NC-04-USD-T1-R6-C0: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special_tax_regime_id=6 (Puerto libre Estado Nueva Esparta);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2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21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2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22" ht="390" customHeight="1">
      <x:c r="A1222" s="13" t="str">
        <x:v>QA-NHD-096</x:v>
      </x:c>
      <x:c r="B1222" s="13" t="str">
        <x:v>NC 04 Descuento / USD / terceros / R7 Dutty Free / sin cobro propio</x:v>
      </x:c>
      <x:c r="C122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F-NC-04-USD-T1-R7-C0: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special_tax_regime_id=7 (Dutty Free);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2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22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2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23" ht="390" customHeight="1">
      <x:c r="A1223" s="13" t="str">
        <x:v>QA-NHD-097</x:v>
      </x:c>
      <x:c r="B1223" s="13" t="str">
        <x:v>NC 09 Corrección de precios / VES / propia / R0 Sin régimen / sin cobro propio</x:v>
      </x:c>
      <x:c r="C122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F-NC-09-VES-T0-R0-C0: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special_tax_regime_id=null (Sin régimen);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2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23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2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24" ht="390" customHeight="1">
      <x:c r="A1224" s="13" t="str">
        <x:v>QA-NHD-098</x:v>
      </x:c>
      <x:c r="B1224" s="13" t="str">
        <x:v>NC 09 Corrección de precios / VES / propia / R1 Zonas económicas especiales / sin cobro propio</x:v>
      </x:c>
      <x:c r="C122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F-NC-09-VES-T0-R1-C0: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special_tax_regime_id=1 (Zonas económicas especiales);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2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24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2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25" ht="390" customHeight="1">
      <x:c r="A1225" s="13" t="str">
        <x:v>QA-NHD-099</x:v>
      </x:c>
      <x:c r="B1225" s="13" t="str">
        <x:v>NC 09 Corrección de precios / VES / propia / R2 Zona franca de Paraguaná / sin cobro propio</x:v>
      </x:c>
      <x:c r="C122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F-NC-09-VES-T0-R2-C0: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special_tax_regime_id=2 (Zona franca de Paraguaná);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2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25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2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26" ht="390" customHeight="1">
      <x:c r="A1226" s="13" t="str">
        <x:v>QA-NHD-100</x:v>
      </x:c>
      <x:c r="B1226" s="13" t="str">
        <x:v>NC 09 Corrección de precios / VES / propia / R3 Zona libre de Paraguaná / sin cobro propio</x:v>
      </x:c>
      <x:c r="C122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F-NC-09-VES-T0-R3-C0: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special_tax_regime_id=3 (Zona libre de Paraguaná);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2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26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2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27" ht="390" customHeight="1">
      <x:c r="A1227" s="13" t="str">
        <x:v>QA-NHD-101</x:v>
      </x:c>
      <x:c r="B1227" s="13" t="str">
        <x:v>NC 09 Corrección de precios / VES / propia / R4 Puerto libre Santa Elena de Uairén / sin cobro propio</x:v>
      </x:c>
      <x:c r="C122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F-NC-09-VES-T0-R4-C0: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special_tax_regime_id=4 (Puerto libre Santa Elena de Uairén);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2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27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2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28" ht="390" customHeight="1">
      <x:c r="A1228" s="13" t="str">
        <x:v>QA-NHD-102</x:v>
      </x:c>
      <x:c r="B1228" s="13" t="str">
        <x:v>NC 09 Corrección de precios / VES / propia / R5 Zona Libre de Mérida / sin cobro propio</x:v>
      </x:c>
      <x:c r="C122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F-NC-09-VES-T0-R5-C0: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special_tax_regime_id=5 (Zona Libre de Mérida);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2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28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2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29" ht="390" customHeight="1">
      <x:c r="A1229" s="13" t="str">
        <x:v>QA-NHD-103</x:v>
      </x:c>
      <x:c r="B1229" s="13" t="str">
        <x:v>NC 09 Corrección de precios / VES / propia / R6 Puerto libre Estado Nueva Esparta / sin cobro propio</x:v>
      </x:c>
      <x:c r="C122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F-NC-09-VES-T0-R6-C0: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special_tax_regime_id=6 (Puerto libre Estado Nueva Esparta);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2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29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2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30" ht="390" customHeight="1">
      <x:c r="A1230" s="13" t="str">
        <x:v>QA-NHD-104</x:v>
      </x:c>
      <x:c r="B1230" s="13" t="str">
        <x:v>NC 09 Corrección de precios / VES / propia / R7 Dutty Free / sin cobro propio</x:v>
      </x:c>
      <x:c r="C123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F-NC-09-VES-T0-R7-C0: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special_tax_regime_id=7 (Dutty Free);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3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30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3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31" ht="390" customHeight="1">
      <x:c r="A1231" s="13" t="str">
        <x:v>QA-NHD-105</x:v>
      </x:c>
      <x:c r="B1231" s="13" t="str">
        <x:v>NC 09 Corrección de precios / VES / terceros / R0 Sin régimen / sin cobro propio</x:v>
      </x:c>
      <x:c r="C123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F-NC-09-VES-T1-R0-C0: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special_tax_regime_id=null (Sin régimen);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3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31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3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32" ht="390" customHeight="1">
      <x:c r="A1232" s="13" t="str">
        <x:v>QA-NHD-106</x:v>
      </x:c>
      <x:c r="B1232" s="13" t="str">
        <x:v>NC 09 Corrección de precios / VES / terceros / R1 Zonas económicas especiales / sin cobro propio</x:v>
      </x:c>
      <x:c r="C123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F-NC-09-VES-T1-R1-C0: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special_tax_regime_id=1 (Zonas económicas especiales);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3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32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3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33" ht="390" customHeight="1">
      <x:c r="A1233" s="13" t="str">
        <x:v>QA-NHD-107</x:v>
      </x:c>
      <x:c r="B1233" s="13" t="str">
        <x:v>NC 09 Corrección de precios / VES / terceros / R2 Zona franca de Paraguaná / sin cobro propio</x:v>
      </x:c>
      <x:c r="C123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F-NC-09-VES-T1-R2-C0: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special_tax_regime_id=2 (Zona franca de Paraguaná);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3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33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3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34" ht="390" customHeight="1">
      <x:c r="A1234" s="13" t="str">
        <x:v>QA-NHD-108</x:v>
      </x:c>
      <x:c r="B1234" s="13" t="str">
        <x:v>NC 09 Corrección de precios / VES / terceros / R3 Zona libre de Paraguaná / sin cobro propio</x:v>
      </x:c>
      <x:c r="C123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F-NC-09-VES-T1-R3-C0: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special_tax_regime_id=3 (Zona libre de Paraguaná);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3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34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3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35" ht="390" customHeight="1">
      <x:c r="A1235" s="13" t="str">
        <x:v>QA-NHD-109</x:v>
      </x:c>
      <x:c r="B1235" s="13" t="str">
        <x:v>NC 09 Corrección de precios / VES / terceros / R4 Puerto libre Santa Elena de Uairén / sin cobro propio</x:v>
      </x:c>
      <x:c r="C123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F-NC-09-VES-T1-R4-C0: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special_tax_regime_id=4 (Puerto libre Santa Elena de Uairén);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3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35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3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36" ht="390" customHeight="1">
      <x:c r="A1236" s="13" t="str">
        <x:v>QA-NHD-110</x:v>
      </x:c>
      <x:c r="B1236" s="13" t="str">
        <x:v>NC 09 Corrección de precios / VES / terceros / R5 Zona Libre de Mérida / sin cobro propio</x:v>
      </x:c>
      <x:c r="C123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F-NC-09-VES-T1-R5-C0: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special_tax_regime_id=5 (Zona Libre de Mérida);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3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36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3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37" ht="390" customHeight="1">
      <x:c r="A1237" s="13" t="str">
        <x:v>QA-NHD-111</x:v>
      </x:c>
      <x:c r="B1237" s="13" t="str">
        <x:v>NC 09 Corrección de precios / VES / terceros / R6 Puerto libre Estado Nueva Esparta / sin cobro propio</x:v>
      </x:c>
      <x:c r="C123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F-NC-09-VES-T1-R6-C0: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special_tax_regime_id=6 (Puerto libre Estado Nueva Esparta);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3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37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3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38" ht="390" customHeight="1">
      <x:c r="A1238" s="13" t="str">
        <x:v>QA-NHD-112</x:v>
      </x:c>
      <x:c r="B1238" s="13" t="str">
        <x:v>NC 09 Corrección de precios / VES / terceros / R7 Dutty Free / sin cobro propio</x:v>
      </x:c>
      <x:c r="C123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F-NC-09-VES-T1-R7-C0: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special_tax_regime_id=7 (Dutty Free);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3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38" s="13" t="str">
        <x:v>NC interna 07 → HKA 02, tipoTransaccion=04;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3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39" ht="390" customHeight="1">
      <x:c r="A1239" s="13" t="str">
        <x:v>QA-NHD-113</x:v>
      </x:c>
      <x:c r="B1239" s="13" t="str">
        <x:v>NC 09 Corrección de precios / USD / propia / R0 Sin régimen / sin cobro propio</x:v>
      </x:c>
      <x:c r="C123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F-NC-09-USD-T0-R0-C0: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special_tax_regime_id=null (Sin régimen);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3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39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3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40" ht="390" customHeight="1">
      <x:c r="A1240" s="13" t="str">
        <x:v>QA-NHD-114</x:v>
      </x:c>
      <x:c r="B1240" s="13" t="str">
        <x:v>NC 09 Corrección de precios / USD / propia / R1 Zonas económicas especiales / sin cobro propio</x:v>
      </x:c>
      <x:c r="C124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F-NC-09-USD-T0-R1-C0: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special_tax_regime_id=1 (Zonas económicas especiales);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4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40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4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41" ht="390" customHeight="1">
      <x:c r="A1241" s="13" t="str">
        <x:v>QA-NHD-115</x:v>
      </x:c>
      <x:c r="B1241" s="13" t="str">
        <x:v>NC 09 Corrección de precios / USD / propia / R2 Zona franca de Paraguaná / sin cobro propio</x:v>
      </x:c>
      <x:c r="C124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F-NC-09-USD-T0-R2-C0: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special_tax_regime_id=2 (Zona franca de Paraguaná);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4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41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4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42" ht="390" customHeight="1">
      <x:c r="A1242" s="13" t="str">
        <x:v>QA-NHD-116</x:v>
      </x:c>
      <x:c r="B1242" s="13" t="str">
        <x:v>NC 09 Corrección de precios / USD / propia / R3 Zona libre de Paraguaná / sin cobro propio</x:v>
      </x:c>
      <x:c r="C124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F-NC-09-USD-T0-R3-C0: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special_tax_regime_id=3 (Zona libre de Paraguaná);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4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42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4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43" ht="390" customHeight="1">
      <x:c r="A1243" s="13" t="str">
        <x:v>QA-NHD-117</x:v>
      </x:c>
      <x:c r="B1243" s="13" t="str">
        <x:v>NC 09 Corrección de precios / USD / propia / R4 Puerto libre Santa Elena de Uairén / sin cobro propio</x:v>
      </x:c>
      <x:c r="C124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F-NC-09-USD-T0-R4-C0: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special_tax_regime_id=4 (Puerto libre Santa Elena de Uairén);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4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43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4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44" ht="390" customHeight="1">
      <x:c r="A1244" s="13" t="str">
        <x:v>QA-NHD-118</x:v>
      </x:c>
      <x:c r="B1244" s="13" t="str">
        <x:v>NC 09 Corrección de precios / USD / propia / R5 Zona Libre de Mérida / sin cobro propio</x:v>
      </x:c>
      <x:c r="C124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F-NC-09-USD-T0-R5-C0: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special_tax_regime_id=5 (Zona Libre de Mérida);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4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44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4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45" ht="390" customHeight="1">
      <x:c r="A1245" s="13" t="str">
        <x:v>QA-NHD-119</x:v>
      </x:c>
      <x:c r="B1245" s="13" t="str">
        <x:v>NC 09 Corrección de precios / USD / propia / R6 Puerto libre Estado Nueva Esparta / sin cobro propio</x:v>
      </x:c>
      <x:c r="C124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F-NC-09-USD-T0-R6-C0: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special_tax_regime_id=6 (Puerto libre Estado Nueva Esparta);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4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45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4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46" ht="390" customHeight="1">
      <x:c r="A1246" s="13" t="str">
        <x:v>QA-NHD-120</x:v>
      </x:c>
      <x:c r="B1246" s="13" t="str">
        <x:v>NC 09 Corrección de precios / USD / propia / R7 Dutty Free / sin cobro propio</x:v>
      </x:c>
      <x:c r="C124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F-NC-09-USD-T0-R7-C0: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special_tax_regime_id=7 (Dutty Free);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4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46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4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47" ht="390" customHeight="1">
      <x:c r="A1247" s="13" t="str">
        <x:v>QA-NHD-121</x:v>
      </x:c>
      <x:c r="B1247" s="13" t="str">
        <x:v>NC 09 Corrección de precios / USD / terceros / R0 Sin régimen / sin cobro propio</x:v>
      </x:c>
      <x:c r="C124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F-NC-09-USD-T1-R0-C0: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special_tax_regime_id=null (Sin régimen);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4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47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4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48" ht="390" customHeight="1">
      <x:c r="A1248" s="13" t="str">
        <x:v>QA-NHD-122</x:v>
      </x:c>
      <x:c r="B1248" s="13" t="str">
        <x:v>NC 09 Corrección de precios / USD / terceros / R1 Zonas económicas especiales / sin cobro propio</x:v>
      </x:c>
      <x:c r="C124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F-NC-09-USD-T1-R1-C0: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special_tax_regime_id=1 (Zonas económicas especiales);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4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48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4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49" ht="390" customHeight="1">
      <x:c r="A1249" s="13" t="str">
        <x:v>QA-NHD-123</x:v>
      </x:c>
      <x:c r="B1249" s="13" t="str">
        <x:v>NC 09 Corrección de precios / USD / terceros / R2 Zona franca de Paraguaná / sin cobro propio</x:v>
      </x:c>
      <x:c r="C124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F-NC-09-USD-T1-R2-C0: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special_tax_regime_id=2 (Zona franca de Paraguaná);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4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49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4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50" ht="390" customHeight="1">
      <x:c r="A1250" s="13" t="str">
        <x:v>QA-NHD-124</x:v>
      </x:c>
      <x:c r="B1250" s="13" t="str">
        <x:v>NC 09 Corrección de precios / USD / terceros / R3 Zona libre de Paraguaná / sin cobro propio</x:v>
      </x:c>
      <x:c r="C125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F-NC-09-USD-T1-R3-C0: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special_tax_regime_id=3 (Zona libre de Paraguaná);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5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50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5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51" ht="390" customHeight="1">
      <x:c r="A1251" s="13" t="str">
        <x:v>QA-NHD-125</x:v>
      </x:c>
      <x:c r="B1251" s="13" t="str">
        <x:v>NC 09 Corrección de precios / USD / terceros / R4 Puerto libre Santa Elena de Uairén / sin cobro propio</x:v>
      </x:c>
      <x:c r="C125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F-NC-09-USD-T1-R4-C0: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special_tax_regime_id=4 (Puerto libre Santa Elena de Uairén);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5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51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5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52" ht="390" customHeight="1">
      <x:c r="A1252" s="13" t="str">
        <x:v>QA-NHD-126</x:v>
      </x:c>
      <x:c r="B1252" s="13" t="str">
        <x:v>NC 09 Corrección de precios / USD / terceros / R5 Zona Libre de Mérida / sin cobro propio</x:v>
      </x:c>
      <x:c r="C125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F-NC-09-USD-T1-R5-C0: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special_tax_regime_id=5 (Zona Libre de Mérida);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5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52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5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53" ht="390" customHeight="1">
      <x:c r="A1253" s="13" t="str">
        <x:v>QA-NHD-127</x:v>
      </x:c>
      <x:c r="B1253" s="13" t="str">
        <x:v>NC 09 Corrección de precios / USD / terceros / R6 Puerto libre Estado Nueva Esparta / sin cobro propio</x:v>
      </x:c>
      <x:c r="C125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F-NC-09-USD-T1-R6-C0: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special_tax_regime_id=6 (Puerto libre Estado Nueva Esparta);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5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53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5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54" ht="390" customHeight="1">
      <x:c r="A1254" s="13" t="str">
        <x:v>QA-NHD-128</x:v>
      </x:c>
      <x:c r="B1254" s="13" t="str">
        <x:v>NC 09 Corrección de precios / USD / terceros / R7 Dutty Free / sin cobro propio</x:v>
      </x:c>
      <x:c r="C125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F-NC-09-USD-T1-R7-C0: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special_tax_regime_id=7 (Dutty Free); validar texto exacto del catálogo en snapshot. Nota: sin condición de cobro y sin pagos propios; disminuir base por 10, IVA 1.60, sin cantidad física devuelta; tasa 50.00000000 original de la factura. UUID note_creation_key nuevo y enlaces affected_document_item_id reales. Aplican los fixtures y precondiciones comunes del grupo; sólo crear datos sintéticos propios de la corrida.</x:v>
      </x:c>
      <x:c r="D125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disminuir base por 10, IVA 1.60, sin cantidad física devuelta, descripción QA del ID y UUID. Confirmar moneda y tasa 50.00000000 original de la factura;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54" s="13" t="str">
        <x:v>NC interna 07 → HKA 02, tipoTransaccion=04; no heredar 99 como transacción de nota. Total local 11.60 USD, base 10.00, IVA 1.60; Δstock=+0 UND en almacén original. Heredar tercero/régimen sin consultar datos mutados. Referencia mantiene total original 232, tasa original 50 y control de F. Principal fiscal HKA 580.00 VES si USD; el dinero local permanece USD. NC sin pagos ni egresos; saldo cobrable NC=0 y saldo aritmético F=−11.60, hasta registrar devolución separada.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USD×tasa=580.00 VES. Δstock=0; Δcobros=0; Δdevoluciones=0. Saldo F=232−232−NC+devolución; ND=11.60−cobros ND. A4/A5 nunca alteran valores locales.</x:v>
      </x:c>
      <x:c r="F125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55" ht="390" customHeight="1">
      <x:c r="A1255" s="13" t="str">
        <x:v>QA-NHD-129</x:v>
      </x:c>
      <x:c r="B1255" s="13" t="str">
        <x:v>ND 02 Incremento de precios / VES / propia / R0 Sin régimen / sin cobro propio</x:v>
      </x:c>
      <x:c r="C125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F-ND-02-VES-T0-R0-C0: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special_tax_regime_id=null (Sin régimen);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5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55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5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56" ht="390" customHeight="1">
      <x:c r="A1256" s="13" t="str">
        <x:v>QA-NHD-130</x:v>
      </x:c>
      <x:c r="B1256" s="13" t="str">
        <x:v>ND 02 Incremento de precios / VES / propia / R1 Zonas económicas especiales / sin cobro propio</x:v>
      </x:c>
      <x:c r="C125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F-ND-02-VES-T0-R1-C0: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special_tax_regime_id=1 (Zonas económicas especiales);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5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56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5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57" ht="390" customHeight="1">
      <x:c r="A1257" s="13" t="str">
        <x:v>QA-NHD-131</x:v>
      </x:c>
      <x:c r="B1257" s="13" t="str">
        <x:v>ND 02 Incremento de precios / VES / propia / R2 Zona franca de Paraguaná / sin cobro propio</x:v>
      </x:c>
      <x:c r="C125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F-ND-02-VES-T0-R2-C0: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special_tax_regime_id=2 (Zona franca de Paraguaná);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5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57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5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58" ht="390" customHeight="1">
      <x:c r="A1258" s="13" t="str">
        <x:v>QA-NHD-132</x:v>
      </x:c>
      <x:c r="B1258" s="13" t="str">
        <x:v>ND 02 Incremento de precios / VES / propia / R3 Zona libre de Paraguaná / sin cobro propio</x:v>
      </x:c>
      <x:c r="C125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F-ND-02-VES-T0-R3-C0: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special_tax_regime_id=3 (Zona libre de Paraguaná);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5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58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5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59" ht="390" customHeight="1">
      <x:c r="A1259" s="13" t="str">
        <x:v>QA-NHD-133</x:v>
      </x:c>
      <x:c r="B1259" s="13" t="str">
        <x:v>ND 02 Incremento de precios / VES / propia / R4 Puerto libre Santa Elena de Uairén / sin cobro propio</x:v>
      </x:c>
      <x:c r="C125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F-ND-02-VES-T0-R4-C0: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special_tax_regime_id=4 (Puerto libre Santa Elena de Uairén);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5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59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5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60" ht="390" customHeight="1">
      <x:c r="A1260" s="13" t="str">
        <x:v>QA-NHD-134</x:v>
      </x:c>
      <x:c r="B1260" s="13" t="str">
        <x:v>ND 02 Incremento de precios / VES / propia / R5 Zona Libre de Mérida / sin cobro propio</x:v>
      </x:c>
      <x:c r="C126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F-ND-02-VES-T0-R5-C0: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special_tax_regime_id=5 (Zona Libre de Mérida);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6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60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6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61" ht="390" customHeight="1">
      <x:c r="A1261" s="13" t="str">
        <x:v>QA-NHD-135</x:v>
      </x:c>
      <x:c r="B1261" s="13" t="str">
        <x:v>ND 02 Incremento de precios / VES / propia / R6 Puerto libre Estado Nueva Esparta / sin cobro propio</x:v>
      </x:c>
      <x:c r="C126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F-ND-02-VES-T0-R6-C0: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special_tax_regime_id=6 (Puerto libre Estado Nueva Esparta);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6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61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6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62" ht="390" customHeight="1">
      <x:c r="A1262" s="13" t="str">
        <x:v>QA-NHD-136</x:v>
      </x:c>
      <x:c r="B1262" s="13" t="str">
        <x:v>ND 02 Incremento de precios / VES / propia / R7 Dutty Free / sin cobro propio</x:v>
      </x:c>
      <x:c r="C126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F-ND-02-VES-T0-R7-C0: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special_tax_regime_id=7 (Dutty Free);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6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62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6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63" ht="390" customHeight="1">
      <x:c r="A1263" s="13" t="str">
        <x:v>QA-NHD-137</x:v>
      </x:c>
      <x:c r="B1263" s="13" t="str">
        <x:v>ND 02 Incremento de precios / VES / terceros / R0 Sin régimen / sin cobro propio</x:v>
      </x:c>
      <x:c r="C126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F-ND-02-VES-T1-R0-C0: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special_tax_regime_id=null (Sin régimen);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6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63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6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64" ht="390" customHeight="1">
      <x:c r="A1264" s="13" t="str">
        <x:v>QA-NHD-138</x:v>
      </x:c>
      <x:c r="B1264" s="13" t="str">
        <x:v>ND 02 Incremento de precios / VES / terceros / R1 Zonas económicas especiales / sin cobro propio</x:v>
      </x:c>
      <x:c r="C126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F-ND-02-VES-T1-R1-C0: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special_tax_regime_id=1 (Zonas económicas especiales);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6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64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6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65" ht="390" customHeight="1">
      <x:c r="A1265" s="13" t="str">
        <x:v>QA-NHD-139</x:v>
      </x:c>
      <x:c r="B1265" s="13" t="str">
        <x:v>ND 02 Incremento de precios / VES / terceros / R2 Zona franca de Paraguaná / sin cobro propio</x:v>
      </x:c>
      <x:c r="C126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F-ND-02-VES-T1-R2-C0: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special_tax_regime_id=2 (Zona franca de Paraguaná);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6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65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6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66" ht="390" customHeight="1">
      <x:c r="A1266" s="13" t="str">
        <x:v>QA-NHD-140</x:v>
      </x:c>
      <x:c r="B1266" s="13" t="str">
        <x:v>ND 02 Incremento de precios / VES / terceros / R3 Zona libre de Paraguaná / sin cobro propio</x:v>
      </x:c>
      <x:c r="C126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F-ND-02-VES-T1-R3-C0: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special_tax_regime_id=3 (Zona libre de Paraguaná);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6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66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6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67" ht="390" customHeight="1">
      <x:c r="A1267" s="13" t="str">
        <x:v>QA-NHD-141</x:v>
      </x:c>
      <x:c r="B1267" s="13" t="str">
        <x:v>ND 02 Incremento de precios / VES / terceros / R4 Puerto libre Santa Elena de Uairén / sin cobro propio</x:v>
      </x:c>
      <x:c r="C126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F-ND-02-VES-T1-R4-C0: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special_tax_regime_id=4 (Puerto libre Santa Elena de Uairén);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6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67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6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68" ht="390" customHeight="1">
      <x:c r="A1268" s="13" t="str">
        <x:v>QA-NHD-142</x:v>
      </x:c>
      <x:c r="B1268" s="13" t="str">
        <x:v>ND 02 Incremento de precios / VES / terceros / R5 Zona Libre de Mérida / sin cobro propio</x:v>
      </x:c>
      <x:c r="C126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F-ND-02-VES-T1-R5-C0: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special_tax_regime_id=5 (Zona Libre de Mérida);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6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68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6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69" ht="390" customHeight="1">
      <x:c r="A1269" s="13" t="str">
        <x:v>QA-NHD-143</x:v>
      </x:c>
      <x:c r="B1269" s="13" t="str">
        <x:v>ND 02 Incremento de precios / VES / terceros / R6 Puerto libre Estado Nueva Esparta / sin cobro propio</x:v>
      </x:c>
      <x:c r="C126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F-ND-02-VES-T1-R6-C0: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special_tax_regime_id=6 (Puerto libre Estado Nueva Esparta);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6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69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6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70" ht="390" customHeight="1">
      <x:c r="A1270" s="13" t="str">
        <x:v>QA-NHD-144</x:v>
      </x:c>
      <x:c r="B1270" s="13" t="str">
        <x:v>ND 02 Incremento de precios / VES / terceros / R7 Dutty Free / sin cobro propio</x:v>
      </x:c>
      <x:c r="C127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F-ND-02-VES-T1-R7-C0: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special_tax_regime_id=7 (Dutty Free);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7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70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7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71" ht="390" customHeight="1">
      <x:c r="A1271" s="13" t="str">
        <x:v>QA-NHD-145</x:v>
      </x:c>
      <x:c r="B1271" s="13" t="str">
        <x:v>ND 02 Incremento de precios / USD / propia / R0 Sin régimen / sin cobro propio</x:v>
      </x:c>
      <x:c r="C127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F-ND-02-USD-T0-R0-C0: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special_tax_regime_id=null (Sin régimen);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7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71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27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72" ht="390" customHeight="1">
      <x:c r="A1272" s="13" t="str">
        <x:v>QA-NHD-146</x:v>
      </x:c>
      <x:c r="B1272" s="13" t="str">
        <x:v>ND 02 Incremento de precios / USD / propia / R1 Zonas económicas especiales / sin cobro propio</x:v>
      </x:c>
      <x:c r="C127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F-ND-02-USD-T0-R1-C0: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special_tax_regime_id=1 (Zonas económicas especiales);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7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72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27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73" ht="390" customHeight="1">
      <x:c r="A1273" s="13" t="str">
        <x:v>QA-NHD-147</x:v>
      </x:c>
      <x:c r="B1273" s="13" t="str">
        <x:v>ND 02 Incremento de precios / USD / propia / R2 Zona franca de Paraguaná / sin cobro propio</x:v>
      </x:c>
      <x:c r="C127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F-ND-02-USD-T0-R2-C0: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special_tax_regime_id=2 (Zona franca de Paraguaná);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7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73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27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74" ht="390" customHeight="1">
      <x:c r="A1274" s="13" t="str">
        <x:v>QA-NHD-148</x:v>
      </x:c>
      <x:c r="B1274" s="13" t="str">
        <x:v>ND 02 Incremento de precios / USD / propia / R3 Zona libre de Paraguaná / sin cobro propio</x:v>
      </x:c>
      <x:c r="C127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F-ND-02-USD-T0-R3-C0: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special_tax_regime_id=3 (Zona libre de Paraguaná);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7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74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27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75" ht="390" customHeight="1">
      <x:c r="A1275" s="13" t="str">
        <x:v>QA-NHD-149</x:v>
      </x:c>
      <x:c r="B1275" s="13" t="str">
        <x:v>ND 02 Incremento de precios / USD / propia / R4 Puerto libre Santa Elena de Uairén / sin cobro propio</x:v>
      </x:c>
      <x:c r="C127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F-ND-02-USD-T0-R4-C0: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special_tax_regime_id=4 (Puerto libre Santa Elena de Uairén);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7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75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27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76" ht="390" customHeight="1">
      <x:c r="A1276" s="13" t="str">
        <x:v>QA-NHD-150</x:v>
      </x:c>
      <x:c r="B1276" s="13" t="str">
        <x:v>ND 02 Incremento de precios / USD / propia / R5 Zona Libre de Mérida / sin cobro propio</x:v>
      </x:c>
      <x:c r="C127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F-ND-02-USD-T0-R5-C0: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special_tax_regime_id=5 (Zona Libre de Mérida);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7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76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27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77" ht="390" customHeight="1">
      <x:c r="A1277" s="13" t="str">
        <x:v>QA-NHD-151</x:v>
      </x:c>
      <x:c r="B1277" s="13" t="str">
        <x:v>ND 02 Incremento de precios / USD / propia / R6 Puerto libre Estado Nueva Esparta / sin cobro propio</x:v>
      </x:c>
      <x:c r="C127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F-ND-02-USD-T0-R6-C0: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special_tax_regime_id=6 (Puerto libre Estado Nueva Esparta);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7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77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27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78" ht="390" customHeight="1">
      <x:c r="A1278" s="13" t="str">
        <x:v>QA-NHD-152</x:v>
      </x:c>
      <x:c r="B1278" s="13" t="str">
        <x:v>ND 02 Incremento de precios / USD / propia / R7 Dutty Free / sin cobro propio</x:v>
      </x:c>
      <x:c r="C127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F-ND-02-USD-T0-R7-C0: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special_tax_regime_id=7 (Dutty Free);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7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78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27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79" ht="390" customHeight="1">
      <x:c r="A1279" s="13" t="str">
        <x:v>QA-NHD-153</x:v>
      </x:c>
      <x:c r="B1279" s="13" t="str">
        <x:v>ND 02 Incremento de precios / USD / terceros / R0 Sin régimen / sin cobro propio</x:v>
      </x:c>
      <x:c r="C127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F-ND-02-USD-T1-R0-C0: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special_tax_regime_id=null (Sin régimen);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7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79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27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80" ht="390" customHeight="1">
      <x:c r="A1280" s="13" t="str">
        <x:v>QA-NHD-154</x:v>
      </x:c>
      <x:c r="B1280" s="13" t="str">
        <x:v>ND 02 Incremento de precios / USD / terceros / R1 Zonas económicas especiales / sin cobro propio</x:v>
      </x:c>
      <x:c r="C128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F-ND-02-USD-T1-R1-C0: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special_tax_regime_id=1 (Zonas económicas especiales);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8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80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28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81" ht="390" customHeight="1">
      <x:c r="A1281" s="13" t="str">
        <x:v>QA-NHD-155</x:v>
      </x:c>
      <x:c r="B1281" s="13" t="str">
        <x:v>ND 02 Incremento de precios / USD / terceros / R2 Zona franca de Paraguaná / sin cobro propio</x:v>
      </x:c>
      <x:c r="C128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F-ND-02-USD-T1-R2-C0: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special_tax_regime_id=2 (Zona franca de Paraguaná);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8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81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28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82" ht="390" customHeight="1">
      <x:c r="A1282" s="13" t="str">
        <x:v>QA-NHD-156</x:v>
      </x:c>
      <x:c r="B1282" s="13" t="str">
        <x:v>ND 02 Incremento de precios / USD / terceros / R3 Zona libre de Paraguaná / sin cobro propio</x:v>
      </x:c>
      <x:c r="C128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F-ND-02-USD-T1-R3-C0: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special_tax_regime_id=3 (Zona libre de Paraguaná);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8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82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28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83" ht="390" customHeight="1">
      <x:c r="A1283" s="13" t="str">
        <x:v>QA-NHD-157</x:v>
      </x:c>
      <x:c r="B1283" s="13" t="str">
        <x:v>ND 02 Incremento de precios / USD / terceros / R4 Puerto libre Santa Elena de Uairén / sin cobro propio</x:v>
      </x:c>
      <x:c r="C128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F-ND-02-USD-T1-R4-C0: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special_tax_regime_id=4 (Puerto libre Santa Elena de Uairén);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8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83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28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84" ht="390" customHeight="1">
      <x:c r="A1284" s="13" t="str">
        <x:v>QA-NHD-158</x:v>
      </x:c>
      <x:c r="B1284" s="13" t="str">
        <x:v>ND 02 Incremento de precios / USD / terceros / R5 Zona Libre de Mérida / sin cobro propio</x:v>
      </x:c>
      <x:c r="C128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F-ND-02-USD-T1-R5-C0: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special_tax_regime_id=5 (Zona Libre de Mérida);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8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84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28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85" ht="390" customHeight="1">
      <x:c r="A1285" s="13" t="str">
        <x:v>QA-NHD-159</x:v>
      </x:c>
      <x:c r="B1285" s="13" t="str">
        <x:v>ND 02 Incremento de precios / USD / terceros / R6 Puerto libre Estado Nueva Esparta / sin cobro propio</x:v>
      </x:c>
      <x:c r="C128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F-ND-02-USD-T1-R6-C0: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special_tax_regime_id=6 (Puerto libre Estado Nueva Esparta);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8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85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28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86" ht="390" customHeight="1">
      <x:c r="A1286" s="13" t="str">
        <x:v>QA-NHD-160</x:v>
      </x:c>
      <x:c r="B1286" s="13" t="str">
        <x:v>ND 02 Incremento de precios / USD / terceros / R7 Dutty Free / sin cobro propio</x:v>
      </x:c>
      <x:c r="C128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F-ND-02-USD-T1-R7-C0: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special_tax_regime_id=7 (Dutty Free); validar texto exacto del catálogo en snapshot. Nota: Crédito 02 / sin abonos;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28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86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28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87" ht="390" customHeight="1">
      <x:c r="A1287" s="13" t="str">
        <x:v>QA-NHD-161</x:v>
      </x:c>
      <x:c r="B1287" s="13" t="str">
        <x:v>ND 01 Intereses / VES / propia / R0 Sin régimen / sin cobro propio</x:v>
      </x:c>
      <x:c r="C128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F-ND-01-VES-T0-R0-C0: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special_tax_regime_id=null (Sin régimen);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28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87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8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88" ht="390" customHeight="1">
      <x:c r="A1288" s="13" t="str">
        <x:v>QA-NHD-162</x:v>
      </x:c>
      <x:c r="B1288" s="13" t="str">
        <x:v>ND 01 Intereses / VES / propia / R1 Zonas económicas especiales / sin cobro propio</x:v>
      </x:c>
      <x:c r="C128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F-ND-01-VES-T0-R1-C0: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special_tax_regime_id=1 (Zonas económicas especiales);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28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88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8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89" ht="390" customHeight="1">
      <x:c r="A1289" s="13" t="str">
        <x:v>QA-NHD-163</x:v>
      </x:c>
      <x:c r="B1289" s="13" t="str">
        <x:v>ND 01 Intereses / VES / propia / R2 Zona franca de Paraguaná / sin cobro propio</x:v>
      </x:c>
      <x:c r="C128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F-ND-01-VES-T0-R2-C0: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special_tax_regime_id=2 (Zona franca de Paraguaná);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28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89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8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90" ht="390" customHeight="1">
      <x:c r="A1290" s="13" t="str">
        <x:v>QA-NHD-164</x:v>
      </x:c>
      <x:c r="B1290" s="13" t="str">
        <x:v>ND 01 Intereses / VES / propia / R3 Zona libre de Paraguaná / sin cobro propio</x:v>
      </x:c>
      <x:c r="C129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F-ND-01-VES-T0-R3-C0: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special_tax_regime_id=3 (Zona libre de Paraguaná);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29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90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9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91" ht="390" customHeight="1">
      <x:c r="A1291" s="13" t="str">
        <x:v>QA-NHD-165</x:v>
      </x:c>
      <x:c r="B1291" s="13" t="str">
        <x:v>ND 01 Intereses / VES / propia / R4 Puerto libre Santa Elena de Uairén / sin cobro propio</x:v>
      </x:c>
      <x:c r="C129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F-ND-01-VES-T0-R4-C0: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special_tax_regime_id=4 (Puerto libre Santa Elena de Uairén);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29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91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9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92" ht="390" customHeight="1">
      <x:c r="A1292" s="13" t="str">
        <x:v>QA-NHD-166</x:v>
      </x:c>
      <x:c r="B1292" s="13" t="str">
        <x:v>ND 01 Intereses / VES / propia / R5 Zona Libre de Mérida / sin cobro propio</x:v>
      </x:c>
      <x:c r="C129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F-ND-01-VES-T0-R5-C0: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special_tax_regime_id=5 (Zona Libre de Mérida);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29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92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9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93" ht="390" customHeight="1">
      <x:c r="A1293" s="13" t="str">
        <x:v>QA-NHD-167</x:v>
      </x:c>
      <x:c r="B1293" s="13" t="str">
        <x:v>ND 01 Intereses / VES / propia / R6 Puerto libre Estado Nueva Esparta / sin cobro propio</x:v>
      </x:c>
      <x:c r="C129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F-ND-01-VES-T0-R6-C0: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special_tax_regime_id=6 (Puerto libre Estado Nueva Esparta);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29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93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9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94" ht="390" customHeight="1">
      <x:c r="A1294" s="13" t="str">
        <x:v>QA-NHD-168</x:v>
      </x:c>
      <x:c r="B1294" s="13" t="str">
        <x:v>ND 01 Intereses / VES / propia / R7 Dutty Free / sin cobro propio</x:v>
      </x:c>
      <x:c r="C129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F-ND-01-VES-T0-R7-C0: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special_tax_regime_id=7 (Dutty Free);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29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94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9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95" ht="390" customHeight="1">
      <x:c r="A1295" s="13" t="str">
        <x:v>QA-NHD-169</x:v>
      </x:c>
      <x:c r="B1295" s="13" t="str">
        <x:v>ND 01 Intereses / VES / terceros / R0 Sin régimen / sin cobro propio</x:v>
      </x:c>
      <x:c r="C129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F-ND-01-VES-T1-R0-C0: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special_tax_regime_id=null (Sin régimen);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29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95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9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96" ht="390" customHeight="1">
      <x:c r="A1296" s="13" t="str">
        <x:v>QA-NHD-170</x:v>
      </x:c>
      <x:c r="B1296" s="13" t="str">
        <x:v>ND 01 Intereses / VES / terceros / R1 Zonas económicas especiales / sin cobro propio</x:v>
      </x:c>
      <x:c r="C129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F-ND-01-VES-T1-R1-C0: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special_tax_regime_id=1 (Zonas económicas especiales);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29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96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9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97" ht="390" customHeight="1">
      <x:c r="A1297" s="13" t="str">
        <x:v>QA-NHD-171</x:v>
      </x:c>
      <x:c r="B1297" s="13" t="str">
        <x:v>ND 01 Intereses / VES / terceros / R2 Zona franca de Paraguaná / sin cobro propio</x:v>
      </x:c>
      <x:c r="C129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F-ND-01-VES-T1-R2-C0: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special_tax_regime_id=2 (Zona franca de Paraguaná);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29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97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9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98" ht="390" customHeight="1">
      <x:c r="A1298" s="13" t="str">
        <x:v>QA-NHD-172</x:v>
      </x:c>
      <x:c r="B1298" s="13" t="str">
        <x:v>ND 01 Intereses / VES / terceros / R3 Zona libre de Paraguaná / sin cobro propio</x:v>
      </x:c>
      <x:c r="C129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F-ND-01-VES-T1-R3-C0: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special_tax_regime_id=3 (Zona libre de Paraguaná);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29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98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9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299" ht="390" customHeight="1">
      <x:c r="A1299" s="13" t="str">
        <x:v>QA-NHD-173</x:v>
      </x:c>
      <x:c r="B1299" s="13" t="str">
        <x:v>ND 01 Intereses / VES / terceros / R4 Puerto libre Santa Elena de Uairén / sin cobro propio</x:v>
      </x:c>
      <x:c r="C129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F-ND-01-VES-T1-R4-C0: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special_tax_regime_id=4 (Puerto libre Santa Elena de Uairén);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29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299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29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00" ht="390" customHeight="1">
      <x:c r="A1300" s="13" t="str">
        <x:v>QA-NHD-174</x:v>
      </x:c>
      <x:c r="B1300" s="13" t="str">
        <x:v>ND 01 Intereses / VES / terceros / R5 Zona Libre de Mérida / sin cobro propio</x:v>
      </x:c>
      <x:c r="C130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F-ND-01-VES-T1-R5-C0: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special_tax_regime_id=5 (Zona Libre de Mérida);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0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00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30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01" ht="390" customHeight="1">
      <x:c r="A1301" s="13" t="str">
        <x:v>QA-NHD-175</x:v>
      </x:c>
      <x:c r="B1301" s="13" t="str">
        <x:v>ND 01 Intereses / VES / terceros / R6 Puerto libre Estado Nueva Esparta / sin cobro propio</x:v>
      </x:c>
      <x:c r="C130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F-ND-01-VES-T1-R6-C0: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special_tax_regime_id=6 (Puerto libre Estado Nueva Esparta);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0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01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30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02" ht="390" customHeight="1">
      <x:c r="A1302" s="13" t="str">
        <x:v>QA-NHD-176</x:v>
      </x:c>
      <x:c r="B1302" s="13" t="str">
        <x:v>ND 01 Intereses / VES / terceros / R7 Dutty Free / sin cobro propio</x:v>
      </x:c>
      <x:c r="C130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F-ND-01-VES-T1-R7-C0: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special_tax_regime_id=7 (Dutty Free);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0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02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30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03" ht="390" customHeight="1">
      <x:c r="A1303" s="13" t="str">
        <x:v>QA-NHD-177</x:v>
      </x:c>
      <x:c r="B1303" s="13" t="str">
        <x:v>ND 01 Intereses / USD / propia / R0 Sin régimen / sin cobro propio</x:v>
      </x:c>
      <x:c r="C130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F-ND-01-USD-T0-R0-C0: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special_tax_regime_id=null (Sin régimen);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0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03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0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04" ht="390" customHeight="1">
      <x:c r="A1304" s="13" t="str">
        <x:v>QA-NHD-178</x:v>
      </x:c>
      <x:c r="B1304" s="13" t="str">
        <x:v>ND 01 Intereses / USD / propia / R1 Zonas económicas especiales / sin cobro propio</x:v>
      </x:c>
      <x:c r="C130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F-ND-01-USD-T0-R1-C0: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special_tax_regime_id=1 (Zonas económicas especiales);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0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04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0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05" ht="390" customHeight="1">
      <x:c r="A1305" s="13" t="str">
        <x:v>QA-NHD-179</x:v>
      </x:c>
      <x:c r="B1305" s="13" t="str">
        <x:v>ND 01 Intereses / USD / propia / R2 Zona franca de Paraguaná / sin cobro propio</x:v>
      </x:c>
      <x:c r="C130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F-ND-01-USD-T0-R2-C0: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special_tax_regime_id=2 (Zona franca de Paraguaná);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0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05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0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06" ht="390" customHeight="1">
      <x:c r="A1306" s="13" t="str">
        <x:v>QA-NHD-180</x:v>
      </x:c>
      <x:c r="B1306" s="13" t="str">
        <x:v>ND 01 Intereses / USD / propia / R3 Zona libre de Paraguaná / sin cobro propio</x:v>
      </x:c>
      <x:c r="C130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F-ND-01-USD-T0-R3-C0: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special_tax_regime_id=3 (Zona libre de Paraguaná);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0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06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0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07" ht="390" customHeight="1">
      <x:c r="A1307" s="13" t="str">
        <x:v>QA-NHD-181</x:v>
      </x:c>
      <x:c r="B1307" s="13" t="str">
        <x:v>ND 01 Intereses / USD / propia / R4 Puerto libre Santa Elena de Uairén / sin cobro propio</x:v>
      </x:c>
      <x:c r="C130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F-ND-01-USD-T0-R4-C0: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special_tax_regime_id=4 (Puerto libre Santa Elena de Uairén);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0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07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0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08" ht="390" customHeight="1">
      <x:c r="A1308" s="13" t="str">
        <x:v>QA-NHD-182</x:v>
      </x:c>
      <x:c r="B1308" s="13" t="str">
        <x:v>ND 01 Intereses / USD / propia / R5 Zona Libre de Mérida / sin cobro propio</x:v>
      </x:c>
      <x:c r="C130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F-ND-01-USD-T0-R5-C0: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special_tax_regime_id=5 (Zona Libre de Mérida);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0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08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0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09" ht="390" customHeight="1">
      <x:c r="A1309" s="13" t="str">
        <x:v>QA-NHD-183</x:v>
      </x:c>
      <x:c r="B1309" s="13" t="str">
        <x:v>ND 01 Intereses / USD / propia / R6 Puerto libre Estado Nueva Esparta / sin cobro propio</x:v>
      </x:c>
      <x:c r="C130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F-ND-01-USD-T0-R6-C0: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special_tax_regime_id=6 (Puerto libre Estado Nueva Esparta);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0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09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0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10" ht="390" customHeight="1">
      <x:c r="A1310" s="13" t="str">
        <x:v>QA-NHD-184</x:v>
      </x:c>
      <x:c r="B1310" s="13" t="str">
        <x:v>ND 01 Intereses / USD / propia / R7 Dutty Free / sin cobro propio</x:v>
      </x:c>
      <x:c r="C131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F-ND-01-USD-T0-R7-C0: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special_tax_regime_id=7 (Dutty Free);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1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10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1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11" ht="390" customHeight="1">
      <x:c r="A1311" s="13" t="str">
        <x:v>QA-NHD-185</x:v>
      </x:c>
      <x:c r="B1311" s="13" t="str">
        <x:v>ND 01 Intereses / USD / terceros / R0 Sin régimen / sin cobro propio</x:v>
      </x:c>
      <x:c r="C131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F-ND-01-USD-T1-R0-C0: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special_tax_regime_id=null (Sin régimen);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1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11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1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12" ht="390" customHeight="1">
      <x:c r="A1312" s="13" t="str">
        <x:v>QA-NHD-186</x:v>
      </x:c>
      <x:c r="B1312" s="13" t="str">
        <x:v>ND 01 Intereses / USD / terceros / R1 Zonas económicas especiales / sin cobro propio</x:v>
      </x:c>
      <x:c r="C131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F-ND-01-USD-T1-R1-C0: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special_tax_regime_id=1 (Zonas económicas especiales);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1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12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1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13" ht="390" customHeight="1">
      <x:c r="A1313" s="13" t="str">
        <x:v>QA-NHD-187</x:v>
      </x:c>
      <x:c r="B1313" s="13" t="str">
        <x:v>ND 01 Intereses / USD / terceros / R2 Zona franca de Paraguaná / sin cobro propio</x:v>
      </x:c>
      <x:c r="C131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F-ND-01-USD-T1-R2-C0: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special_tax_regime_id=2 (Zona franca de Paraguaná);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1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13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1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14" ht="390" customHeight="1">
      <x:c r="A1314" s="13" t="str">
        <x:v>QA-NHD-188</x:v>
      </x:c>
      <x:c r="B1314" s="13" t="str">
        <x:v>ND 01 Intereses / USD / terceros / R3 Zona libre de Paraguaná / sin cobro propio</x:v>
      </x:c>
      <x:c r="C131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F-ND-01-USD-T1-R3-C0: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special_tax_regime_id=3 (Zona libre de Paraguaná);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1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14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1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15" ht="390" customHeight="1">
      <x:c r="A1315" s="13" t="str">
        <x:v>QA-NHD-189</x:v>
      </x:c>
      <x:c r="B1315" s="13" t="str">
        <x:v>ND 01 Intereses / USD / terceros / R4 Puerto libre Santa Elena de Uairén / sin cobro propio</x:v>
      </x:c>
      <x:c r="C131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F-ND-01-USD-T1-R4-C0: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special_tax_regime_id=4 (Puerto libre Santa Elena de Uairén);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1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15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1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16" ht="390" customHeight="1">
      <x:c r="A1316" s="13" t="str">
        <x:v>QA-NHD-190</x:v>
      </x:c>
      <x:c r="B1316" s="13" t="str">
        <x:v>ND 01 Intereses / USD / terceros / R5 Zona Libre de Mérida / sin cobro propio</x:v>
      </x:c>
      <x:c r="C131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F-ND-01-USD-T1-R5-C0: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special_tax_regime_id=5 (Zona Libre de Mérida);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1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16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1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17" ht="390" customHeight="1">
      <x:c r="A1317" s="13" t="str">
        <x:v>QA-NHD-191</x:v>
      </x:c>
      <x:c r="B1317" s="13" t="str">
        <x:v>ND 01 Intereses / USD / terceros / R6 Puerto libre Estado Nueva Esparta / sin cobro propio</x:v>
      </x:c>
      <x:c r="C131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F-ND-01-USD-T1-R6-C0: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special_tax_regime_id=6 (Puerto libre Estado Nueva Esparta);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1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17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1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18" ht="390" customHeight="1">
      <x:c r="A1318" s="13" t="str">
        <x:v>QA-NHD-192</x:v>
      </x:c>
      <x:c r="B1318" s="13" t="str">
        <x:v>ND 01 Intereses / USD / terceros / R7 Dutty Free / sin cobro propio</x:v>
      </x:c>
      <x:c r="C131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F-ND-01-USD-T1-R7-C0: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special_tax_regime_id=7 (Dutty Free);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1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18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1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19" ht="390" customHeight="1">
      <x:c r="A1319" s="13" t="str">
        <x:v>QA-NHD-193</x:v>
      </x:c>
      <x:c r="B1319" s="13" t="str">
        <x:v>ND 03 Fletes y gastos / VES / propia / R0 Sin régimen / sin cobro propio</x:v>
      </x:c>
      <x:c r="C131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F-ND-03-VES-T0-R0-C0: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special_tax_regime_id=null (Sin régimen);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1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19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31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20" ht="390" customHeight="1">
      <x:c r="A1320" s="13" t="str">
        <x:v>QA-NHD-194</x:v>
      </x:c>
      <x:c r="B1320" s="13" t="str">
        <x:v>ND 03 Fletes y gastos / VES / propia / R1 Zonas económicas especiales / sin cobro propio</x:v>
      </x:c>
      <x:c r="C132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F-ND-03-VES-T0-R1-C0: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special_tax_regime_id=1 (Zonas económicas especiales);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2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20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32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21" ht="390" customHeight="1">
      <x:c r="A1321" s="13" t="str">
        <x:v>QA-NHD-195</x:v>
      </x:c>
      <x:c r="B1321" s="13" t="str">
        <x:v>ND 03 Fletes y gastos / VES / propia / R2 Zona franca de Paraguaná / sin cobro propio</x:v>
      </x:c>
      <x:c r="C132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F-ND-03-VES-T0-R2-C0: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special_tax_regime_id=2 (Zona franca de Paraguaná);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2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21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32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22" ht="390" customHeight="1">
      <x:c r="A1322" s="13" t="str">
        <x:v>QA-NHD-196</x:v>
      </x:c>
      <x:c r="B1322" s="13" t="str">
        <x:v>ND 03 Fletes y gastos / VES / propia / R3 Zona libre de Paraguaná / sin cobro propio</x:v>
      </x:c>
      <x:c r="C132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F-ND-03-VES-T0-R3-C0: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special_tax_regime_id=3 (Zona libre de Paraguaná);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2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22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32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23" ht="390" customHeight="1">
      <x:c r="A1323" s="13" t="str">
        <x:v>QA-NHD-197</x:v>
      </x:c>
      <x:c r="B1323" s="13" t="str">
        <x:v>ND 03 Fletes y gastos / VES / propia / R4 Puerto libre Santa Elena de Uairén / sin cobro propio</x:v>
      </x:c>
      <x:c r="C132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F-ND-03-VES-T0-R4-C0: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special_tax_regime_id=4 (Puerto libre Santa Elena de Uairén);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2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23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32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24" ht="390" customHeight="1">
      <x:c r="A1324" s="13" t="str">
        <x:v>QA-NHD-198</x:v>
      </x:c>
      <x:c r="B1324" s="13" t="str">
        <x:v>ND 03 Fletes y gastos / VES / propia / R5 Zona Libre de Mérida / sin cobro propio</x:v>
      </x:c>
      <x:c r="C132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F-ND-03-VES-T0-R5-C0: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special_tax_regime_id=5 (Zona Libre de Mérida);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2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24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32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25" ht="390" customHeight="1">
      <x:c r="A1325" s="13" t="str">
        <x:v>QA-NHD-199</x:v>
      </x:c>
      <x:c r="B1325" s="13" t="str">
        <x:v>ND 03 Fletes y gastos / VES / propia / R6 Puerto libre Estado Nueva Esparta / sin cobro propio</x:v>
      </x:c>
      <x:c r="C132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F-ND-03-VES-T0-R6-C0: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special_tax_regime_id=6 (Puerto libre Estado Nueva Esparta);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2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25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32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26" ht="390" customHeight="1">
      <x:c r="A1326" s="13" t="str">
        <x:v>QA-NHD-200</x:v>
      </x:c>
      <x:c r="B1326" s="13" t="str">
        <x:v>ND 03 Fletes y gastos / VES / propia / R7 Dutty Free / sin cobro propio</x:v>
      </x:c>
      <x:c r="C132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F-ND-03-VES-T0-R7-C0: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special_tax_regime_id=7 (Dutty Free);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2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26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32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27" ht="390" customHeight="1">
      <x:c r="A1327" s="13" t="str">
        <x:v>QA-NHD-201</x:v>
      </x:c>
      <x:c r="B1327" s="13" t="str">
        <x:v>ND 03 Fletes y gastos / VES / terceros / R0 Sin régimen / sin cobro propio</x:v>
      </x:c>
      <x:c r="C132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F-ND-03-VES-T1-R0-C0: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special_tax_regime_id=null (Sin régimen);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2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27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32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28" ht="390" customHeight="1">
      <x:c r="A1328" s="13" t="str">
        <x:v>QA-NHD-202</x:v>
      </x:c>
      <x:c r="B1328" s="13" t="str">
        <x:v>ND 03 Fletes y gastos / VES / terceros / R1 Zonas económicas especiales / sin cobro propio</x:v>
      </x:c>
      <x:c r="C132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F-ND-03-VES-T1-R1-C0: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special_tax_regime_id=1 (Zonas económicas especiales);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2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28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32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29" ht="390" customHeight="1">
      <x:c r="A1329" s="13" t="str">
        <x:v>QA-NHD-203</x:v>
      </x:c>
      <x:c r="B1329" s="13" t="str">
        <x:v>ND 03 Fletes y gastos / VES / terceros / R2 Zona franca de Paraguaná / sin cobro propio</x:v>
      </x:c>
      <x:c r="C132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F-ND-03-VES-T1-R2-C0: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special_tax_regime_id=2 (Zona franca de Paraguaná);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2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29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32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30" ht="390" customHeight="1">
      <x:c r="A1330" s="13" t="str">
        <x:v>QA-NHD-204</x:v>
      </x:c>
      <x:c r="B1330" s="13" t="str">
        <x:v>ND 03 Fletes y gastos / VES / terceros / R3 Zona libre de Paraguaná / sin cobro propio</x:v>
      </x:c>
      <x:c r="C133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F-ND-03-VES-T1-R3-C0: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special_tax_regime_id=3 (Zona libre de Paraguaná);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3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30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33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31" ht="390" customHeight="1">
      <x:c r="A1331" s="13" t="str">
        <x:v>QA-NHD-205</x:v>
      </x:c>
      <x:c r="B1331" s="13" t="str">
        <x:v>ND 03 Fletes y gastos / VES / terceros / R4 Puerto libre Santa Elena de Uairén / sin cobro propio</x:v>
      </x:c>
      <x:c r="C133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F-ND-03-VES-T1-R4-C0: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special_tax_regime_id=4 (Puerto libre Santa Elena de Uairén);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3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31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33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32" ht="390" customHeight="1">
      <x:c r="A1332" s="13" t="str">
        <x:v>QA-NHD-206</x:v>
      </x:c>
      <x:c r="B1332" s="13" t="str">
        <x:v>ND 03 Fletes y gastos / VES / terceros / R5 Zona Libre de Mérida / sin cobro propio</x:v>
      </x:c>
      <x:c r="C133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F-ND-03-VES-T1-R5-C0: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special_tax_regime_id=5 (Zona Libre de Mérida);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3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32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33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33" ht="390" customHeight="1">
      <x:c r="A1333" s="13" t="str">
        <x:v>QA-NHD-207</x:v>
      </x:c>
      <x:c r="B1333" s="13" t="str">
        <x:v>ND 03 Fletes y gastos / VES / terceros / R6 Puerto libre Estado Nueva Esparta / sin cobro propio</x:v>
      </x:c>
      <x:c r="C133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F-ND-03-VES-T1-R6-C0: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special_tax_regime_id=6 (Puerto libre Estado Nueva Esparta);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3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33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33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34" ht="390" customHeight="1">
      <x:c r="A1334" s="13" t="str">
        <x:v>QA-NHD-208</x:v>
      </x:c>
      <x:c r="B1334" s="13" t="str">
        <x:v>ND 03 Fletes y gastos / VES / terceros / R7 Dutty Free / sin cobro propio</x:v>
      </x:c>
      <x:c r="C133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F-ND-03-VES-T1-R7-C0: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special_tax_regime_id=7 (Dutty Free);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3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34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Δcobros=0; Δdevoluciones=0. Saldo F=232−232−NC+devolución; ND=11.60−cobros ND. A4/A5 nunca alteran valores locales.</x:v>
      </x:c>
      <x:c r="F133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35" ht="390" customHeight="1">
      <x:c r="A1335" s="13" t="str">
        <x:v>QA-NHD-209</x:v>
      </x:c>
      <x:c r="B1335" s="13" t="str">
        <x:v>ND 03 Fletes y gastos / USD / propia / R0 Sin régimen / sin cobro propio</x:v>
      </x:c>
      <x:c r="C133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F-ND-03-USD-T0-R0-C0: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special_tax_regime_id=null (Sin régimen);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3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35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3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36" ht="390" customHeight="1">
      <x:c r="A1336" s="13" t="str">
        <x:v>QA-NHD-210</x:v>
      </x:c>
      <x:c r="B1336" s="13" t="str">
        <x:v>ND 03 Fletes y gastos / USD / propia / R1 Zonas económicas especiales / sin cobro propio</x:v>
      </x:c>
      <x:c r="C133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F-ND-03-USD-T0-R1-C0: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special_tax_regime_id=1 (Zonas económicas especiales);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3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36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3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37" ht="390" customHeight="1">
      <x:c r="A1337" s="13" t="str">
        <x:v>QA-NHD-211</x:v>
      </x:c>
      <x:c r="B1337" s="13" t="str">
        <x:v>ND 03 Fletes y gastos / USD / propia / R2 Zona franca de Paraguaná / sin cobro propio</x:v>
      </x:c>
      <x:c r="C133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F-ND-03-USD-T0-R2-C0: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special_tax_regime_id=2 (Zona franca de Paraguaná);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3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37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3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38" ht="390" customHeight="1">
      <x:c r="A1338" s="13" t="str">
        <x:v>QA-NHD-212</x:v>
      </x:c>
      <x:c r="B1338" s="13" t="str">
        <x:v>ND 03 Fletes y gastos / USD / propia / R3 Zona libre de Paraguaná / sin cobro propio</x:v>
      </x:c>
      <x:c r="C133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F-ND-03-USD-T0-R3-C0: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special_tax_regime_id=3 (Zona libre de Paraguaná);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3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38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3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39" ht="390" customHeight="1">
      <x:c r="A1339" s="13" t="str">
        <x:v>QA-NHD-213</x:v>
      </x:c>
      <x:c r="B1339" s="13" t="str">
        <x:v>ND 03 Fletes y gastos / USD / propia / R4 Puerto libre Santa Elena de Uairén / sin cobro propio</x:v>
      </x:c>
      <x:c r="C133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F-ND-03-USD-T0-R4-C0: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special_tax_regime_id=4 (Puerto libre Santa Elena de Uairén);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3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39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3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40" ht="390" customHeight="1">
      <x:c r="A1340" s="13" t="str">
        <x:v>QA-NHD-214</x:v>
      </x:c>
      <x:c r="B1340" s="13" t="str">
        <x:v>ND 03 Fletes y gastos / USD / propia / R5 Zona Libre de Mérida / sin cobro propio</x:v>
      </x:c>
      <x:c r="C134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F-ND-03-USD-T0-R5-C0: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special_tax_regime_id=5 (Zona Libre de Mérida);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4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40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4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41" ht="390" customHeight="1">
      <x:c r="A1341" s="13" t="str">
        <x:v>QA-NHD-215</x:v>
      </x:c>
      <x:c r="B1341" s="13" t="str">
        <x:v>ND 03 Fletes y gastos / USD / propia / R6 Puerto libre Estado Nueva Esparta / sin cobro propio</x:v>
      </x:c>
      <x:c r="C134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F-ND-03-USD-T0-R6-C0: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special_tax_regime_id=6 (Puerto libre Estado Nueva Esparta);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4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41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4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42" ht="390" customHeight="1">
      <x:c r="A1342" s="13" t="str">
        <x:v>QA-NHD-216</x:v>
      </x:c>
      <x:c r="B1342" s="13" t="str">
        <x:v>ND 03 Fletes y gastos / USD / propia / R7 Dutty Free / sin cobro propio</x:v>
      </x:c>
      <x:c r="C134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F-ND-03-USD-T0-R7-C0: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special_tax_regime_id=7 (Dutty Free);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4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42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4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43" ht="390" customHeight="1">
      <x:c r="A1343" s="13" t="str">
        <x:v>QA-NHD-217</x:v>
      </x:c>
      <x:c r="B1343" s="13" t="str">
        <x:v>ND 03 Fletes y gastos / USD / terceros / R0 Sin régimen / sin cobro propio</x:v>
      </x:c>
      <x:c r="C134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F-ND-03-USD-T1-R0-C0: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special_tax_regime_id=null (Sin régimen);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4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43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4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44" ht="390" customHeight="1">
      <x:c r="A1344" s="13" t="str">
        <x:v>QA-NHD-218</x:v>
      </x:c>
      <x:c r="B1344" s="13" t="str">
        <x:v>ND 03 Fletes y gastos / USD / terceros / R1 Zonas económicas especiales / sin cobro propio</x:v>
      </x:c>
      <x:c r="C134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F-ND-03-USD-T1-R1-C0: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special_tax_regime_id=1 (Zonas económicas especiales);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4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44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4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45" ht="390" customHeight="1">
      <x:c r="A1345" s="13" t="str">
        <x:v>QA-NHD-219</x:v>
      </x:c>
      <x:c r="B1345" s="13" t="str">
        <x:v>ND 03 Fletes y gastos / USD / terceros / R2 Zona franca de Paraguaná / sin cobro propio</x:v>
      </x:c>
      <x:c r="C134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F-ND-03-USD-T1-R2-C0: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special_tax_regime_id=2 (Zona franca de Paraguaná);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4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45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4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46" ht="390" customHeight="1">
      <x:c r="A1346" s="13" t="str">
        <x:v>QA-NHD-220</x:v>
      </x:c>
      <x:c r="B1346" s="13" t="str">
        <x:v>ND 03 Fletes y gastos / USD / terceros / R3 Zona libre de Paraguaná / sin cobro propio</x:v>
      </x:c>
      <x:c r="C134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F-ND-03-USD-T1-R3-C0: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special_tax_regime_id=3 (Zona libre de Paraguaná);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4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46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4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47" ht="390" customHeight="1">
      <x:c r="A1347" s="13" t="str">
        <x:v>QA-NHD-221</x:v>
      </x:c>
      <x:c r="B1347" s="13" t="str">
        <x:v>ND 03 Fletes y gastos / USD / terceros / R4 Puerto libre Santa Elena de Uairén / sin cobro propio</x:v>
      </x:c>
      <x:c r="C134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F-ND-03-USD-T1-R4-C0: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special_tax_regime_id=4 (Puerto libre Santa Elena de Uairén);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4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47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4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48" ht="390" customHeight="1">
      <x:c r="A1348" s="13" t="str">
        <x:v>QA-NHD-222</x:v>
      </x:c>
      <x:c r="B1348" s="13" t="str">
        <x:v>ND 03 Fletes y gastos / USD / terceros / R5 Zona Libre de Mérida / sin cobro propio</x:v>
      </x:c>
      <x:c r="C134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F-ND-03-USD-T1-R5-C0: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special_tax_regime_id=5 (Zona Libre de Mérida);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4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48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4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49" ht="390" customHeight="1">
      <x:c r="A1349" s="13" t="str">
        <x:v>QA-NHD-223</x:v>
      </x:c>
      <x:c r="B1349" s="13" t="str">
        <x:v>ND 03 Fletes y gastos / USD / terceros / R6 Puerto libre Estado Nueva Esparta / sin cobro propio</x:v>
      </x:c>
      <x:c r="C134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F-ND-03-USD-T1-R6-C0: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special_tax_regime_id=6 (Puerto libre Estado Nueva Esparta);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4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49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4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50" ht="390" customHeight="1">
      <x:c r="A1350" s="13" t="str">
        <x:v>QA-NHD-224</x:v>
      </x:c>
      <x:c r="B1350" s="13" t="str">
        <x:v>ND 03 Fletes y gastos / USD / terceros / R7 Dutty Free / sin cobro propio</x:v>
      </x:c>
      <x:c r="C135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F-ND-03-USD-T1-R7-C0: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special_tax_regime_id=7 (Dutty Free); validar texto exacto del catálogo en snapshot. Nota: Crédito 02 / sin abonos;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5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Guardar una vez y observar resultado fiscal después del commit. Cotejar payload saneado contra tipo/transacción/referencia/99 o cobro real; consultar la misma operación ante incertidumbre.
6. Con control confirmado descargar A4 y comparar hash con bytes del proveedor; obtener A5 y ticket, leer QR y cotejar URL conservada. Enviar correo sólo a destinatario QA y rastrear esa operación separadamente.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350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Saldo ND=11.60 y saldo F=0; declaración 99 del pendiente no crea cobro.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Δcobros=0; Δdevoluciones=0. Saldo F=232−232−NC+devolución; ND=11.60−cobros ND. A4/A5 nunca alteran valores locales.</x:v>
      </x:c>
      <x:c r="F135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51" ht="390" customHeight="1">
      <x:c r="A1351" s="13" t="str">
        <x:v>QA-NHD-225</x:v>
      </x:c>
      <x:c r="B1351" s="13" t="str">
        <x:v>ND 02 Incremento de precios / VES / propia / R0 Sin régimen / contado</x:v>
      </x:c>
      <x:c r="C135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F-ND-02-VES-T0-R0-C1: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special_tax_regime_id=null (Sin régimen);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5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51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5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52" ht="390" customHeight="1">
      <x:c r="A1352" s="13" t="str">
        <x:v>QA-NHD-226</x:v>
      </x:c>
      <x:c r="B1352" s="13" t="str">
        <x:v>ND 02 Incremento de precios / VES / propia / R1 Zonas económicas especiales / contado</x:v>
      </x:c>
      <x:c r="C135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F-ND-02-VES-T0-R1-C1: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special_tax_regime_id=1 (Zonas económicas especiales);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5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52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5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53" ht="390" customHeight="1">
      <x:c r="A1353" s="13" t="str">
        <x:v>QA-NHD-227</x:v>
      </x:c>
      <x:c r="B1353" s="13" t="str">
        <x:v>ND 02 Incremento de precios / VES / propia / R2 Zona franca de Paraguaná / contado</x:v>
      </x:c>
      <x:c r="C135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F-ND-02-VES-T0-R2-C1: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special_tax_regime_id=2 (Zona franca de Paraguaná);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5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53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5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54" ht="390" customHeight="1">
      <x:c r="A1354" s="13" t="str">
        <x:v>QA-NHD-228</x:v>
      </x:c>
      <x:c r="B1354" s="13" t="str">
        <x:v>ND 02 Incremento de precios / VES / propia / R3 Zona libre de Paraguaná / contado</x:v>
      </x:c>
      <x:c r="C135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F-ND-02-VES-T0-R3-C1: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special_tax_regime_id=3 (Zona libre de Paraguaná);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5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54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5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55" ht="390" customHeight="1">
      <x:c r="A1355" s="13" t="str">
        <x:v>QA-NHD-229</x:v>
      </x:c>
      <x:c r="B1355" s="13" t="str">
        <x:v>ND 02 Incremento de precios / VES / propia / R4 Puerto libre Santa Elena de Uairén / contado</x:v>
      </x:c>
      <x:c r="C135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F-ND-02-VES-T0-R4-C1: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special_tax_regime_id=4 (Puerto libre Santa Elena de Uairén);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5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55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5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56" ht="390" customHeight="1">
      <x:c r="A1356" s="13" t="str">
        <x:v>QA-NHD-230</x:v>
      </x:c>
      <x:c r="B1356" s="13" t="str">
        <x:v>ND 02 Incremento de precios / VES / propia / R5 Zona Libre de Mérida / contado</x:v>
      </x:c>
      <x:c r="C135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F-ND-02-VES-T0-R5-C1: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special_tax_regime_id=5 (Zona Libre de Mérida);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5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56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5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57" ht="390" customHeight="1">
      <x:c r="A1357" s="13" t="str">
        <x:v>QA-NHD-231</x:v>
      </x:c>
      <x:c r="B1357" s="13" t="str">
        <x:v>ND 02 Incremento de precios / VES / propia / R6 Puerto libre Estado Nueva Esparta / contado</x:v>
      </x:c>
      <x:c r="C135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F-ND-02-VES-T0-R6-C1: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special_tax_regime_id=6 (Puerto libre Estado Nueva Esparta);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5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57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5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58" ht="390" customHeight="1">
      <x:c r="A1358" s="13" t="str">
        <x:v>QA-NHD-232</x:v>
      </x:c>
      <x:c r="B1358" s="13" t="str">
        <x:v>ND 02 Incremento de precios / VES / propia / R7 Dutty Free / contado</x:v>
      </x:c>
      <x:c r="C135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F-ND-02-VES-T0-R7-C1: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special_tax_regime_id=7 (Dutty Free);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5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58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5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59" ht="390" customHeight="1">
      <x:c r="A1359" s="13" t="str">
        <x:v>QA-NHD-233</x:v>
      </x:c>
      <x:c r="B1359" s="13" t="str">
        <x:v>ND 02 Incremento de precios / VES / terceros / R0 Sin régimen / contado</x:v>
      </x:c>
      <x:c r="C135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F-ND-02-VES-T1-R0-C1: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special_tax_regime_id=null (Sin régimen);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5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59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5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60" ht="390" customHeight="1">
      <x:c r="A1360" s="13" t="str">
        <x:v>QA-NHD-234</x:v>
      </x:c>
      <x:c r="B1360" s="13" t="str">
        <x:v>ND 02 Incremento de precios / VES / terceros / R1 Zonas económicas especiales / contado</x:v>
      </x:c>
      <x:c r="C136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F-ND-02-VES-T1-R1-C1: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special_tax_regime_id=1 (Zonas económicas especiales);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6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60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6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61" ht="390" customHeight="1">
      <x:c r="A1361" s="13" t="str">
        <x:v>QA-NHD-235</x:v>
      </x:c>
      <x:c r="B1361" s="13" t="str">
        <x:v>ND 02 Incremento de precios / VES / terceros / R2 Zona franca de Paraguaná / contado</x:v>
      </x:c>
      <x:c r="C136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F-ND-02-VES-T1-R2-C1: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special_tax_regime_id=2 (Zona franca de Paraguaná);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6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61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6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62" ht="390" customHeight="1">
      <x:c r="A1362" s="13" t="str">
        <x:v>QA-NHD-236</x:v>
      </x:c>
      <x:c r="B1362" s="13" t="str">
        <x:v>ND 02 Incremento de precios / VES / terceros / R3 Zona libre de Paraguaná / contado</x:v>
      </x:c>
      <x:c r="C136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F-ND-02-VES-T1-R3-C1: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special_tax_regime_id=3 (Zona libre de Paraguaná);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6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62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6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63" ht="390" customHeight="1">
      <x:c r="A1363" s="13" t="str">
        <x:v>QA-NHD-237</x:v>
      </x:c>
      <x:c r="B1363" s="13" t="str">
        <x:v>ND 02 Incremento de precios / VES / terceros / R4 Puerto libre Santa Elena de Uairén / contado</x:v>
      </x:c>
      <x:c r="C136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F-ND-02-VES-T1-R4-C1: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special_tax_regime_id=4 (Puerto libre Santa Elena de Uairén);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6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63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6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64" ht="390" customHeight="1">
      <x:c r="A1364" s="13" t="str">
        <x:v>QA-NHD-238</x:v>
      </x:c>
      <x:c r="B1364" s="13" t="str">
        <x:v>ND 02 Incremento de precios / VES / terceros / R5 Zona Libre de Mérida / contado</x:v>
      </x:c>
      <x:c r="C136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F-ND-02-VES-T1-R5-C1: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special_tax_regime_id=5 (Zona Libre de Mérida);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6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64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6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65" ht="390" customHeight="1">
      <x:c r="A1365" s="13" t="str">
        <x:v>QA-NHD-239</x:v>
      </x:c>
      <x:c r="B1365" s="13" t="str">
        <x:v>ND 02 Incremento de precios / VES / terceros / R6 Puerto libre Estado Nueva Esparta / contado</x:v>
      </x:c>
      <x:c r="C136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F-ND-02-VES-T1-R6-C1: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special_tax_regime_id=6 (Puerto libre Estado Nueva Esparta);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6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65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6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66" ht="390" customHeight="1">
      <x:c r="A1366" s="13" t="str">
        <x:v>QA-NHD-240</x:v>
      </x:c>
      <x:c r="B1366" s="13" t="str">
        <x:v>ND 02 Incremento de precios / VES / terceros / R7 Dutty Free / contado</x:v>
      </x:c>
      <x:c r="C136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F-ND-02-VES-T1-R7-C1: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special_tax_regime_id=7 (Dutty Free);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6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66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6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67" ht="390" customHeight="1">
      <x:c r="A1367" s="13" t="str">
        <x:v>QA-NHD-241</x:v>
      </x:c>
      <x:c r="B1367" s="13" t="str">
        <x:v>ND 02 Incremento de precios / USD / propia / R0 Sin régimen / contado</x:v>
      </x:c>
      <x:c r="C136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F-ND-02-USD-T0-R0-C1: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special_tax_regime_id=null (Sin régimen);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6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67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36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68" ht="390" customHeight="1">
      <x:c r="A1368" s="13" t="str">
        <x:v>QA-NHD-242</x:v>
      </x:c>
      <x:c r="B1368" s="13" t="str">
        <x:v>ND 02 Incremento de precios / USD / propia / R1 Zonas económicas especiales / contado</x:v>
      </x:c>
      <x:c r="C136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F-ND-02-USD-T0-R1-C1: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special_tax_regime_id=1 (Zonas económicas especiales);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6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68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36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69" ht="390" customHeight="1">
      <x:c r="A1369" s="13" t="str">
        <x:v>QA-NHD-243</x:v>
      </x:c>
      <x:c r="B1369" s="13" t="str">
        <x:v>ND 02 Incremento de precios / USD / propia / R2 Zona franca de Paraguaná / contado</x:v>
      </x:c>
      <x:c r="C136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F-ND-02-USD-T0-R2-C1: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special_tax_regime_id=2 (Zona franca de Paraguaná);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6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69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36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70" ht="390" customHeight="1">
      <x:c r="A1370" s="13" t="str">
        <x:v>QA-NHD-244</x:v>
      </x:c>
      <x:c r="B1370" s="13" t="str">
        <x:v>ND 02 Incremento de precios / USD / propia / R3 Zona libre de Paraguaná / contado</x:v>
      </x:c>
      <x:c r="C137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F-ND-02-USD-T0-R3-C1: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special_tax_regime_id=3 (Zona libre de Paraguaná);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7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70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37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71" ht="390" customHeight="1">
      <x:c r="A1371" s="13" t="str">
        <x:v>QA-NHD-245</x:v>
      </x:c>
      <x:c r="B1371" s="13" t="str">
        <x:v>ND 02 Incremento de precios / USD / propia / R4 Puerto libre Santa Elena de Uairén / contado</x:v>
      </x:c>
      <x:c r="C137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F-ND-02-USD-T0-R4-C1: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special_tax_regime_id=4 (Puerto libre Santa Elena de Uairén);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7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71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37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72" ht="390" customHeight="1">
      <x:c r="A1372" s="13" t="str">
        <x:v>QA-NHD-246</x:v>
      </x:c>
      <x:c r="B1372" s="13" t="str">
        <x:v>ND 02 Incremento de precios / USD / propia / R5 Zona Libre de Mérida / contado</x:v>
      </x:c>
      <x:c r="C137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F-ND-02-USD-T0-R5-C1: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special_tax_regime_id=5 (Zona Libre de Mérida);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7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72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37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73" ht="390" customHeight="1">
      <x:c r="A1373" s="13" t="str">
        <x:v>QA-NHD-247</x:v>
      </x:c>
      <x:c r="B1373" s="13" t="str">
        <x:v>ND 02 Incremento de precios / USD / propia / R6 Puerto libre Estado Nueva Esparta / contado</x:v>
      </x:c>
      <x:c r="C137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F-ND-02-USD-T0-R6-C1: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special_tax_regime_id=6 (Puerto libre Estado Nueva Esparta);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7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73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37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74" ht="390" customHeight="1">
      <x:c r="A1374" s="13" t="str">
        <x:v>QA-NHD-248</x:v>
      </x:c>
      <x:c r="B1374" s="13" t="str">
        <x:v>ND 02 Incremento de precios / USD / propia / R7 Dutty Free / contado</x:v>
      </x:c>
      <x:c r="C137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F-ND-02-USD-T0-R7-C1: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special_tax_regime_id=7 (Dutty Free);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7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74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37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75" ht="390" customHeight="1">
      <x:c r="A1375" s="13" t="str">
        <x:v>QA-NHD-249</x:v>
      </x:c>
      <x:c r="B1375" s="13" t="str">
        <x:v>ND 02 Incremento de precios / USD / terceros / R0 Sin régimen / contado</x:v>
      </x:c>
      <x:c r="C137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F-ND-02-USD-T1-R0-C1: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special_tax_regime_id=null (Sin régimen);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7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75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37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76" ht="390" customHeight="1">
      <x:c r="A1376" s="13" t="str">
        <x:v>QA-NHD-250</x:v>
      </x:c>
      <x:c r="B1376" s="13" t="str">
        <x:v>ND 02 Incremento de precios / USD / terceros / R1 Zonas económicas especiales / contado</x:v>
      </x:c>
      <x:c r="C137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F-ND-02-USD-T1-R1-C1: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special_tax_regime_id=1 (Zonas económicas especiales);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7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76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37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77" ht="390" customHeight="1">
      <x:c r="A1377" s="13" t="str">
        <x:v>QA-NHD-251</x:v>
      </x:c>
      <x:c r="B1377" s="13" t="str">
        <x:v>ND 02 Incremento de precios / USD / terceros / R2 Zona franca de Paraguaná / contado</x:v>
      </x:c>
      <x:c r="C137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F-ND-02-USD-T1-R2-C1: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special_tax_regime_id=2 (Zona franca de Paraguaná);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7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77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37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78" ht="390" customHeight="1">
      <x:c r="A1378" s="13" t="str">
        <x:v>QA-NHD-252</x:v>
      </x:c>
      <x:c r="B1378" s="13" t="str">
        <x:v>ND 02 Incremento de precios / USD / terceros / R3 Zona libre de Paraguaná / contado</x:v>
      </x:c>
      <x:c r="C137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F-ND-02-USD-T1-R3-C1: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special_tax_regime_id=3 (Zona libre de Paraguaná);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7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78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37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79" ht="390" customHeight="1">
      <x:c r="A1379" s="13" t="str">
        <x:v>QA-NHD-253</x:v>
      </x:c>
      <x:c r="B1379" s="13" t="str">
        <x:v>ND 02 Incremento de precios / USD / terceros / R4 Puerto libre Santa Elena de Uairén / contado</x:v>
      </x:c>
      <x:c r="C137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F-ND-02-USD-T1-R4-C1: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special_tax_regime_id=4 (Puerto libre Santa Elena de Uairén);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7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79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37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80" ht="390" customHeight="1">
      <x:c r="A1380" s="13" t="str">
        <x:v>QA-NHD-254</x:v>
      </x:c>
      <x:c r="B1380" s="13" t="str">
        <x:v>ND 02 Incremento de precios / USD / terceros / R5 Zona Libre de Mérida / contado</x:v>
      </x:c>
      <x:c r="C138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F-ND-02-USD-T1-R5-C1: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special_tax_regime_id=5 (Zona Libre de Mérida);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8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80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38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81" ht="390" customHeight="1">
      <x:c r="A1381" s="13" t="str">
        <x:v>QA-NHD-255</x:v>
      </x:c>
      <x:c r="B1381" s="13" t="str">
        <x:v>ND 02 Incremento de precios / USD / terceros / R6 Puerto libre Estado Nueva Esparta / contado</x:v>
      </x:c>
      <x:c r="C138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F-ND-02-USD-T1-R6-C1: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special_tax_regime_id=6 (Puerto libre Estado Nueva Esparta);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8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81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38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82" ht="390" customHeight="1">
      <x:c r="A1382" s="13" t="str">
        <x:v>QA-NHD-256</x:v>
      </x:c>
      <x:c r="B1382" s="13" t="str">
        <x:v>ND 02 Incremento de precios / USD / terceros / R7 Dutty Free / contado</x:v>
      </x:c>
      <x:c r="C138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F-ND-02-USD-T1-R7-C1: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special_tax_regime_id=7 (Dutty Free); validar texto exacto del catálogo en snapshot. Nota: Contado 01 / cobro real completo; incrementar base por 10; tasa 51.00000000 propia de emisión de ND. UUID note_creation_key nuevo y enlaces affected_document_item_id reales. Aplican los fixtures y precondiciones comunes del grupo; sólo crear datos sintéticos propios de la corrida.</x:v>
      </x:c>
      <x:c r="D138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incrementar base por 10,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82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38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83" ht="390" customHeight="1">
      <x:c r="A1383" s="13" t="str">
        <x:v>QA-NHD-257</x:v>
      </x:c>
      <x:c r="B1383" s="13" t="str">
        <x:v>ND 01 Intereses / VES / propia / R0 Sin régimen / contado</x:v>
      </x:c>
      <x:c r="C138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F-ND-01-VES-T0-R0-C1: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special_tax_regime_id=null (Sin régimen);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8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83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8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84" ht="390" customHeight="1">
      <x:c r="A1384" s="13" t="str">
        <x:v>QA-NHD-258</x:v>
      </x:c>
      <x:c r="B1384" s="13" t="str">
        <x:v>ND 01 Intereses / VES / propia / R1 Zonas económicas especiales / contado</x:v>
      </x:c>
      <x:c r="C138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F-ND-01-VES-T0-R1-C1: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special_tax_regime_id=1 (Zonas económicas especiales);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8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84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8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85" ht="390" customHeight="1">
      <x:c r="A1385" s="13" t="str">
        <x:v>QA-NHD-259</x:v>
      </x:c>
      <x:c r="B1385" s="13" t="str">
        <x:v>ND 01 Intereses / VES / propia / R2 Zona franca de Paraguaná / contado</x:v>
      </x:c>
      <x:c r="C138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F-ND-01-VES-T0-R2-C1: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special_tax_regime_id=2 (Zona franca de Paraguaná);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8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85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8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86" ht="390" customHeight="1">
      <x:c r="A1386" s="13" t="str">
        <x:v>QA-NHD-260</x:v>
      </x:c>
      <x:c r="B1386" s="13" t="str">
        <x:v>ND 01 Intereses / VES / propia / R3 Zona libre de Paraguaná / contado</x:v>
      </x:c>
      <x:c r="C138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F-ND-01-VES-T0-R3-C1: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special_tax_regime_id=3 (Zona libre de Paraguaná);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8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86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8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87" ht="390" customHeight="1">
      <x:c r="A1387" s="13" t="str">
        <x:v>QA-NHD-261</x:v>
      </x:c>
      <x:c r="B1387" s="13" t="str">
        <x:v>ND 01 Intereses / VES / propia / R4 Puerto libre Santa Elena de Uairén / contado</x:v>
      </x:c>
      <x:c r="C138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F-ND-01-VES-T0-R4-C1: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special_tax_regime_id=4 (Puerto libre Santa Elena de Uairén);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8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87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8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88" ht="390" customHeight="1">
      <x:c r="A1388" s="13" t="str">
        <x:v>QA-NHD-262</x:v>
      </x:c>
      <x:c r="B1388" s="13" t="str">
        <x:v>ND 01 Intereses / VES / propia / R5 Zona Libre de Mérida / contado</x:v>
      </x:c>
      <x:c r="C138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F-ND-01-VES-T0-R5-C1: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special_tax_regime_id=5 (Zona Libre de Mérida);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8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88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8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89" ht="390" customHeight="1">
      <x:c r="A1389" s="13" t="str">
        <x:v>QA-NHD-263</x:v>
      </x:c>
      <x:c r="B1389" s="13" t="str">
        <x:v>ND 01 Intereses / VES / propia / R6 Puerto libre Estado Nueva Esparta / contado</x:v>
      </x:c>
      <x:c r="C138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F-ND-01-VES-T0-R6-C1: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special_tax_regime_id=6 (Puerto libre Estado Nueva Esparta);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8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89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8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90" ht="390" customHeight="1">
      <x:c r="A1390" s="13" t="str">
        <x:v>QA-NHD-264</x:v>
      </x:c>
      <x:c r="B1390" s="13" t="str">
        <x:v>ND 01 Intereses / VES / propia / R7 Dutty Free / contado</x:v>
      </x:c>
      <x:c r="C139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F-ND-01-VES-T0-R7-C1: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special_tax_regime_id=7 (Dutty Free);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9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90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9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91" ht="390" customHeight="1">
      <x:c r="A1391" s="13" t="str">
        <x:v>QA-NHD-265</x:v>
      </x:c>
      <x:c r="B1391" s="13" t="str">
        <x:v>ND 01 Intereses / VES / terceros / R0 Sin régimen / contado</x:v>
      </x:c>
      <x:c r="C139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F-ND-01-VES-T1-R0-C1: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special_tax_regime_id=null (Sin régimen);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9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91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9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92" ht="390" customHeight="1">
      <x:c r="A1392" s="13" t="str">
        <x:v>QA-NHD-266</x:v>
      </x:c>
      <x:c r="B1392" s="13" t="str">
        <x:v>ND 01 Intereses / VES / terceros / R1 Zonas económicas especiales / contado</x:v>
      </x:c>
      <x:c r="C139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F-ND-01-VES-T1-R1-C1: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special_tax_regime_id=1 (Zonas económicas especiales);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9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92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9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93" ht="390" customHeight="1">
      <x:c r="A1393" s="13" t="str">
        <x:v>QA-NHD-267</x:v>
      </x:c>
      <x:c r="B1393" s="13" t="str">
        <x:v>ND 01 Intereses / VES / terceros / R2 Zona franca de Paraguaná / contado</x:v>
      </x:c>
      <x:c r="C139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F-ND-01-VES-T1-R2-C1: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special_tax_regime_id=2 (Zona franca de Paraguaná);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9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93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9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94" ht="390" customHeight="1">
      <x:c r="A1394" s="13" t="str">
        <x:v>QA-NHD-268</x:v>
      </x:c>
      <x:c r="B1394" s="13" t="str">
        <x:v>ND 01 Intereses / VES / terceros / R3 Zona libre de Paraguaná / contado</x:v>
      </x:c>
      <x:c r="C139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F-ND-01-VES-T1-R3-C1: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special_tax_regime_id=3 (Zona libre de Paraguaná);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9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94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9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95" ht="390" customHeight="1">
      <x:c r="A1395" s="13" t="str">
        <x:v>QA-NHD-269</x:v>
      </x:c>
      <x:c r="B1395" s="13" t="str">
        <x:v>ND 01 Intereses / VES / terceros / R4 Puerto libre Santa Elena de Uairén / contado</x:v>
      </x:c>
      <x:c r="C139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F-ND-01-VES-T1-R4-C1: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special_tax_regime_id=4 (Puerto libre Santa Elena de Uairén);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9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95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9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96" ht="390" customHeight="1">
      <x:c r="A1396" s="13" t="str">
        <x:v>QA-NHD-270</x:v>
      </x:c>
      <x:c r="B1396" s="13" t="str">
        <x:v>ND 01 Intereses / VES / terceros / R5 Zona Libre de Mérida / contado</x:v>
      </x:c>
      <x:c r="C139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F-ND-01-VES-T1-R5-C1: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special_tax_regime_id=5 (Zona Libre de Mérida);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9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96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9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97" ht="390" customHeight="1">
      <x:c r="A1397" s="13" t="str">
        <x:v>QA-NHD-271</x:v>
      </x:c>
      <x:c r="B1397" s="13" t="str">
        <x:v>ND 01 Intereses / VES / terceros / R6 Puerto libre Estado Nueva Esparta / contado</x:v>
      </x:c>
      <x:c r="C139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F-ND-01-VES-T1-R6-C1: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special_tax_regime_id=6 (Puerto libre Estado Nueva Esparta);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9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97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9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98" ht="390" customHeight="1">
      <x:c r="A1398" s="13" t="str">
        <x:v>QA-NHD-272</x:v>
      </x:c>
      <x:c r="B1398" s="13" t="str">
        <x:v>ND 01 Intereses / VES / terceros / R7 Dutty Free / contado</x:v>
      </x:c>
      <x:c r="C139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F-ND-01-VES-T1-R7-C1: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special_tax_regime_id=7 (Dutty Free);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9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98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39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399" ht="390" customHeight="1">
      <x:c r="A1399" s="13" t="str">
        <x:v>QA-NHD-273</x:v>
      </x:c>
      <x:c r="B1399" s="13" t="str">
        <x:v>ND 01 Intereses / USD / propia / R0 Sin régimen / contado</x:v>
      </x:c>
      <x:c r="C139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F-ND-01-USD-T0-R0-C1: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special_tax_regime_id=null (Sin régimen);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39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399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39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00" ht="390" customHeight="1">
      <x:c r="A1400" s="13" t="str">
        <x:v>QA-NHD-274</x:v>
      </x:c>
      <x:c r="B1400" s="13" t="str">
        <x:v>ND 01 Intereses / USD / propia / R1 Zonas económicas especiales / contado</x:v>
      </x:c>
      <x:c r="C140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F-ND-01-USD-T0-R1-C1: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special_tax_regime_id=1 (Zonas económicas especiales);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0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00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0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01" ht="390" customHeight="1">
      <x:c r="A1401" s="13" t="str">
        <x:v>QA-NHD-275</x:v>
      </x:c>
      <x:c r="B1401" s="13" t="str">
        <x:v>ND 01 Intereses / USD / propia / R2 Zona franca de Paraguaná / contado</x:v>
      </x:c>
      <x:c r="C140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F-ND-01-USD-T0-R2-C1: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special_tax_regime_id=2 (Zona franca de Paraguaná);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0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01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0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02" ht="390" customHeight="1">
      <x:c r="A1402" s="13" t="str">
        <x:v>QA-NHD-276</x:v>
      </x:c>
      <x:c r="B1402" s="13" t="str">
        <x:v>ND 01 Intereses / USD / propia / R3 Zona libre de Paraguaná / contado</x:v>
      </x:c>
      <x:c r="C140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F-ND-01-USD-T0-R3-C1: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special_tax_regime_id=3 (Zona libre de Paraguaná);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0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02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0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03" ht="390" customHeight="1">
      <x:c r="A1403" s="13" t="str">
        <x:v>QA-NHD-277</x:v>
      </x:c>
      <x:c r="B1403" s="13" t="str">
        <x:v>ND 01 Intereses / USD / propia / R4 Puerto libre Santa Elena de Uairén / contado</x:v>
      </x:c>
      <x:c r="C140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F-ND-01-USD-T0-R4-C1: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special_tax_regime_id=4 (Puerto libre Santa Elena de Uairén);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0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03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0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04" ht="390" customHeight="1">
      <x:c r="A1404" s="13" t="str">
        <x:v>QA-NHD-278</x:v>
      </x:c>
      <x:c r="B1404" s="13" t="str">
        <x:v>ND 01 Intereses / USD / propia / R5 Zona Libre de Mérida / contado</x:v>
      </x:c>
      <x:c r="C140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F-ND-01-USD-T0-R5-C1: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special_tax_regime_id=5 (Zona Libre de Mérida);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0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04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0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05" ht="390" customHeight="1">
      <x:c r="A1405" s="13" t="str">
        <x:v>QA-NHD-279</x:v>
      </x:c>
      <x:c r="B1405" s="13" t="str">
        <x:v>ND 01 Intereses / USD / propia / R6 Puerto libre Estado Nueva Esparta / contado</x:v>
      </x:c>
      <x:c r="C140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F-ND-01-USD-T0-R6-C1: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special_tax_regime_id=6 (Puerto libre Estado Nueva Esparta);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0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05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0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06" ht="390" customHeight="1">
      <x:c r="A1406" s="13" t="str">
        <x:v>QA-NHD-280</x:v>
      </x:c>
      <x:c r="B1406" s="13" t="str">
        <x:v>ND 01 Intereses / USD / propia / R7 Dutty Free / contado</x:v>
      </x:c>
      <x:c r="C140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F-ND-01-USD-T0-R7-C1: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special_tax_regime_id=7 (Dutty Free);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0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06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0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07" ht="390" customHeight="1">
      <x:c r="A1407" s="13" t="str">
        <x:v>QA-NHD-281</x:v>
      </x:c>
      <x:c r="B1407" s="13" t="str">
        <x:v>ND 01 Intereses / USD / terceros / R0 Sin régimen / contado</x:v>
      </x:c>
      <x:c r="C140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F-ND-01-USD-T1-R0-C1: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special_tax_regime_id=null (Sin régimen);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0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07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0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08" ht="390" customHeight="1">
      <x:c r="A1408" s="13" t="str">
        <x:v>QA-NHD-282</x:v>
      </x:c>
      <x:c r="B1408" s="13" t="str">
        <x:v>ND 01 Intereses / USD / terceros / R1 Zonas económicas especiales / contado</x:v>
      </x:c>
      <x:c r="C140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F-ND-01-USD-T1-R1-C1: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special_tax_regime_id=1 (Zonas económicas especiales);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0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08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0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09" ht="390" customHeight="1">
      <x:c r="A1409" s="13" t="str">
        <x:v>QA-NHD-283</x:v>
      </x:c>
      <x:c r="B1409" s="13" t="str">
        <x:v>ND 01 Intereses / USD / terceros / R2 Zona franca de Paraguaná / contado</x:v>
      </x:c>
      <x:c r="C140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F-ND-01-USD-T1-R2-C1: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special_tax_regime_id=2 (Zona franca de Paraguaná);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0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09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0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10" ht="390" customHeight="1">
      <x:c r="A1410" s="13" t="str">
        <x:v>QA-NHD-284</x:v>
      </x:c>
      <x:c r="B1410" s="13" t="str">
        <x:v>ND 01 Intereses / USD / terceros / R3 Zona libre de Paraguaná / contado</x:v>
      </x:c>
      <x:c r="C141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F-ND-01-USD-T1-R3-C1: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special_tax_regime_id=3 (Zona libre de Paraguaná);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1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10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1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11" ht="390" customHeight="1">
      <x:c r="A1411" s="13" t="str">
        <x:v>QA-NHD-285</x:v>
      </x:c>
      <x:c r="B1411" s="13" t="str">
        <x:v>ND 01 Intereses / USD / terceros / R4 Puerto libre Santa Elena de Uairén / contado</x:v>
      </x:c>
      <x:c r="C141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F-ND-01-USD-T1-R4-C1: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special_tax_regime_id=4 (Puerto libre Santa Elena de Uairén);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1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11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1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12" ht="390" customHeight="1">
      <x:c r="A1412" s="13" t="str">
        <x:v>QA-NHD-286</x:v>
      </x:c>
      <x:c r="B1412" s="13" t="str">
        <x:v>ND 01 Intereses / USD / terceros / R5 Zona Libre de Mérida / contado</x:v>
      </x:c>
      <x:c r="C141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F-ND-01-USD-T1-R5-C1: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special_tax_regime_id=5 (Zona Libre de Mérida);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1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12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1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13" ht="390" customHeight="1">
      <x:c r="A1413" s="13" t="str">
        <x:v>QA-NHD-287</x:v>
      </x:c>
      <x:c r="B1413" s="13" t="str">
        <x:v>ND 01 Intereses / USD / terceros / R6 Puerto libre Estado Nueva Esparta / contado</x:v>
      </x:c>
      <x:c r="C141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F-ND-01-USD-T1-R6-C1: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special_tax_regime_id=6 (Puerto libre Estado Nueva Esparta);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1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13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1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14" ht="390" customHeight="1">
      <x:c r="A1414" s="13" t="str">
        <x:v>QA-NHD-288</x:v>
      </x:c>
      <x:c r="B1414" s="13" t="str">
        <x:v>ND 01 Intereses / USD / terceros / R7 Dutty Free / contado</x:v>
      </x:c>
      <x:c r="C141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F-ND-01-USD-T1-R7-C1: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special_tax_regime_id=7 (Dutty Free);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1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14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1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15" ht="390" customHeight="1">
      <x:c r="A1415" s="13" t="str">
        <x:v>QA-NHD-289</x:v>
      </x:c>
      <x:c r="B1415" s="13" t="str">
        <x:v>ND 03 Fletes y gastos / VES / propia / R0 Sin régimen / contado</x:v>
      </x:c>
      <x:c r="C141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F-ND-03-VES-T0-R0-C1: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special_tax_regime_id=null (Sin régimen);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1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15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41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16" ht="390" customHeight="1">
      <x:c r="A1416" s="13" t="str">
        <x:v>QA-NHD-290</x:v>
      </x:c>
      <x:c r="B1416" s="13" t="str">
        <x:v>ND 03 Fletes y gastos / VES / propia / R1 Zonas económicas especiales / contado</x:v>
      </x:c>
      <x:c r="C141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F-ND-03-VES-T0-R1-C1: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special_tax_regime_id=1 (Zonas económicas especiales);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1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16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41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17" ht="390" customHeight="1">
      <x:c r="A1417" s="13" t="str">
        <x:v>QA-NHD-291</x:v>
      </x:c>
      <x:c r="B1417" s="13" t="str">
        <x:v>ND 03 Fletes y gastos / VES / propia / R2 Zona franca de Paraguaná / contado</x:v>
      </x:c>
      <x:c r="C141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F-ND-03-VES-T0-R2-C1: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special_tax_regime_id=2 (Zona franca de Paraguaná);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1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17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41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18" ht="390" customHeight="1">
      <x:c r="A1418" s="13" t="str">
        <x:v>QA-NHD-292</x:v>
      </x:c>
      <x:c r="B1418" s="13" t="str">
        <x:v>ND 03 Fletes y gastos / VES / propia / R3 Zona libre de Paraguaná / contado</x:v>
      </x:c>
      <x:c r="C141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F-ND-03-VES-T0-R3-C1: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special_tax_regime_id=3 (Zona libre de Paraguaná);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1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18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41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19" ht="390" customHeight="1">
      <x:c r="A1419" s="13" t="str">
        <x:v>QA-NHD-293</x:v>
      </x:c>
      <x:c r="B1419" s="13" t="str">
        <x:v>ND 03 Fletes y gastos / VES / propia / R4 Puerto libre Santa Elena de Uairén / contado</x:v>
      </x:c>
      <x:c r="C141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F-ND-03-VES-T0-R4-C1: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special_tax_regime_id=4 (Puerto libre Santa Elena de Uairén);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1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19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41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20" ht="390" customHeight="1">
      <x:c r="A1420" s="13" t="str">
        <x:v>QA-NHD-294</x:v>
      </x:c>
      <x:c r="B1420" s="13" t="str">
        <x:v>ND 03 Fletes y gastos / VES / propia / R5 Zona Libre de Mérida / contado</x:v>
      </x:c>
      <x:c r="C142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F-ND-03-VES-T0-R5-C1: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special_tax_regime_id=5 (Zona Libre de Mérida);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2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20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42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21" ht="390" customHeight="1">
      <x:c r="A1421" s="13" t="str">
        <x:v>QA-NHD-295</x:v>
      </x:c>
      <x:c r="B1421" s="13" t="str">
        <x:v>ND 03 Fletes y gastos / VES / propia / R6 Puerto libre Estado Nueva Esparta / contado</x:v>
      </x:c>
      <x:c r="C142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F-ND-03-VES-T0-R6-C1: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special_tax_regime_id=6 (Puerto libre Estado Nueva Esparta);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2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21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42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22" ht="390" customHeight="1">
      <x:c r="A1422" s="13" t="str">
        <x:v>QA-NHD-296</x:v>
      </x:c>
      <x:c r="B1422" s="13" t="str">
        <x:v>ND 03 Fletes y gastos / VES / propia / R7 Dutty Free / contado</x:v>
      </x:c>
      <x:c r="C142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F-ND-03-VES-T0-R7-C1: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propia; special_tax_regime_id=7 (Dutty Free);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2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22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42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23" ht="390" customHeight="1">
      <x:c r="A1423" s="13" t="str">
        <x:v>QA-NHD-297</x:v>
      </x:c>
      <x:c r="B1423" s="13" t="str">
        <x:v>ND 03 Fletes y gastos / VES / terceros / R0 Sin régimen / contado</x:v>
      </x:c>
      <x:c r="C142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F-ND-03-VES-T1-R0-C1: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special_tax_regime_id=null (Sin régimen);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2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23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42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24" ht="390" customHeight="1">
      <x:c r="A1424" s="13" t="str">
        <x:v>QA-NHD-298</x:v>
      </x:c>
      <x:c r="B1424" s="13" t="str">
        <x:v>ND 03 Fletes y gastos / VES / terceros / R1 Zonas económicas especiales / contado</x:v>
      </x:c>
      <x:c r="C142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F-ND-03-VES-T1-R1-C1: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special_tax_regime_id=1 (Zonas económicas especiales);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2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24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42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25" ht="390" customHeight="1">
      <x:c r="A1425" s="13" t="str">
        <x:v>QA-NHD-299</x:v>
      </x:c>
      <x:c r="B1425" s="13" t="str">
        <x:v>ND 03 Fletes y gastos / VES / terceros / R2 Zona franca de Paraguaná / contado</x:v>
      </x:c>
      <x:c r="C142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F-ND-03-VES-T1-R2-C1: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special_tax_regime_id=2 (Zona franca de Paraguaná);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2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25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42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26" ht="390" customHeight="1">
      <x:c r="A1426" s="13" t="str">
        <x:v>QA-NHD-300</x:v>
      </x:c>
      <x:c r="B1426" s="13" t="str">
        <x:v>ND 03 Fletes y gastos / VES / terceros / R3 Zona libre de Paraguaná / contado</x:v>
      </x:c>
      <x:c r="C142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F-ND-03-VES-T1-R3-C1: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special_tax_regime_id=3 (Zona libre de Paraguaná);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2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26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42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27" ht="390" customHeight="1">
      <x:c r="A1427" s="13" t="str">
        <x:v>QA-NHD-301</x:v>
      </x:c>
      <x:c r="B1427" s="13" t="str">
        <x:v>ND 03 Fletes y gastos / VES / terceros / R4 Puerto libre Santa Elena de Uairén / contado</x:v>
      </x:c>
      <x:c r="C142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F-ND-03-VES-T1-R4-C1: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special_tax_regime_id=4 (Puerto libre Santa Elena de Uairén);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2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27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42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28" ht="390" customHeight="1">
      <x:c r="A1428" s="13" t="str">
        <x:v>QA-NHD-302</x:v>
      </x:c>
      <x:c r="B1428" s="13" t="str">
        <x:v>ND 03 Fletes y gastos / VES / terceros / R5 Zona Libre de Mérida / contado</x:v>
      </x:c>
      <x:c r="C142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F-ND-03-VES-T1-R5-C1: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special_tax_regime_id=5 (Zona Libre de Mérida);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2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28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42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29" ht="390" customHeight="1">
      <x:c r="A1429" s="13" t="str">
        <x:v>QA-NHD-303</x:v>
      </x:c>
      <x:c r="B1429" s="13" t="str">
        <x:v>ND 03 Fletes y gastos / VES / terceros / R6 Puerto libre Estado Nueva Esparta / contado</x:v>
      </x:c>
      <x:c r="C142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F-ND-03-VES-T1-R6-C1: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special_tax_regime_id=6 (Puerto libre Estado Nueva Esparta);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2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29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42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30" ht="390" customHeight="1">
      <x:c r="A1430" s="13" t="str">
        <x:v>QA-NHD-304</x:v>
      </x:c>
      <x:c r="B1430" s="13" t="str">
        <x:v>ND 03 Fletes y gastos / VES / terceros / R7 Dutty Free / contado</x:v>
      </x:c>
      <x:c r="C143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F-ND-03-VES-T1-R7-C1: vigente 01/0101, confirmed, control real coincidente en documents/document_emissions, cliente C1/sucursal S1. Dos UND de G1, base neta 100 cada una, IVA 16 %, base 200/IVA 32/total 232 VES; sin descuentos, retenciones, fondos ni IGTF. Factura de origen totalmente cobrada 232 VES. Venta terceros T1; special_tax_regime_id=7 (Dutty Free);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3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VES, fecha de emisión, método efectivo activo no is_credit, UUID de pago y caja abierta propia S1/VES;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30" s="13" t="str">
        <x:v>ND interna 08 → HKA 03, tipoTransaccion=02; no heredar 99 como transacción de nota. Total local 11.60 VES, base 10.00, IVA 1.60; Δstock=+0 UND en almacén original. Heredar tercero/régimen sin consultar datos mutados. Referencia mantiene total original 232, tasa original 50 y control de F. Principal fiscal HKA 11.60 VES si USD; el dinero local permanece VES. Cobro real 11.60 VES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USD×tasa=11.60 VES. Δstock=0; Δcobros=1; Δdevoluciones=0. Saldo F=232−232−NC+devolución; ND=11.60−cobros ND. A4/A5 nunca alteran valores locales.</x:v>
      </x:c>
      <x:c r="F143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31" ht="390" customHeight="1">
      <x:c r="A1431" s="13" t="str">
        <x:v>QA-NHD-305</x:v>
      </x:c>
      <x:c r="B1431" s="13" t="str">
        <x:v>ND 03 Fletes y gastos / USD / propia / R0 Sin régimen / contado</x:v>
      </x:c>
      <x:c r="C143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F-ND-03-USD-T0-R0-C1: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special_tax_regime_id=null (Sin régimen);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3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31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3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32" ht="390" customHeight="1">
      <x:c r="A1432" s="13" t="str">
        <x:v>QA-NHD-306</x:v>
      </x:c>
      <x:c r="B1432" s="13" t="str">
        <x:v>ND 03 Fletes y gastos / USD / propia / R1 Zonas económicas especiales / contado</x:v>
      </x:c>
      <x:c r="C143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F-ND-03-USD-T0-R1-C1: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special_tax_regime_id=1 (Zonas económicas especiales);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3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32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3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33" ht="390" customHeight="1">
      <x:c r="A1433" s="13" t="str">
        <x:v>QA-NHD-307</x:v>
      </x:c>
      <x:c r="B1433" s="13" t="str">
        <x:v>ND 03 Fletes y gastos / USD / propia / R2 Zona franca de Paraguaná / contado</x:v>
      </x:c>
      <x:c r="C143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F-ND-03-USD-T0-R2-C1: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special_tax_regime_id=2 (Zona franca de Paraguaná);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3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33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3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34" ht="390" customHeight="1">
      <x:c r="A1434" s="13" t="str">
        <x:v>QA-NHD-308</x:v>
      </x:c>
      <x:c r="B1434" s="13" t="str">
        <x:v>ND 03 Fletes y gastos / USD / propia / R3 Zona libre de Paraguaná / contado</x:v>
      </x:c>
      <x:c r="C143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F-ND-03-USD-T0-R3-C1: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special_tax_regime_id=3 (Zona libre de Paraguaná);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3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34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3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35" ht="390" customHeight="1">
      <x:c r="A1435" s="13" t="str">
        <x:v>QA-NHD-309</x:v>
      </x:c>
      <x:c r="B1435" s="13" t="str">
        <x:v>ND 03 Fletes y gastos / USD / propia / R4 Puerto libre Santa Elena de Uairén / contado</x:v>
      </x:c>
      <x:c r="C143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F-ND-03-USD-T0-R4-C1: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special_tax_regime_id=4 (Puerto libre Santa Elena de Uairén);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3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35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3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36" ht="390" customHeight="1">
      <x:c r="A1436" s="13" t="str">
        <x:v>QA-NHD-310</x:v>
      </x:c>
      <x:c r="B1436" s="13" t="str">
        <x:v>ND 03 Fletes y gastos / USD / propia / R5 Zona Libre de Mérida / contado</x:v>
      </x:c>
      <x:c r="C143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F-ND-03-USD-T0-R5-C1: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special_tax_regime_id=5 (Zona Libre de Mérida);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3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36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3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37" ht="390" customHeight="1">
      <x:c r="A1437" s="13" t="str">
        <x:v>QA-NHD-311</x:v>
      </x:c>
      <x:c r="B1437" s="13" t="str">
        <x:v>ND 03 Fletes y gastos / USD / propia / R6 Puerto libre Estado Nueva Esparta / contado</x:v>
      </x:c>
      <x:c r="C143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F-ND-03-USD-T0-R6-C1: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special_tax_regime_id=6 (Puerto libre Estado Nueva Esparta);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3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37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3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38" ht="390" customHeight="1">
      <x:c r="A1438" s="13" t="str">
        <x:v>QA-NHD-312</x:v>
      </x:c>
      <x:c r="B1438" s="13" t="str">
        <x:v>ND 03 Fletes y gastos / USD / propia / R7 Dutty Free / contado</x:v>
      </x:c>
      <x:c r="C143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F-ND-03-USD-T0-R7-C1: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propia; special_tax_regime_id=7 (Dutty Free);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3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38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3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39" ht="390" customHeight="1">
      <x:c r="A1439" s="13" t="str">
        <x:v>QA-NHD-313</x:v>
      </x:c>
      <x:c r="B1439" s="13" t="str">
        <x:v>ND 03 Fletes y gastos / USD / terceros / R0 Sin régimen / contado</x:v>
      </x:c>
      <x:c r="C143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F-ND-03-USD-T1-R0-C1: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special_tax_regime_id=null (Sin régimen);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3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39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3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40" ht="390" customHeight="1">
      <x:c r="A1440" s="13" t="str">
        <x:v>QA-NHD-314</x:v>
      </x:c>
      <x:c r="B1440" s="13" t="str">
        <x:v>ND 03 Fletes y gastos / USD / terceros / R1 Zonas económicas especiales / contado</x:v>
      </x:c>
      <x:c r="C144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F-ND-03-USD-T1-R1-C1: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special_tax_regime_id=1 (Zonas económicas especiales);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4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40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4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41" ht="390" customHeight="1">
      <x:c r="A1441" s="13" t="str">
        <x:v>QA-NHD-315</x:v>
      </x:c>
      <x:c r="B1441" s="13" t="str">
        <x:v>ND 03 Fletes y gastos / USD / terceros / R2 Zona franca de Paraguaná / contado</x:v>
      </x:c>
      <x:c r="C144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F-ND-03-USD-T1-R2-C1: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special_tax_regime_id=2 (Zona franca de Paraguaná);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4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41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4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42" ht="390" customHeight="1">
      <x:c r="A1442" s="13" t="str">
        <x:v>QA-NHD-316</x:v>
      </x:c>
      <x:c r="B1442" s="13" t="str">
        <x:v>ND 03 Fletes y gastos / USD / terceros / R3 Zona libre de Paraguaná / contado</x:v>
      </x:c>
      <x:c r="C144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F-ND-03-USD-T1-R3-C1: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special_tax_regime_id=3 (Zona libre de Paraguaná);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4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42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4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43" ht="390" customHeight="1">
      <x:c r="A1443" s="13" t="str">
        <x:v>QA-NHD-317</x:v>
      </x:c>
      <x:c r="B1443" s="13" t="str">
        <x:v>ND 03 Fletes y gastos / USD / terceros / R4 Puerto libre Santa Elena de Uairén / contado</x:v>
      </x:c>
      <x:c r="C144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F-ND-03-USD-T1-R4-C1: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special_tax_regime_id=4 (Puerto libre Santa Elena de Uairén);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4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43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4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44" ht="390" customHeight="1">
      <x:c r="A1444" s="13" t="str">
        <x:v>QA-NHD-318</x:v>
      </x:c>
      <x:c r="B1444" s="13" t="str">
        <x:v>ND 03 Fletes y gastos / USD / terceros / R5 Zona Libre de Mérida / contado</x:v>
      </x:c>
      <x:c r="C144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F-ND-03-USD-T1-R5-C1: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special_tax_regime_id=5 (Zona Libre de Mérida);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4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44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4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45" ht="390" customHeight="1">
      <x:c r="A1445" s="13" t="str">
        <x:v>QA-NHD-319</x:v>
      </x:c>
      <x:c r="B1445" s="13" t="str">
        <x:v>ND 03 Fletes y gastos / USD / terceros / R6 Puerto libre Estado Nueva Esparta / contado</x:v>
      </x:c>
      <x:c r="C144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F-ND-03-USD-T1-R6-C1: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special_tax_regime_id=6 (Puerto libre Estado Nueva Esparta);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4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45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4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46" ht="390" customHeight="1">
      <x:c r="A1446" s="13" t="str">
        <x:v>QA-NHD-320</x:v>
      </x:c>
      <x:c r="B1446" s="13" t="str">
        <x:v>ND 03 Fletes y gastos / USD / terceros / R7 Dutty Free / contado</x:v>
      </x:c>
      <x:c r="C144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F-ND-03-USD-T1-R7-C1: vigente 01/0101, confirmed, control real coincidente en documents/document_emissions, cliente C1/sucursal S1. Dos UND de G1, base neta 100 cada una, IVA 16 %, base 200/IVA 32/total 232 USD; sin descuentos, retenciones, fondos ni IGTF. Factura de origen totalmente cobrada 232 USD. Venta terceros T1; special_tax_regime_id=7 (Dutty Free); validar texto exacto del catálogo en snapshot. Nota: Contado 01 / cobro real completo; cargo SERV base 10, IVA 16 %; tasa 51.00000000 propia de emisión de ND. UUID note_creation_key nuevo y enlaces affected_document_item_id reales. Aplican los fixtures y precondiciones comunes del grupo; sólo crear datos sintéticos propios de la corrida.</x:v>
      </x:c>
      <x:c r="D144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 Comprobantes → factura origen → Acciones → Nota, seleccionar tipo y motivo de este caso. Verificar serie del tipo/sucursal, cliente bloqueado y partidas originales disponibles.
4. Introducir cargo SERV base 10, IVA 16 %, descripción QA del ID y UUID. Confirmar moneda y tasa 51.00000000 propia de emisión de ND; verificar herencia de tercero/régimen sin selección manual nueva.
5. Agregar pago real 11.60 USD, fecha de emisión, método efectivo activo no is_credit, UUID de pago y caja abierta propia S1/USD; para USD usar clasificación IGTF no sujeta fundada en emisor FORMAL del fixture.
6. Guardar una vez y observar resultado fiscal después del commit. Cotejar payload saneado contra tipo/transacción/referencia/99 o cobro real; consultar la misma operación ante incertidumbre.
7. Con control confirmado descargar A4 y comparar hash con bytes del proveedor; obtener A5 y ticket, leer QR y cotejar URL conservada. Enviar correo sólo a destinatario QA y rastrear esa operación separadamente.
8. Reabrir la pantalla y consultar persistencia autorizada. Cotejar identidad/UUID, valores y diferencias con el esperado; separar resultado comercial, financiero, inventario, sincronización y presentación.
9. Registrar Aprobó o Reprobó con evidencia propia, observado y ejecutor/fecha Caracas/iteración. Justificar Bloqueada/No aplica; crear variantes individuales para otros valores, sin agregar resultados de esta combinación.</x:v>
      </x:c>
      <x:c r="E1446" s="13" t="str">
        <x:v>ND interna 08 → HKA 03, tipoTransaccion=02; no heredar 99 como transacción de nota. Total local 11.60 USD, base 10.00, IVA 1.60; Δstock=+0 UND en almacén original. Heredar tercero/régimen sin consultar datos mutados. Referencia mantiene total original 232, tasa original 50 y control de F. Principal fiscal HKA 591.60 VES si USD; el dinero local permanece USD. Cobro real 11.60 USD único, saldo ND=0 y sin saldo adicional en F. Confirmación sólo con identidad/control coherentes; correo a buzón QA, original A4 íntegro, A5 vectorial y ticket con QR fiscal verificado. Omisiones gráficas de tercero/régimen se documentan como límite del original.
Cálculo independiente: Base=10; IVA=10×0.16=1.60; total=11.60. Tasa NC 50 / ND 51: principal fiscal USD×tasa=591.60 VES. Δstock=0; Δcobros=1; Δdevoluciones=0. Saldo F=232−232−NC+devolución; ND=11.60−cobros ND. A4/A5 nunca alteran valores locales.</x:v>
      </x:c>
      <x:c r="F144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47" ht="390" customHeight="1">
      <x:c r="A1447" s="13" t="str">
        <x:v>QA-NHD-321</x:v>
      </x:c>
      <x:c r="B1447" s="13" t="str">
        <x:v>Factura sin confirmar bloquea creación</x:v>
      </x:c>
      <x:c r="C144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F=232, emisión prepared, control null; NC07 116. Aplican los fixtures y precondiciones comunes del grupo; sólo crear datos sintéticos propios de la corrida.</x:v>
      </x:c>
      <x:c r="D144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Intentar crear NC07 desde UI y POST /documents con note_creation_key.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47" s="13" t="str">
        <x:v>Rechazo antes del guardado; cero nota/stock/HTTP. No crear localmente a la espera de un control.
Cálculo independiente: Δnotas=0; Δstock=0; ΔHTTP=0.</x:v>
      </x:c>
      <x:c r="F144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48" ht="390" customHeight="1">
      <x:c r="A1448" s="13" t="str">
        <x:v>QA-NHD-322</x:v>
      </x:c>
      <x:c r="B1448" s="13" t="str">
        <x:v>Control de referencia contradictorio</x:v>
      </x:c>
      <x:c r="C144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 confirmed; documents.control=A y emission.control=B distintos. Aplican los fixtures y precondiciones comunes del grupo; sólo crear datos sintéticos propios de la corrida.</x:v>
      </x:c>
      <x:c r="D144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Crear ND02 11.60 con referencia F.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48" s="13" t="str">
        <x:v>Creación bloqueada; no inventa control ni transmite referencia equivocada.
Cálculo independiente: A≠B; Δnota=0.</x:v>
      </x:c>
      <x:c r="F144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49" ht="390" customHeight="1">
      <x:c r="A1449" s="13" t="str">
        <x:v>QA-NHD-323</x:v>
      </x:c>
      <x:c r="B1449" s="13" t="str">
        <x:v>Exportación rechazada para notas</x:v>
      </x:c>
      <x:c r="C144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 01/0201 FOB confirmada; NC07 solicitada. Aplican los fixtures y precondiciones comunes del grupo; sólo crear datos sintéticos propios de la corrida.</x:v>
      </x:c>
      <x:c r="D144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Enviar creación ordinaria de NC en UI/POST.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49" s="13" t="str">
        <x:v>Notas de exportación bloqueadas sin efectos.
Cálculo independiente: Δdinero/stock/notas/HTTP=0.</x:v>
      </x:c>
      <x:c r="F144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50" ht="390" customHeight="1">
      <x:c r="A1450" s="13" t="str">
        <x:v>QA-NHD-324</x:v>
      </x:c>
      <x:c r="B1450" s="13" t="str">
        <x:v>Factura anulada rechazada</x:v>
      </x:c>
      <x:c r="C145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 estado 11, NC01; misma sucursal/cliente. Aplican los fixtures y precondiciones comunes del grupo; sólo crear datos sintéticos propios de la corrida.</x:v>
      </x:c>
      <x:c r="D145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Intentar crear nota.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50" s="13" t="str">
        <x:v>Factura no vigente no admite nueva nota.
Cálculo independiente: Δnotas=0.</x:v>
      </x:c>
      <x:c r="F145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51" ht="390" customHeight="1">
      <x:c r="A1451" s="13" t="str">
        <x:v>QA-NHD-325</x:v>
      </x:c>
      <x:c r="B1451" s="13" t="str">
        <x:v>Cliente o sucursal ajenos en referencia</x:v>
      </x:c>
      <x:c r="C145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 S2/C2; usuario S1; datos C1. Aplican los fixtures y precondiciones comunes del grupo; sólo crear datos sintéticos propios de la corrida.</x:v>
      </x:c>
      <x:c r="D145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Enviar ND con F ajena, de forma independiente por cliente y sucursal en variantes.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51" s="13" t="str">
        <x:v>No resuelve ni expone referencia ajena; rechazo sin efectos.
Cálculo independiente: Δnotas=0; no filtración.</x:v>
      </x:c>
      <x:c r="F145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52" ht="390" customHeight="1">
      <x:c r="A1452" s="13" t="str">
        <x:v>QA-NHD-326</x:v>
      </x:c>
      <x:c r="B1452" s="13" t="str">
        <x:v>Motivo cruzado o inactivo</x:v>
      </x:c>
      <x:c r="C145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NC con motivo ND02; otra variante motivo desactivado. Aplican los fixtures y precondiciones comunes del grupo; sólo crear datos sintéticos propios de la corrida.</x:v>
      </x:c>
      <x:c r="D145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Publicar ambas variantes por separado.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52" s="13" t="str">
        <x:v>Sólo combinación válida activa; no crea otra nota para sustituir motivo.
Cálculo independiente: Δnota=0 por variante.</x:v>
      </x:c>
      <x:c r="F145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53" ht="390" customHeight="1">
      <x:c r="A1453" s="13" t="str">
        <x:v>QA-NHD-327</x:v>
      </x:c>
      <x:c r="B1453" s="13" t="str">
        <x:v>NC01 usa sólo remanente</x:v>
      </x:c>
      <x:c r="C145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 dos UND total 232; NC07 activa 116 devuelve 1, aún pending fiscal. Aplican los fixtures y precondiciones comunes del grupo; sólo crear datos sintéticos propios de la corrida.</x:v>
      </x:c>
      <x:c r="D145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Crear NC01 de anulación total restante.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53" s="13" t="str">
        <x:v>NC01 base100/IVA16/total116, devuelve sólo otra unidad; reservas de NC anterior cuentan aunque no confirmó. F no se anula fiscalmente por este motivo.
Cálculo independiente: Crédito acumulado 116+116=232; stock+1 adicional, no+2.</x:v>
      </x:c>
      <x:c r="F145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54" ht="390" customHeight="1">
      <x:c r="A1454" s="13" t="str">
        <x:v>QA-NHD-328</x:v>
      </x:c>
      <x:c r="B1454" s="13" t="str">
        <x:v>NC07 no devuelve servicios</x:v>
      </x:c>
      <x:c r="C145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 SERV1 base100/IVA16; NC07 cantidad 1. Aplican los fixtures y precondiciones comunes del grupo; sólo crear datos sintéticos propios de la corrida.</x:v>
      </x:c>
      <x:c r="D145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Seleccionar SERV y publicar solicitud.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54" s="13" t="str">
        <x:v>Rechazo de devolución de mercancía de servicio sin inventario artificial.
Cálculo independiente: Δstock=0; Δnotas=0.</x:v>
      </x:c>
      <x:c r="F145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55" ht="390" customHeight="1">
      <x:c r="A1455" s="13" t="str">
        <x:v>QA-NHD-329</x:v>
      </x:c>
      <x:c r="B1455" s="13" t="str">
        <x:v>Exceso acumulado de cantidades</x:v>
      </x:c>
      <x:c r="C145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F2 UND; NC07 existente 1.5 UND, nueva 0.5001. Aplican los fixtures y precondiciones comunes del grupo; sólo crear datos sintéticos propios de la corrida.</x:v>
      </x:c>
      <x:c r="D145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Solicitar devolución restante+0.0001.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55" s="13" t="str">
        <x:v>Cantidad &gt;0.5 rechazada; reservas pendientes también limitan.
Cálculo independiente: 2−1.5=0.5; 0.5001&gt;0.5.</x:v>
      </x:c>
      <x:c r="F145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56" ht="390" customHeight="1">
      <x:c r="A1456" s="13" t="str">
        <x:v>QA-NHD-330</x:v>
      </x:c>
      <x:c r="B1456" s="13" t="str">
        <x:v>Exceso acumulado de dinero</x:v>
      </x:c>
      <x:c r="C145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F232; NC04 activa 23.20; nueva 220.41. Aplican los fixtures y precondiciones comunes del grupo; sólo crear datos sintéticos propios de la corrida.</x:v>
      </x:c>
      <x:c r="D145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Crear NC04 por base 190.01 o importe equivalente superior al remanente.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56" s="13" t="str">
        <x:v>Rechazar total superior 208.80 con precisión de centavos.
Cálculo independiente: 232−23.20=208.80.</x:v>
      </x:c>
      <x:c r="F145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57" ht="390" customHeight="1">
      <x:c r="A1457" s="13" t="str">
        <x:v>QA-NHD-331</x:v>
      </x:c>
      <x:c r="B1457" s="13" t="str">
        <x:v>Partida duplicada en una nota</x:v>
      </x:c>
      <x:c r="C145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 partidas A/B; dos entradas affected_document_item_id=A. Aplican los fixtures y precondiciones comunes del grupo; sólo crear datos sintéticos propios de la corrida.</x:v>
      </x:c>
      <x:c r="D145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Enviar NC07 con A duplicada.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57" s="13" t="str">
        <x:v>Validación de duplicación antes de stock/HTTP.
Cálculo independiente: Δnotas=0; no doble restitución.</x:v>
      </x:c>
      <x:c r="F145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58" ht="390" customHeight="1">
      <x:c r="A1458" s="13" t="str">
        <x:v>QA-NHD-332</x:v>
      </x:c>
      <x:c r="B1458" s="13" t="str">
        <x:v>Partida de otra factura</x:v>
      </x:c>
      <x:c r="C145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F1/F2 mismo cliente; notaF1 con itemF2. Aplican los fixtures y precondiciones comunes del grupo; sólo crear datos sintéticos propios de la corrida.</x:v>
      </x:c>
      <x:c r="D145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Enviar enlace extranjero.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58" s="13" t="str">
        <x:v>Servidor rechaza partida no perteneciente a F1.
Cálculo independiente: Δnota/stock=0.</x:v>
      </x:c>
      <x:c r="F145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59" ht="390" customHeight="1">
      <x:c r="A1459" s="13" t="str">
        <x:v>QA-NHD-333</x:v>
      </x:c>
      <x:c r="B1459" s="13" t="str">
        <x:v>Snapshots y total forjados</x:v>
      </x:c>
      <x:c r="C145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F232; body fuerza tercero diferente, IVA0, total 1 y fiscal_data arbitrario. Aplican los fixtures y precondiciones comunes del grupo; sólo crear datos sintéticos propios de la corrida.</x:v>
      </x:c>
      <x:c r="D145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Publicar la nota con campos de cliente manipulados.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59" s="13" t="str">
        <x:v>Servidor canoniza o rechaza metadatos privados según entrada; nunca guarda los valores forjados ni modifica F.
Cálculo independiente: Nota válida recalculada base 10+IVA1.60=11.60; snapshot F inmutable.</x:v>
      </x:c>
      <x:c r="F145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60" ht="390" customHeight="1">
      <x:c r="A1460" s="13" t="str">
        <x:v>QA-NHD-334</x:v>
      </x:c>
      <x:c r="B1460" s="13" t="str">
        <x:v>NC conserva tasa histórica</x:v>
      </x:c>
      <x:c r="C146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 USD tasa 50.12345678; catálogo tasa actual 70; NC04 base 10. Aplican los fixtures y precondiciones comunes del grupo; sólo crear datos sintéticos propios de la corrida.</x:v>
      </x:c>
      <x:c r="D146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Crear NC y cambiar tipo de cambio del día antes de prepararla.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60" s="13" t="str">
        <x:v>NC conserva tasa/fuente/fecha original; referencia nunca usa 70.
Cálculo independiente: 11.60×50.12345678=581.432098648→581.43 VES.</x:v>
      </x:c>
      <x:c r="F146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61" ht="390" customHeight="1">
      <x:c r="A1461" s="13" t="str">
        <x:v>QA-NHD-335</x:v>
      </x:c>
      <x:c r="B1461" s="13" t="str">
        <x:v>ND toma tasa propia sin alterar referencia</x:v>
      </x:c>
      <x:c r="C146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 USD tasa 50.12345678; ND fecha nueva tasa 51.87654321. Aplican los fixtures y precondiciones comunes del grupo; sólo crear datos sintéticos propios de la corrida.</x:v>
      </x:c>
      <x:c r="D146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Crear ND02 base 10.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61" s="13" t="str">
        <x:v>ND tasa 51.87654321; referenciaF50.12345678.
Cálculo independiente: 11.60×51.87654321=601.767901236→601.77 VES.</x:v>
      </x:c>
      <x:c r="F146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62" ht="390" customHeight="1">
      <x:c r="A1462" s="13" t="str">
        <x:v>QA-NHD-336</x:v>
      </x:c>
      <x:c r="B1462" s="13" t="str">
        <x:v>NC repartición de descuentos y cargos</x:v>
      </x:c>
      <x:c r="C146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F3 UND base 100 c/u, descuento global 10%, cargo gravado 9 sobre base 270, IVA44.64,total 323.64. Aplican los fixtures y precondiciones comunes del grupo; sólo crear datos sintéticos propios de la corrida.</x:v>
      </x:c>
      <x:c r="D146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Crear tres NC07 sucesivas 1 UND con oráculo acumulado por grupo fiscal.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62" s="13" t="str">
        <x:v>Suma exacta de bases/IVA/descuento/cargo de F; cero residuo final.
Cálculo independiente: Base279/3=93; IVA14.88; total 107.88×3=323.64.</x:v>
      </x:c>
      <x:c r="F146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63" ht="390" customHeight="1">
      <x:c r="A1463" s="13" t="str">
        <x:v>QA-NHD-337</x:v>
      </x:c>
      <x:c r="B1463" s="13" t="str">
        <x:v>Centavos acumulados no se pierden</x:v>
      </x:c>
      <x:c r="C146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F3 unidades base 0.01/0.01/0.01, IVA total 0.00 al redondear; grupos fiscales congelados. Aplican los fixtures y precondiciones comunes del grupo; sólo crear datos sintéticos propios de la corrida.</x:v>
      </x:c>
      <x:c r="D146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Acreditar unidades separadas y comparar acumulado con original.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63" s="13" t="str">
        <x:v>Total acreditado 0.03 sin duplicar centavos; recalcular por algoritmo acumulado usando original.
Cálculo independiente: Σcréditos≤0.03 y al agotar=0.03.</x:v>
      </x:c>
      <x:c r="F146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64" ht="390" customHeight="1">
      <x:c r="A1464" s="13" t="str">
        <x:v>QA-NHD-338</x:v>
      </x:c>
      <x:c r="B1464" s="13" t="str">
        <x:v>NC pack mutable conserva componentes</x:v>
      </x:c>
      <x:c r="C146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F1 pack compuesto 2G1+3G2; catálogo después cambia a 4G1. Aplican los fixtures y precondiciones comunes del grupo; sólo crear datos sintéticos propios de la corrida.</x:v>
      </x:c>
      <x:c r="D146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Devolver 1 pack NC07 usando snapshot original.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64" s="13" t="str">
        <x:v>Restituye 2G1 y 3G2 en almacén original, no 4G1; nota monetaria no restituye.
Cálculo independiente: ΔG1=+2; ΔG2=+3.</x:v>
      </x:c>
      <x:c r="F146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65" ht="390" customHeight="1">
      <x:c r="A1465" s="13" t="str">
        <x:v>QA-NHD-339</x:v>
      </x:c>
      <x:c r="B1465" s="13" t="str">
        <x:v>NC presentación histórica</x:v>
      </x:c>
      <x:c r="C146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F1 caja equivale 12 UND; presentación vigente ahora 10. Aplican los fixtures y precondiciones comunes del grupo; sólo crear datos sintéticos propios de la corrida.</x:v>
      </x:c>
      <x:c r="D146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Crear NC07 devolución 1 caja.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65" s="13" t="str">
        <x:v>Usa equivalencia original 12, no catálogo actual.
Cálculo independiente: Δstock=+12 UND.</x:v>
      </x:c>
      <x:c r="F146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66" ht="390" customHeight="1">
      <x:c r="A1466" s="13" t="str">
        <x:v>QA-NHD-340</x:v>
      </x:c>
      <x:c r="B1466" s="13" t="str">
        <x:v>Serial ya devuelto bloquea NC</x:v>
      </x:c>
      <x:c r="C146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Fserial SN1; NC previa devuelve SN1. Aplican los fixtures y precondiciones comunes del grupo; sólo crear datos sintéticos propios de la corrida.</x:v>
      </x:c>
      <x:c r="D146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Solicitar otra devolución de SN1.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66" s="13" t="str">
        <x:v>Rollback antes de HTTP; no incrementa stock.
Cálculo independiente: SN1 retorna una sola vez.</x:v>
      </x:c>
      <x:c r="F146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67" ht="390" customHeight="1">
      <x:c r="A1467" s="13" t="str">
        <x:v>QA-NHD-341</x:v>
      </x:c>
      <x:c r="B1467" s="13" t="str">
        <x:v>NC lotes originales</x:v>
      </x:c>
      <x:c r="C146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F2 UND loteL1=1/L2=1; devolución 1.5 sin selección explícita. Aplican los fixtures y precondiciones comunes del grupo; sólo crear datos sintéticos propios de la corrida.</x:v>
      </x:c>
      <x:c r="D146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Crear NC07 y leer asignación de lotes restantes.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67" s="13" t="str">
        <x:v>Usa lotes originales pendientes en orden, respeta cantidades; no asigna lote nuevo.
Cálculo independiente: L1+1,L2+0.5; Δtotal=1.5.</x:v>
      </x:c>
      <x:c r="F146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68" ht="390" customHeight="1">
      <x:c r="A1468" s="13" t="str">
        <x:v>QA-NHD-342</x:v>
      </x:c>
      <x:c r="B1468" s="13" t="str">
        <x:v>Fallo de almacén revierte nota</x:v>
      </x:c>
      <x:c r="C146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F232/2UND; almacén original no disponible. Aplican los fixtures y precondiciones comunes del grupo; sólo crear datos sintéticos propios de la corrida.</x:v>
      </x:c>
      <x:c r="D146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Provocar fallo controlado al devolver NC07.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68" s="13" t="str">
        <x:v>Nota, serie, stock y saldos revierten; HKA0 llamadas.
Cálculo independiente: Δnota=0; Δstock=0; ΔHTTP=0.</x:v>
      </x:c>
      <x:c r="F146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69" ht="390" customHeight="1">
      <x:c r="A1469" s="13" t="str">
        <x:v>QA-NHD-343</x:v>
      </x:c>
      <x:c r="B1469" s="13" t="str">
        <x:v>UUID replay idéntico</x:v>
      </x:c>
      <x:c r="C146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Solicitud NC07 por 1 UND UUIDK; respuesta navegador perdida. Aplican los fixtures y precondiciones comunes del grupo; sólo crear datos sintéticos propios de la corrida.</x:v>
      </x:c>
      <x:c r="D146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Reenviar exactamente misma solicitudK.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69" s="13" t="str">
        <x:v>Una nota y un retorno, misma identidad fiscal/número.
Cálculo independiente: Δstock total+1; notas=1.</x:v>
      </x:c>
      <x:c r="F146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70" ht="390" customHeight="1">
      <x:c r="A1470" s="13" t="str">
        <x:v>QA-NHD-344</x:v>
      </x:c>
      <x:c r="B1470" s="13" t="str">
        <x:v>UUID colisión cambia datos</x:v>
      </x:c>
      <x:c r="C147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K ya guardada NC07 1 UND; replayK0.5 UND. Aplican los fixtures y precondiciones comunes del grupo; sólo crear datos sintéticos propios de la corrida.</x:v>
      </x:c>
      <x:c r="D147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ReutilizarK con otra cantidad.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70" s="13" t="str">
        <x:v>409 y original inmutable; no segunda nota.
Cálculo independiente: Δnota/stock=0 en replay.</x:v>
      </x:c>
      <x:c r="F147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71" ht="390" customHeight="1">
      <x:c r="A1471" s="13" t="str">
        <x:v>QA-NHD-345</x:v>
      </x:c>
      <x:c r="B1471" s="13" t="str">
        <x:v>Dos NC concurrentes compiten por remanente</x:v>
      </x:c>
      <x:c r="C147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F2 UND; dos procesos crean NC07 1.5 UND claves distintas. Aplican los fixtures y precondiciones comunes del grupo; sólo crear datos sintéticos propios de la corrida.</x:v>
      </x:c>
      <x:c r="D147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Lanzar solicitudes concurrentes contra base aislada.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71" s="13" t="str">
        <x:v>Sólo una puede consumir 1.5; la otra rechaza por remanente 0.5.
Cálculo independiente: Crédito≤232, stock≤+2; retorno efectivo 1.5.</x:v>
      </x:c>
      <x:c r="F147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72" ht="390" customHeight="1">
      <x:c r="A1472" s="13" t="str">
        <x:v>QA-NHD-346</x:v>
      </x:c>
      <x:c r="B1472" s="13" t="str">
        <x:v>ND crédito con abono real</x:v>
      </x:c>
      <x:c r="C147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ND11.60 VES Crédito; abono 3.00 VES efectivo con UUID. Aplican los fixtures y precondiciones comunes del grupo; sólo crear datos sintéticos propios de la corrida.</x:v>
      </x:c>
      <x:c r="D147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Registrar abono y preparar payload.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72" s="13" t="str">
        <x:v>Cobro real 3; pendiente 99 por 8.60; F no recibe ese cobro.
Cálculo independiente: 11.60−3=8.60; cash+3.</x:v>
      </x:c>
      <x:c r="F147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73" ht="390" customHeight="1">
      <x:c r="A1473" s="13" t="str">
        <x:v>QA-NHD-347</x:v>
      </x:c>
      <x:c r="B1473" s="13" t="str">
        <x:v>ND USD con abono VES</x:v>
      </x:c>
      <x:c r="C147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ND11.60 USD tasa 51; recibo153VES/tasa51=3USD. Aplican los fixtures y precondiciones comunes del grupo; sólo crear datos sintéticos propios de la corrida.</x:v>
      </x:c>
      <x:c r="D147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Cobrar 153 VES y preparar HKA.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73" s="13" t="str">
        <x:v>Conserva moneda recibida y tasa; pendiente 8.60 USD, declaración fiscal sin otra entrada.
Cálculo independiente: 153/51=3; 11.60−3=8.60.</x:v>
      </x:c>
      <x:c r="F147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74" ht="390" customHeight="1">
      <x:c r="A1474" s="13" t="str">
        <x:v>QA-NHD-348</x:v>
      </x:c>
      <x:c r="B1474" s="13" t="str">
        <x:v>ND VES con abono USD</x:v>
      </x:c>
      <x:c r="C147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ND591.60 VES; recibido 3 USD tasa 51=153 VES. Aplican los fixtures y precondiciones comunes del grupo; sólo crear datos sintéticos propios de la corrida.</x:v>
      </x:c>
      <x:c r="D147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Registrar abono y preparar.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74" s="13" t="str">
        <x:v>Cash+3 USD; deuda 438.60 VES; no sustituye recibo por VES.
Cálculo independiente: 591.60−153=438.60.</x:v>
      </x:c>
      <x:c r="F147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75" ht="390" customHeight="1">
      <x:c r="A1475" s="13" t="str">
        <x:v>QA-NHD-349</x:v>
      </x:c>
      <x:c r="B1475" s="13" t="str">
        <x:v>Conversión con complemento de centavo</x:v>
      </x:c>
      <x:c r="C147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ND11.60 USD tasa 10.12345678; abono 1 USD misma tasa. Aplican los fixtures y precondiciones comunes del grupo; sólo crear datos sintéticos propios de la corrida.</x:v>
      </x:c>
      <x:c r="D147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Comparar importes convertidos y complemento 99 contra total fiscal.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75" s="13" t="str">
        <x:v>Ajustar sólo crédito fiscal si redondeo deja 0.01; no alterar cobros, tasas ni saldo local.
Cálculo independiente: round(11.60×10.12345678,2)=117.43; round(1×tasa,2)=10.12; complemento 107.31; deuda 10.60 USD.</x:v>
      </x:c>
      <x:c r="F147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76" ht="390" customHeight="1">
      <x:c r="A1476" s="13" t="str">
        <x:v>QA-NHD-350</x:v>
      </x:c>
      <x:c r="B1476" s="13" t="str">
        <x:v>Contado incompleto bloquea ND</x:v>
      </x:c>
      <x:c r="C147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ND11.60 VES contado; pago 11.59. Aplican los fixtures y precondiciones comunes del grupo; sólo crear datos sintéticos propios de la corrida.</x:v>
      </x:c>
      <x:c r="D147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con faltante 0.01.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76" s="13" t="str">
        <x:v>Rollback total; no completar faltante con pago ficticio/99.
Cálculo independiente: 11.60−11.59=0.01; Δnota/HTTP=0.</x:v>
      </x:c>
      <x:c r="F147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77" ht="390" customHeight="1">
      <x:c r="A1477" s="13" t="str">
        <x:v>QA-NHD-351</x:v>
      </x:c>
      <x:c r="B1477" s="13" t="str">
        <x:v>Medio is_credit no es cobro contado</x:v>
      </x:c>
      <x:c r="C147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ND11.60 con método is_credit=true. Aplican los fixtures y precondiciones comunes del grupo; sólo crear datos sintéticos propios de la corrida.</x:v>
      </x:c>
      <x:c r="D147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Intentar crear ND contado con ese medio.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77" s="13" t="str">
        <x:v>Rechazo; no cuenta como ingreso real.
Cálculo independiente: Cash 0; deuda no puede declararse cobrada.</x:v>
      </x:c>
      <x:c r="F147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78" ht="390" customHeight="1">
      <x:c r="A1478" s="13" t="str">
        <x:v>QA-NHD-352</x:v>
      </x:c>
      <x:c r="B1478" s="13" t="str">
        <x:v>NC rechaza pagos propios</x:v>
      </x:c>
      <x:c r="C147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NC04 11.60 y payments[11.60]. Aplican los fixtures y precondiciones comunes del grupo; sólo crear datos sintéticos propios de la corrida.</x:v>
      </x:c>
      <x:c r="D147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Enviar pagos en creación NC.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78" s="13" t="str">
        <x:v>NC no admite cobros ni condición Crédito 02; devolución independiente.
Cálculo independiente: Δcash=0; Δdevoluciones=0.</x:v>
      </x:c>
      <x:c r="F147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79" ht="390" customHeight="1">
      <x:c r="A1479" s="13" t="str">
        <x:v>QA-NHD-353</x:v>
      </x:c>
      <x:c r="B1479" s="13" t="str">
        <x:v>Emitir después del commit exterior</x:v>
      </x:c>
      <x:c r="C147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Nota válida; transporte doble con contador/transactionLevel. Aplican los fixtures y precondiciones comunes del grupo; sólo crear datos sintéticos propios de la corrida.</x:v>
      </x:c>
      <x:c r="D147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dentro de transacción exterior y hacer commit luego.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79" s="13" t="str">
        <x:v>Intención antes; HTTP sólo tras commit exterior y fuera de locks.
Cálculo independiente: Antes commit HTTP 0; después 1.</x:v>
      </x:c>
      <x:c r="F1479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80" ht="390" customHeight="1">
      <x:c r="A1480" s="13" t="str">
        <x:v>QA-NHD-354</x:v>
      </x:c>
      <x:c r="B1480" s="13" t="str">
        <x:v>Rollback exterior sin HTTP</x:v>
      </x:c>
      <x:c r="C148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Nota y pago ND válidos dentro de transacción exterior. Aplican los fixtures y precondiciones comunes del grupo; sólo crear datos sintéticos propios de la corrida.</x:v>
      </x:c>
      <x:c r="D148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Forzar excepción y rollback antes de commit.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80" s="13" t="str">
        <x:v>Cero nota/pago/stock final y cero transmisión.
Cálculo independiente: Δtodo=0; HTTP 0.</x:v>
      </x:c>
      <x:c r="F1480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81" ht="390" customHeight="1">
      <x:c r="A1481" s="13" t="str">
        <x:v>QA-NHD-355</x:v>
      </x:c>
      <x:c r="B1481" s="13" t="str">
        <x:v>Rechazo definitivo conserva efectos</x:v>
      </x:c>
      <x:c r="C148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NC07 116; doble 200 con negocio 203 y validación definitiva. Aplican los fixtures y precondiciones comunes del grupo; sólo crear datos sintéticos propios de la corrida.</x:v>
      </x:c>
      <x:c r="D148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y observar rechazo.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81" s="13" t="str">
        <x:v>Estado rejected; stock+1 y crédito 116 guardados; no inventar confirmed.
Cálculo independiente: F232−pago 232−NC116=−116; stock+1.</x:v>
      </x:c>
      <x:c r="F1481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82" ht="390" customHeight="1">
      <x:c r="A1482" s="13" t="str">
        <x:v>QA-NHD-356</x:v>
      </x:c>
      <x:c r="B1482" s="13" t="str">
        <x:v>Timeout concilia misma identidad</x:v>
      </x:c>
      <x:c r="C148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NC07 116; doble timeout después de posible registro. Aplican los fixtures y precondiciones comunes del grupo; sólo crear datos sintéticos propios de la corrida.</x:v>
      </x:c>
      <x:c r="D148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Guardar, consultar y recuperar 200 coherente; no crear nueva nota.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82" s="13" t="str">
        <x:v>uncertain→confirmed; UUID/número/payload constantes y stock+1 único.
Cálculo independiente: Notas 1; retornos 1; control real sólo tras consulta.</x:v>
      </x:c>
      <x:c r="F1482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83" ht="390" customHeight="1">
      <x:c r="A1483" s="13" t="str">
        <x:v>QA-NHD-357</x:v>
      </x:c>
      <x:c r="B1483" s="13" t="str">
        <x:v>Consulta temprana protegida</x:v>
      </x:c>
      <x:c r="C148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Nota pending started_at=t 0. Aplican los fixtures y precondiciones comunes del grupo; sólo crear datos sintéticos propios de la corrida.</x:v>
      </x:c>
      <x:c r="D148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Consultar con reloj t 0+39 y t 0+40 en variantes separadas.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83" s="13" t="str">
        <x:v>Respetar protección 40 s de emisión; no confundir 90 s de retenciones.
Cálculo independiente: 39&lt;40; ≥40 habilita recuperación según estado.</x:v>
      </x:c>
      <x:c r="F1483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84" ht="390" customHeight="1">
      <x:c r="A1484" s="13" t="str">
        <x:v>QA-NHD-358</x:v>
      </x:c>
      <x:c r="B1484" s="13" t="str">
        <x:v>Respuesta obsoleta tras cambiar documento</x:v>
      </x:c>
      <x:c r="C148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Diálogo nota A y solicitud pendiente; cambiar aB. Aplican los fixtures y precondiciones comunes del grupo; sólo crear datos sintéticos propios de la corrida.</x:v>
      </x:c>
      <x:c r="D148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Completar respuesta A después de abrirB.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84" s="13" t="str">
        <x:v>UIB no sobrescrita; botón loading/documentUUID controlado.
Cálculo independiente: Identidad visible=B; efectosA no duplicados.</x:v>
      </x:c>
      <x:c r="F1484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85" ht="390" customHeight="1">
      <x:c r="A1485" s="13" t="str">
        <x:v>QA-NHD-359</x:v>
      </x:c>
      <x:c r="B1485" s="13" t="str">
        <x:v>Original A4 omitido no se reconstruye</x:v>
      </x:c>
      <x:c r="C148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Nota confirmed/control válido; proveedor falla PDF. Aplican los fixtures y precondiciones comunes del grupo; sólo crear datos sintéticos propios de la corrida.</x:v>
      </x:c>
      <x:c r="D148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DescargarA4/A5.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85" s="13" t="str">
        <x:v>Fallo independiente; confirmed permanece; no PDF local fingido original.
Cálculo independiente: Δsaldo/stock=0; hash sólo con bytes válidos.</x:v>
      </x:c>
      <x:c r="F1485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86" ht="390" customHeight="1">
      <x:c r="A1486" s="13" t="str">
        <x:v>QA-NHD-360</x:v>
      </x:c>
      <x:c r="B1486" s="13" t="str">
        <x:v>Ticket requiere URL verificada</x:v>
      </x:c>
      <x:c r="C148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Nota confirmed con consulta_url null/inválida. Aplican los fixtures y precondiciones comunes del grupo; sólo crear datos sintéticos propios de la corrida.</x:v>
      </x:c>
      <x:c r="D148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Solicitar 80MM y descargarA4 por separado.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86" s="13" t="str">
        <x:v>QR bloqueado sin URL verificada; A4/A5 siguen elegibles con control.
Cálculo independiente: No reconstruir URL; confirmed intacto.</x:v>
      </x:c>
      <x:c r="F1486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87" ht="390" customHeight="1">
      <x:c r="A1487" s="13" t="str">
        <x:v>QA-NHD-361</x:v>
      </x:c>
      <x:c r="B1487" s="13" t="str">
        <x:v>Correo falla sin degradación</x:v>
      </x:c>
      <x:c r="C148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Nota confirmed; destinatario QA; doblecorreo 500. Aplican los fixtures y precondiciones comunes del grupo; sólo crear datos sintéticos propios de la corrida.</x:v>
      </x:c>
      <x:c r="D148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Enviar/rastrear correo y reabrir nota.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87" s="13" t="str">
        <x:v>Error de correo independiente de emisión/crédito/stock.
Cálculo independiente: Δdinero/stock=0; estado emisión confirmed.</x:v>
      </x:c>
      <x:c r="F1487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88" ht="390" customHeight="1">
      <x:c r="A1488" s="13" t="str">
        <x:v>QA-NHD-362</x:v>
      </x:c>
      <x:c r="B1488" s="13" t="str">
        <x:v>IGTF98 dependiente de ND con régimen bloqueado</x:v>
      </x:c>
      <x:c r="C148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ND ordinaria tercero/régimen; cobro USD sujeto IGTF 3%. Aplican los fixtures y precondiciones comunes del grupo; sólo crear datos sintéticos propios de la corrida.</x:v>
      </x:c>
      <x:c r="D148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Registrar cobro y evaluar nota 98 dependiente.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88" s="13" t="str">
        <x:v>Conservar cobro/cargo local y diagnóstico RELATED_IGTF_REASON; no transmitir 98 sin contrato ni reutilizar 99 ordinaria.
Cálculo independiente: Principal 10 USD, cargo 0.30; ingreso 10.30; no HTTP98.</x:v>
      </x:c>
      <x:c r="F1488" s="13" t="str">
        <x:v>[app/Services/Fiscal/FiscalNote.php](../../app/Services/Fiscal/FiscalNote.php), [app/Services/Fiscal/HkaNotePayments.php](../../app/Services/Fiscal/HkaNotePayments.php), [app/Services/Fiscal/HkaNotePolicy.php](../../app/Services/Fiscal/HkaNotePolicy.php), [app/Services/Fiscal/FiscalNoteInventory.php](../../app/Services/Fiscal/FiscalNoteInventory.php),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89" ht="390" customHeight="1">
      <x:c r="A1489" s="13" t="str">
        <x:v>QA-NRF-001</x:v>
      </x:c>
      <x:c r="B1489" s="13" t="str">
        <x:v>Devolución parcial VES</x:v>
      </x:c>
      <x:c r="C148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F232 VES cobrada; NC07 confirmed 116; efectivo original 232; cajaS1 abierta. Aplican los fixtures y precondiciones comunes del grupo; sólo crear datos sintéticos propios de la corrida.</x:v>
      </x:c>
      <x:c r="D148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POST documents/{NC}/refunds por 58 VES con cobro origen, fecha, UUID y motivo.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89" s="13" t="str">
        <x:v>Egreso 58 único; cobro 232 original intacto; historial vinculado y privado.
Cálculo independiente: SaldoF=232−232−116+58=−58; cash neto 174.</x:v>
      </x:c>
      <x:c r="F1489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90" ht="390" customHeight="1">
      <x:c r="A1490" s="13" t="str">
        <x:v>QA-NRF-002</x:v>
      </x:c>
      <x:c r="B1490" s="13" t="str">
        <x:v>Devolución total VES</x:v>
      </x:c>
      <x:c r="C149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F232 VES cobrada; NC01 confirmed 232; sin reservas. Aplican los fixtures y precondiciones comunes del grupo; sólo crear datos sintéticos propios de la corrida.</x:v>
      </x:c>
      <x:c r="D149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Devolver 232 VES desde el origen real.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90" s="13" t="str">
        <x:v>Egreso 232; saldoF0; NC saldo cobrable 0.
Cálculo independiente: 232−232−232+232=0; cash neto 0.</x:v>
      </x:c>
      <x:c r="F1490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91" ht="390" customHeight="1">
      <x:c r="A1491" s="13" t="str">
        <x:v>QA-NRF-003</x:v>
      </x:c>
      <x:c r="B1491" s="13" t="str">
        <x:v>Devolución parcial USD</x:v>
      </x:c>
      <x:c r="C149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F232 USD cobrada; NC07116; bancoS1 USD; tasa 50.12345678. Aplican los fixtures y precondiciones comunes del grupo; sólo crear datos sintéticos propios de la corrida.</x:v>
      </x:c>
      <x:c r="D149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Devolver 58 USD con tasa explícita histórica registrada.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91" s="13" t="str">
        <x:v>Mantener recibido/devueltoUSD y tasa 8 dec; banco USD disminuye 58.
Cálculo independiente: SaldoF−58 USD; equivalente 58×50.12345678=2907.16 VES.</x:v>
      </x:c>
      <x:c r="F1491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92" ht="390" customHeight="1">
      <x:c r="A1492" s="13" t="str">
        <x:v>QA-NRF-004</x:v>
      </x:c>
      <x:c r="B1492" s="13" t="str">
        <x:v>Devolución total USD</x:v>
      </x:c>
      <x:c r="C149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F232 USD cobrada; NC01232; caja USD abierta. Aplican los fixtures y precondiciones comunes del grupo; sólo crear datos sintéticos propios de la corrida.</x:v>
      </x:c>
      <x:c r="D149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Registrar egreso 232 USD.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92" s="13" t="str">
        <x:v>Un egreso real, sin alterar recibo original 232 USD.
Cálculo independiente: SaldoF0 USD; cash neto 0 USD.</x:v>
      </x:c>
      <x:c r="F1492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93" ht="390" customHeight="1">
      <x:c r="A1493" s="13" t="str">
        <x:v>QA-NRF-005</x:v>
      </x:c>
      <x:c r="B1493" s="13" t="str">
        <x:v>Devolución moneda cruzada</x:v>
      </x:c>
      <x:c r="C149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F116USD/NC116; pago original 5800 VES tasa 50; egreso USD116 tasa 50. Aplican los fixtures y precondiciones comunes del grupo; sólo crear datos sintéticos propios de la corrida.</x:v>
      </x:c>
      <x:c r="D149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Registrar devolución con destino compatible USD y equivalencia declarada.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93" s="13" t="str">
        <x:v>Límites convertidos en moneda documental; conserva moneda real del egreso y tasa.
Cálculo independiente: 116 USD×50=5800 VES; principal devuelto 116 USD.</x:v>
      </x:c>
      <x:c r="F1493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94" ht="390" customHeight="1">
      <x:c r="A1494" s="13" t="str">
        <x:v>QA-NRF-006</x:v>
      </x:c>
      <x:c r="B1494" s="13" t="str">
        <x:v>Tasa de ocho decimales</x:v>
      </x:c>
      <x:c r="C149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F116USD/NC116; egreso 1 USD tasa 10.12345678. Aplican los fixtures y precondiciones comunes del grupo; sólo crear datos sintéticos propios de la corrida.</x:v>
      </x:c>
      <x:c r="D149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Registrar y reabrir devolución.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94" s="13" t="str">
        <x:v>Persistir 10.12345678 sin truncar/reescribir con tasa actual.
Cálculo independiente: 1×10.12345678→10.12 VES para presentación.</x:v>
      </x:c>
      <x:c r="F1494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95" ht="390" customHeight="1">
      <x:c r="A1495" s="13" t="str">
        <x:v>QA-NRF-007</x:v>
      </x:c>
      <x:c r="B1495" s="13" t="str">
        <x:v>Exceso por NC</x:v>
      </x:c>
      <x:c r="C149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F232 cobrados; NC116; solicitar 116.01. Aplican los fixtures y precondiciones comunes del grupo; sólo crear datos sintéticos propios de la corrida.</x:v>
      </x:c>
      <x:c r="D149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Registrar devolución superior al crédito.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95" s="13" t="str">
        <x:v>Rechazo sin egreso; no se expande NC.
Cálculo independiente: 116.01&gt;116; cashΔ0.</x:v>
      </x:c>
      <x:c r="F1495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96" ht="390" customHeight="1">
      <x:c r="A1496" s="13" t="str">
        <x:v>QA-NRF-008</x:v>
      </x:c>
      <x:c r="B1496" s="13" t="str">
        <x:v>Exceso por cobro origen</x:v>
      </x:c>
      <x:c r="C149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F232 cobrada 30+202; NC116; elegir origen 30 y solicitar 30.01. Aplican los fixtures y precondiciones comunes del grupo; sólo crear datos sintéticos propios de la corrida.</x:v>
      </x:c>
      <x:c r="D149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devolución.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96" s="13" t="str">
        <x:v>No supera el origen elegido aun si hay otros cobros.
Cálculo independiente: 30.01&gt;30; egreso 0.</x:v>
      </x:c>
      <x:c r="F1496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97" ht="390" customHeight="1">
      <x:c r="A1497" s="13" t="str">
        <x:v>QA-NRF-009</x:v>
      </x:c>
      <x:c r="B1497" s="13" t="str">
        <x:v>Exceso por devoluciones previas</x:v>
      </x:c>
      <x:c r="C149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NC116; egreso activo 80; nuevo 36.01. Aplican los fixtures y precondiciones comunes del grupo; sólo crear datos sintéticos propios de la corrida.</x:v>
      </x:c>
      <x:c r="D149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Registrar segundo egreso.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97" s="13" t="str">
        <x:v>Rechazo por remanente 36.
Cálculo independiente: 116−80=36.</x:v>
      </x:c>
      <x:c r="F1497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98" ht="390" customHeight="1">
      <x:c r="A1498" s="13" t="str">
        <x:v>QA-NRF-010</x:v>
      </x:c>
      <x:c r="B1498" s="13" t="str">
        <x:v>Cobro revertido no sirve de origen</x:v>
      </x:c>
      <x:c r="C149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F116; recibo 116 revertido; NC confirmada. Aplican los fixtures y precondiciones comunes del grupo; sólo crear datos sintéticos propios de la corrida.</x:v>
      </x:c>
      <x:c r="D149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Usar recibo revertido para egreso.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98" s="13" t="str">
        <x:v>Rechazo de origen sin efectivo activo.
Cálculo independiente: Efectivo real activo 0; límite 0.</x:v>
      </x:c>
      <x:c r="F1498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499" ht="390" customHeight="1">
      <x:c r="A1499" s="13" t="str">
        <x:v>QA-NRF-011</x:v>
      </x:c>
      <x:c r="B1499" s="13" t="str">
        <x:v>Previsión no acredita efectivo</x:v>
      </x:c>
      <x:c r="C149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F116; previsiónIVA12/ISLR3; pago 101; NC116. Aplican los fixtures y precondiciones comunes del grupo; sólo crear datos sintéticos propios de la corrida.</x:v>
      </x:c>
      <x:c r="D149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Intentar devolver 116 sin ajustar participaciones.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499" s="13" t="str">
        <x:v>No devuelve impuestos no cobrados; reserva hasta corrección real.
Cálculo independiente: Cashmáximo 101; 116−101=15 nocash.</x:v>
      </x:c>
      <x:c r="F1499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00" ht="390" customHeight="1">
      <x:c r="A1500" s="13" t="str">
        <x:v>QA-NRF-012</x:v>
      </x:c>
      <x:c r="B1500" s="13" t="str">
        <x:v>NC sin confirmar bloquea egreso</x:v>
      </x:c>
      <x:c r="C150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NC116 emissionprepared/controlnull. Aplican los fixtures y precondiciones comunes del grupo; sólo crear datos sintéticos propios de la corrida.</x:v>
      </x:c>
      <x:c r="D150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Registrar refund 58.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00" s="13" t="str">
        <x:v>Requiereconfirmed/controlcoincidente; sin salida.
Cálculo independiente: Δcash 0.</x:v>
      </x:c>
      <x:c r="F1500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01" ht="390" customHeight="1">
      <x:c r="A1501" s="13" t="str">
        <x:v>QA-NRF-013</x:v>
      </x:c>
      <x:c r="B1501" s="13" t="str">
        <x:v>Control incoherente bloquea egreso</x:v>
      </x:c>
      <x:c r="C150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NC confirmed; documentscontrolA/emissioncontrolB. Aplican los fixtures y precondiciones comunes del grupo; sólo crear datos sintéticos propios de la corrida.</x:v>
      </x:c>
      <x:c r="D150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Registrar refund 58.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01" s="13" t="str">
        <x:v>No aplica devolución contra identidad incoherente.
Cálculo independiente: A≠B; egreso 0.</x:v>
      </x:c>
      <x:c r="F1501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02" ht="390" customHeight="1">
      <x:c r="A1502" s="13" t="str">
        <x:v>QA-NRF-014</x:v>
      </x:c>
      <x:c r="B1502" s="13" t="str">
        <x:v>UUID idéntico de refund</x:v>
      </x:c>
      <x:c r="C150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Refund 58 claveK ya registrada. Aplican los fixtures y precondiciones comunes del grupo; sólo crear datos sintéticos propios de la corrida.</x:v>
      </x:c>
      <x:c r="D150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Reenviar cuerpo idénticoK.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02" s="13" t="str">
        <x:v>Mismo registro/historial, no otro egreso.
Cálculo independiente: Egreso total 58, no 116.</x:v>
      </x:c>
      <x:c r="F1502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03" ht="390" customHeight="1">
      <x:c r="A1503" s="13" t="str">
        <x:v>QA-NRF-015</x:v>
      </x:c>
      <x:c r="B1503" s="13" t="str">
        <x:v>UUID refund con importe diferente</x:v>
      </x:c>
      <x:c r="C150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K=58; replayK=59. Aplican los fixtures y precondiciones comunes del grupo; sólo crear datos sintéticos propios de la corrida.</x:v>
      </x:c>
      <x:c r="D150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Enviar con misma clave.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03" s="13" t="str">
        <x:v>409; egreso original inmutable.
Cálculo independiente: Δcash 0 en replay.</x:v>
      </x:c>
      <x:c r="F1503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04" ht="390" customHeight="1">
      <x:c r="A1504" s="13" t="str">
        <x:v>QA-NRF-016</x:v>
      </x:c>
      <x:c r="B1504" s="13" t="str">
        <x:v>Dos refunds concurrentes por límite</x:v>
      </x:c>
      <x:c r="C150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NC116; dos refund 80 clavesK1/K2. Aplican los fixtures y precondiciones comunes del grupo; sólo crear datos sintéticos propios de la corrida.</x:v>
      </x:c>
      <x:c r="D150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Enviar simultáneamente.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04" s="13" t="str">
        <x:v>Sólo uno 80; otro falla por remanente 36.
Cálculo independiente: Σegresos≤116; efectivo 80.</x:v>
      </x:c>
      <x:c r="F1504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05" ht="390" customHeight="1">
      <x:c r="A1505" s="13" t="str">
        <x:v>QA-NRF-017</x:v>
      </x:c>
      <x:c r="B1505" s="13" t="str">
        <x:v>Reversión auditada de refund</x:v>
      </x:c>
      <x:c r="C150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Refund 58 activo. Aplican los fixtures y precondiciones comunes del grupo; sólo crear datos sintéticos propios de la corrida.</x:v>
      </x:c>
      <x:c r="D150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POST refunds/{id}/reverse UUIDR/motivo; repetirR.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05" s="13" t="str">
        <x:v>Revierte egreso una sola vez; conserva historial y cobro origen.
Cálculo independiente: SaldoF−58→−116; cash recupera 58; replayΔ0.</x:v>
      </x:c>
      <x:c r="F1505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06" ht="390" customHeight="1">
      <x:c r="A1506" s="13" t="str">
        <x:v>QA-NRF-018</x:v>
      </x:c>
      <x:c r="B1506" s="13" t="str">
        <x:v>Reversión UUID incompatible</x:v>
      </x:c>
      <x:c r="C150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R existente para refundA; repetir con motivo cambiado. Aplican los fixtures y precondiciones comunes del grupo; sólo crear datos sintéticos propios de la corrida.</x:v>
      </x:c>
      <x:c r="D150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Reenviar mismaR con hash distinto.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06" s="13" t="str">
        <x:v>409 según contrato; no otra entrada financiera.
Cálculo independiente: Δcash 0.</x:v>
      </x:c>
      <x:c r="F1506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07" ht="390" customHeight="1">
      <x:c r="A1507" s="13" t="str">
        <x:v>QA-NRF-019</x:v>
      </x:c>
      <x:c r="B1507" s="13" t="str">
        <x:v>Sin permiso create_payment</x:v>
      </x:c>
      <x:c r="C150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Usuario módulo autorizado pero sin create_payment. Aplican los fixtures y precondiciones comunes del grupo; sólo crear datos sintéticos propios de la corrida.</x:v>
      </x:c>
      <x:c r="D150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Registrar refund.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07" s="13" t="str">
        <x:v>Denegación antes de DB/HTTP; no filtra origen ajeno.
Cálculo independiente: Δegreso 0.</x:v>
      </x:c>
      <x:c r="F1507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08" ht="390" customHeight="1">
      <x:c r="A1508" s="13" t="str">
        <x:v>QA-NRF-020</x:v>
      </x:c>
      <x:c r="B1508" s="13" t="str">
        <x:v>Sin permiso delete_payment</x:v>
      </x:c>
      <x:c r="C150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Usuario sin delete_payment; refund activo. Aplican los fixtures y precondiciones comunes del grupo; sólo crear datos sintéticos propios de la corrida.</x:v>
      </x:c>
      <x:c r="D150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Revertir refund.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08" s="13" t="str">
        <x:v>Denegación; egreso sigueactivo.
Cálculo independiente: Δcash 0.</x:v>
      </x:c>
      <x:c r="F1508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09" ht="390" customHeight="1">
      <x:c r="A1509" s="13" t="str">
        <x:v>QA-NRF-021</x:v>
      </x:c>
      <x:c r="B1509" s="13" t="str">
        <x:v>Caja cerrada o de otro usuario</x:v>
      </x:c>
      <x:c r="C150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Refund 58; destino cajaS1 cerrada o propiedadU2. Aplican los fixtures y precondiciones comunes del grupo; sólo crear datos sintéticos propios de la corrida.</x:v>
      </x:c>
      <x:c r="D150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Intentar variantes independientes.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09" s="13" t="str">
        <x:v>No usa caja no abierta/ajena; rollback total.
Cálculo independiente: Egreso 0 por variante.</x:v>
      </x:c>
      <x:c r="F1509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10" ht="390" customHeight="1">
      <x:c r="A1510" s="13" t="str">
        <x:v>QA-NRF-022</x:v>
      </x:c>
      <x:c r="B1510" s="13" t="str">
        <x:v>Banco de otra moneda</x:v>
      </x:c>
      <x:c r="C151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Egreso USD58; banco VES. Aplican los fixtures y precondiciones comunes del grupo; sólo crear datos sintéticos propios de la corrida.</x:v>
      </x:c>
      <x:c r="D151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refund con cuenta incompatible.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10" s="13" t="str">
        <x:v>Rechazo; no conversión implícita para sortear destino.
Cálculo independiente: Δbanco 0.</x:v>
      </x:c>
      <x:c r="F1510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11" ht="390" customHeight="1">
      <x:c r="A1511" s="13" t="str">
        <x:v>QA-NRF-023</x:v>
      </x:c>
      <x:c r="B1511" s="13" t="str">
        <x:v>Banco de otra sucursal</x:v>
      </x:c>
      <x:c r="C151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UsuarioS1/notaS1; cuentaS2 USD. Aplican los fixtures y precondiciones comunes del grupo; sólo crear datos sintéticos propios de la corrida.</x:v>
      </x:c>
      <x:c r="D151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Registrar devolución.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11" s="13" t="str">
        <x:v>Rechazo antes de egreso; aislamiento.
Cálculo independiente: ΔbancoS2=0.</x:v>
      </x:c>
      <x:c r="F1511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12" ht="390" customHeight="1">
      <x:c r="A1512" s="13" t="str">
        <x:v>QA-NRF-024</x:v>
      </x:c>
      <x:c r="B1512" s="13" t="str">
        <x:v>Corrección IVA tras NC</x:v>
      </x:c>
      <x:c r="C151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F116IVA16; IVA aplicada 12; NC58 base 50IVA8; soporte privado válido. Aplican los fixtures y precondiciones comunes del grupo; sólo crear datos sintéticos propios de la corrida.</x:v>
      </x:c>
      <x:c r="D151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POST adjustments IVA; esperar reversión real; publicar replacement contra IVA restante 8 con UUID/voucher real.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12" s="13" t="str">
        <x:v>Conservar 12 mientras reversión incierta; luego nuevo comprobante válido hasta 6 al 75%; uno activo e historial.
Cálculo independiente: IVA remanente 16−8=8; 75%=6.</x:v>
      </x:c>
      <x:c r="F1512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13" ht="390" customHeight="1">
      <x:c r="A1513" s="13" t="str">
        <x:v>QA-NRF-025</x:v>
      </x:c>
      <x:c r="B1513" s="13" t="str">
        <x:v>Corrección ISLR independiente</x:v>
      </x:c>
      <x:c r="C151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Fbase100/IVA16; ISLR3; NC base 50; porcentaje 3%,sustraendo 0. Aplican los fixtures y precondiciones comunes del grupo; sólo crear datos sintéticos propios de la corrida.</x:v>
      </x:c>
      <x:c r="D151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Solicitar adjustment ISLR y replacement real con número/fundamento/soporte.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13" s="13" t="str">
        <x:v>Outbox ISLR independiente; monto declarado remanente 1.50, no copiar fundamento IVA.
Cálculo independiente: 50×3%−0=1.50.</x:v>
      </x:c>
      <x:c r="F1513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14" ht="390" customHeight="1">
      <x:c r="A1514" s="13" t="str">
        <x:v>QA-NRF-026</x:v>
      </x:c>
      <x:c r="B1514" s="13" t="str">
        <x:v>Reversión IVA incierta conserva saldo</x:v>
      </x:c>
      <x:c r="C151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IVA12 aplicada; DELETEHKA timeout; correction tras NC. Aplican los fixtures y precondiciones comunes del grupo; sólo crear datos sintéticos propios de la corrida.</x:v>
      </x:c>
      <x:c r="D151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Consultar antes de crear replacement.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14" s="13" t="str">
        <x:v>Aplicación 12 financieramente activa hasta ausencia remota; no liberar límite ni descontar otraactiva.
Cálculo independiente: Δaplicación financiera 0 durante uncertain.</x:v>
      </x:c>
      <x:c r="F1514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15" ht="390" customHeight="1">
      <x:c r="A1515" s="13" t="str">
        <x:v>QA-NRF-027</x:v>
      </x:c>
      <x:c r="B1515" s="13" t="str">
        <x:v>Reversión ISLR incierta conserva saldo</x:v>
      </x:c>
      <x:c r="C151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ISLR3 aplicada; timeout DELETEISLR. Aplican los fixtures y precondiciones comunes del grupo; sólo crear datos sintéticos propios de la corrida.</x:v>
      </x:c>
      <x:c r="D151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Solicitar corrección y consultar recuperación.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15" s="13" t="str">
        <x:v>Conserva 3 hasta ausencia específica 204; IVA no se afecta.
Cálculo independiente: Σretenciones activas incluye 3.</x:v>
      </x:c>
      <x:c r="F1515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16" ht="390" customHeight="1">
      <x:c r="A1516" s="13" t="str">
        <x:v>QA-NRF-028</x:v>
      </x:c>
      <x:c r="B1516" s="13" t="str">
        <x:v>Replacement sin soporte privado</x:v>
      </x:c>
      <x:c r="C151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Ajuste IVA terminado; nuevo voucher sin token válido. Aplican los fixtures y precondiciones comunes del grupo; sólo crear datos sintéticos propios de la corrida.</x:v>
      </x:c>
      <x:c r="D151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Publicar replacement.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16" s="13" t="str">
        <x:v>Rechazo; no activar monto sin comprobante/soporte.
Cálculo independiente: Δretenido 0.</x:v>
      </x:c>
      <x:c r="F1516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17" ht="390" customHeight="1">
      <x:c r="A1517" s="13" t="str">
        <x:v>QA-NRF-029</x:v>
      </x:c>
      <x:c r="B1517" s="13" t="str">
        <x:v>Replacement duplicado</x:v>
      </x:c>
      <x:c r="C151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Ajuste IVA; replacement K válido 6. Aplican los fixtures y precondiciones comunes del grupo; sólo crear datos sintéticos propios de la corrida.</x:v>
      </x:c>
      <x:c r="D151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RepetirK idéntico y luegoK con otrovoucher en variantes.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17" s="13" t="str">
        <x:v>Replayúnico; incompatible 409; un activo IVA.
Cálculo independiente: IVA activo 6, no 12.</x:v>
      </x:c>
      <x:c r="F1517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18" ht="390" customHeight="1">
      <x:c r="A1518" s="13" t="str">
        <x:v>QA-NRF-030</x:v>
      </x:c>
      <x:c r="B1518" s="13" t="str">
        <x:v>Replacement exceso rechazado</x:v>
      </x:c>
      <x:c r="C151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IVA remanente 8; replacement 8.01. Aplican los fixtures y precondiciones comunes del grupo; sólo crear datos sintéticos propios de la corrida.</x:v>
      </x:c>
      <x:c r="D151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Aplicar comprobante superior IVA restante.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18" s="13" t="str">
        <x:v>Rechazo sin nueva compensación.
Cálculo independiente: 8.01&gt;8.</x:v>
      </x:c>
      <x:c r="F1518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19" ht="390" customHeight="1">
      <x:c r="A1519" s="13" t="str">
        <x:v>QA-NRF-031</x:v>
      </x:c>
      <x:c r="B1519" s="13" t="str">
        <x:v>Sustraendo ISLR declarado</x:v>
      </x:c>
      <x:c r="C151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Basere restante 50; tasa 3%; sustraendo 0.50. Aplican los fixtures y precondiciones comunes del grupo; sólo crear datos sintéticos propios de la corrida.</x:v>
      </x:c>
      <x:c r="D151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Registrar replacement con sustraendo 0.50 y fundamento propio.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19" s="13" t="str">
        <x:v>Retención 1.00 si válido; no recalcula una tabla salarial ni acepta concepto 001.
Cálculo independiente: 50×0.03−0.50=1.00.</x:v>
      </x:c>
      <x:c r="F1519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20" ht="390" customHeight="1">
      <x:c r="A1520" s="13" t="str">
        <x:v>QA-NRF-032</x:v>
      </x:c>
      <x:c r="B1520" s="13" t="str">
        <x:v>Fondo reducción parcial auditada</x:v>
      </x:c>
      <x:c r="C152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F116; fondo 10 activo; NC58; reducción 5. Aplican los fixtures y precondiciones comunes del grupo; sólo crear datos sintéticos propios de la corrida.</x:v>
      </x:c>
      <x:c r="D152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Registrar ajuste fondo 5 con UUID/actor/motivo.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20" s="13" t="str">
        <x:v>Fondo ajustado 5, historial; sin entrada ni salida cash.
Cálculo independiente: 10−5=5; Δcash 0.</x:v>
      </x:c>
      <x:c r="F1520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21" ht="390" customHeight="1">
      <x:c r="A1521" s="13" t="str">
        <x:v>QA-NRF-033</x:v>
      </x:c>
      <x:c r="B1521" s="13" t="str">
        <x:v>Fondo reducción total</x:v>
      </x:c>
      <x:c r="C152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Fondo 10; reducción 10. Aplican los fixtures y precondiciones comunes del grupo; sólo crear datos sintéticos propios de la corrida.</x:v>
      </x:c>
      <x:c r="D152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Registrar ajuste y replay idéntico.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21" s="13" t="str">
        <x:v>Fondo ajustado 0; efectoúnico; no refund automático.
Cálculo independiente: max(0,10−10)=0.</x:v>
      </x:c>
      <x:c r="F1521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22" ht="390" customHeight="1">
      <x:c r="A1522" s="13" t="str">
        <x:v>QA-NRF-034</x:v>
      </x:c>
      <x:c r="B1522" s="13" t="str">
        <x:v>Fondo exceso rechazado</x:v>
      </x:c>
      <x:c r="C152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Fondo 10; ajuste 10.01. Aplican los fixtures y precondiciones comunes del grupo; sólo crear datos sintéticos propios de la corrida.</x:v>
      </x:c>
      <x:c r="D152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Publicar reducción superior.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22" s="13" t="str">
        <x:v>No negativo ni sobreajuste silencioso; rechazo según límites.
Cálculo independiente: 10.01&gt;10; cash 0.</x:v>
      </x:c>
      <x:c r="F1522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23" ht="390" customHeight="1">
      <x:c r="A1523" s="13" t="str">
        <x:v>QA-NRF-035</x:v>
      </x:c>
      <x:c r="B1523" s="13" t="str">
        <x:v>IGTF devolución exige ajuste confirmado</x:v>
      </x:c>
      <x:c r="C152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Pago 100 USD+IGTF 3; NC100; solicitar egreso 103. Aplican los fixtures y precondiciones comunes del grupo; sólo crear datos sintéticos propios de la corrida.</x:v>
      </x:c>
      <x:c r="D152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Solicitar devolución IGTF sin ajuste fiscal independiente confirmado.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23" s="13" t="str">
        <x:v>Bloquea componente IGTF no acreditado; no reutilizar ND98 como NC negativa.
Cálculo independiente: Principal 100 e IGTF 3 separados; devolución IGTF0.</x:v>
      </x:c>
      <x:c r="F1523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24" ht="390" customHeight="1">
      <x:c r="A1524" s="13" t="str">
        <x:v>QA-NRF-036</x:v>
      </x:c>
      <x:c r="B1524" s="13" t="str">
        <x:v>IGTF usa tasa y recibo originales</x:v>
      </x:c>
      <x:c r="C152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IGTF 3 USD tasa 50, tasaactual 60. Aplican los fixtures y precondiciones comunes del grupo; sólo crear datos sintéticos propios de la corrida.</x:v>
      </x:c>
      <x:c r="D152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Preparar ajuste permitido o diagnóstico de capacidad.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24" s="13" t="str">
        <x:v>Preserva base/recibo/tasa50 y reserva mientras no existe contrato; sin emisión positiva ficticia.
Cálculo independiente: IGTF 3×50=150 VES, no 180.</x:v>
      </x:c>
      <x:c r="F1524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25" ht="390" customHeight="1">
      <x:c r="A1525" s="13" t="str">
        <x:v>QA-NRF-037</x:v>
      </x:c>
      <x:c r="B1525" s="13" t="str">
        <x:v>Reporte excluye egreso revertido</x:v>
      </x:c>
      <x:c r="C152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Refund 58 y reversión 58. Aplican los fixtures y precondiciones comunes del grupo; sólo crear datos sintéticos propios de la corrida.</x:v>
      </x:c>
      <x:c r="D152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Consultar caja/banco/estado de cuenta/exportación después de reversión.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25" s="13" t="str">
        <x:v>Historia auditable, egreso activo 0; no duplicar pagos originales.
Cálculo independiente: Netorefund 58−58=0.</x:v>
      </x:c>
      <x:c r="F1525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26" ht="390" customHeight="1">
      <x:c r="A1526" s="13" t="str">
        <x:v>QA-NRF-038</x:v>
      </x:c>
      <x:c r="B1526" s="13" t="str">
        <x:v>Fallo exterior revierte refund</x:v>
      </x:c>
      <x:c r="C152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NC confirmada; registrar refund 58 dentro de transacción exterior. Aplican los fixtures y precondiciones comunes del grupo; sólo crear datos sintéticos propios de la corrida.</x:v>
      </x:c>
      <x:c r="D152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Forzar rollback tras guardado.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26" s="13" t="str">
        <x:v>Sin refund ni caja parcial; recibo 232 inmutable.
Cálculo independiente: Δegreso 0.</x:v>
      </x:c>
      <x:c r="F1526" s="13" t="str">
        <x:v>[app/Services/Fiscal/NoteRefund.php](../../app/Services/Fiscal/NoteRefund.php), [app/Services/Fiscal/NoteAdjustment.php](../../app/Services/Fiscal/NoteAdjustment.php), [app/Services/Fiscal/FiscalNoteBalance.php](../../app/Services/Fiscal/FiscalNoteBalance.php),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27" ht="390" customHeight="1">
      <x:c r="A1527" s="13" t="str">
        <x:v>QA-NAN-001</x:v>
      </x:c>
      <x:c r="B1527" s="13" t="str">
        <x:v>NC01 no anula la factura fiscal</x:v>
      </x:c>
      <x:c r="C152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 confirmed 232; NC01 confirmed 232. Aplican los fixtures y precondiciones comunes del grupo; sólo crear datos sintéticos propios de la corrida.</x:v>
      </x:c>
      <x:c r="D152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Inspeccionar estadoF y anular después la propia NC.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27" s="13" t="str">
        <x:v>Motivo NC01 reduce crédito; F conserva estado fiscal. Anular NC libera crédito y revierte sólo su retorno.
Cálculo independiente: Antes NC stock+2/crédito232; después NC cancelada stock−2/crédito0.</x:v>
      </x:c>
      <x:c r="F1527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28" ht="390" customHeight="1">
      <x:c r="A1528" s="13" t="str">
        <x:v>QA-NAN-002</x:v>
      </x:c>
      <x:c r="B1528" s="13" t="str">
        <x:v>Anulación local sin transmisión</x:v>
      </x:c>
      <x:c r="C152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NC07 prepared sinattempt/control; stock retornado 1. Aplican los fixtures y precondiciones comunes del grupo; sólo crear datos sintéticos propios de la corrida.</x:v>
      </x:c>
      <x:c r="D152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Admin POST annul UUIDA/motivo y repetirA.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28" s="13" t="str">
        <x:v>Anulación local completed, comercial 11 y crédito liberado una vez; sin HKAAnular.
Cálculo independiente: stock−1 una vez; HTTP 0.</x:v>
      </x:c>
      <x:c r="F1528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29" ht="390" customHeight="1">
      <x:c r="A1529" s="13" t="str">
        <x:v>QA-NAN-003</x:v>
      </x:c>
      <x:c r="B1529" s="13" t="str">
        <x:v>Local tras ausencia acreditada</x:v>
      </x:c>
      <x:c r="C152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Nota uncertain retry_allowed por ausencia acreditada, sin control. Aplican los fixtures y precondiciones comunes del grupo; sólo crear datos sintéticos propios de la corrida.</x:v>
      </x:c>
      <x:c r="D152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Solicitar annul local con evidencia de ausencia.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29" s="13" t="str">
        <x:v>Sólo permite si ausencia comprobada y precondiciones; no basta uncertain genérico.
Cálculo independiente: Anular HTTP 0; efectos locales únicos.</x:v>
      </x:c>
      <x:c r="F1529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30" ht="390" customHeight="1">
      <x:c r="A1530" s="13" t="str">
        <x:v>QA-NAN-004</x:v>
      </x:c>
      <x:c r="B1530" s="13" t="str">
        <x:v>Incertidumbre sin ausencia bloquea local</x:v>
      </x:c>
      <x:c r="C153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Nota uncertain luego timeout, control null, sin ausencia. Aplican los fixtures y precondiciones comunes del grupo; sólo crear datos sintéticos propios de la corrida.</x:v>
      </x:c>
      <x:c r="D153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Intentar anulación local.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30" s="13" t="str">
        <x:v>No bypass; consultar primero, nota y reservas conservadas.
Cálculo independiente: Δcrédito/stock0.</x:v>
      </x:c>
      <x:c r="F1530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31" ht="390" customHeight="1">
      <x:c r="A1531" s="13" t="str">
        <x:v>QA-NAN-005</x:v>
      </x:c>
      <x:c r="B1531" s="13" t="str">
        <x:v>Rechazo fiscal no habilita bypass</x:v>
      </x:c>
      <x:c r="C153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Nota rejected conattempt existente. Aplican los fixtures y precondiciones comunes del grupo; sólo crear datos sintéticos propios de la corrida.</x:v>
      </x:c>
      <x:c r="D153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Intentar ruta antigua y flujoannul sin ausencia válida.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31" s="13" t="str">
        <x:v>No tratar rejected como nunca transmitida automáticamente; aplicar política.
Cálculo independiente: Sin reversión indebida.</x:v>
      </x:c>
      <x:c r="F1531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32" ht="390" customHeight="1">
      <x:c r="A1532" s="13" t="str">
        <x:v>QA-NAN-006</x:v>
      </x:c>
      <x:c r="B1532" s="13" t="str">
        <x:v>NC física anulación remota</x:v>
      </x:c>
      <x:c r="C153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NC07confirmed116/restock1; identidad congelada. Aplican los fixtures y precondiciones comunes del grupo; sólo crear datos sintéticos propios de la corrida.</x:v>
      </x:c>
      <x:c r="D153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Admin POST annul UUIDA/motivo; dobleAnular 200 negocio aceptado.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32" s="13" t="str">
        <x:v>remote_confirmed→completed; emisióncancelled/comercial11; stock−1 y crédito liberado una vez.
Cálculo independiente: F232−232−0=0; Δstock−1.</x:v>
      </x:c>
      <x:c r="F1532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33" ht="390" customHeight="1">
      <x:c r="A1533" s="13" t="str">
        <x:v>QA-NAN-007</x:v>
      </x:c>
      <x:c r="B1533" s="13" t="str">
        <x:v>ND monetaria anulación remota</x:v>
      </x:c>
      <x:c r="C153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ND crédito 11.60 confirmed, sin abonos. Aplican los fixtures y precondiciones comunes del grupo; sólo crear datos sintéticos propios de la corrida.</x:v>
      </x:c>
      <x:c r="D153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Solicitar annul HKA03.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33" s="13" t="str">
        <x:v>completed, saldo ND0 en modelo SQL; sinstock; Fintacta.
Cálculo independiente: ND11.60→0; stock Δ0.</x:v>
      </x:c>
      <x:c r="F1533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34" ht="390" customHeight="1">
      <x:c r="A1534" s="13" t="str">
        <x:v>QA-NAN-008</x:v>
      </x:c>
      <x:c r="B1534" s="13" t="str">
        <x:v>Administrador requerido</x:v>
      </x:c>
      <x:c r="C153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UVENTA autorizado S1; NC confirmada. Aplican los fixtures y precondiciones comunes del grupo; sólo crear datos sintéticos propios de la corrida.</x:v>
      </x:c>
      <x:c r="D153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POSTannul/quey y complete según permisos actuales en variantes.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34" s="13" t="str">
        <x:v>Mutaciones administrativas denegadas alrol no habilitado; nada fiscal/financiero alterado.
Cálculo independiente: Anular HTTP 0; estados intactos.</x:v>
      </x:c>
      <x:c r="F1534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35" ht="390" customHeight="1">
      <x:c r="A1535" s="13" t="str">
        <x:v>QA-NAN-009</x:v>
      </x:c>
      <x:c r="B1535" s="13" t="str">
        <x:v>Motivo vacío y UUID inválido</x:v>
      </x:c>
      <x:c r="C153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NC confirmada; motivo"" o UUID malformado. Aplican los fixtures y precondiciones comunes del grupo; sólo crear datos sintéticos propios de la corrida.</x:v>
      </x:c>
      <x:c r="D153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Enviar variantes independientes.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35" s="13" t="str">
        <x:v>Validación antes de transmisión; no journals parciales.
Cálculo independiente: ΔHTTP 0.</x:v>
      </x:c>
      <x:c r="F1535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36" ht="390" customHeight="1">
      <x:c r="A1536" s="13" t="str">
        <x:v>QA-NAN-010</x:v>
      </x:c>
      <x:c r="B1536" s="13" t="str">
        <x:v>Cobros ND activos bloquean</x:v>
      </x:c>
      <x:c r="C153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ND11.60 confirmed con abono 3. Aplican los fixtures y precondiciones comunes del grupo; sólo crear datos sintéticos propios de la corrida.</x:v>
      </x:c>
      <x:c r="D153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Solicitar anulación.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36" s="13" t="str">
        <x:v>Bloquea por cobroactivo, sin reversión automática del pago.
Cálculo independiente: Cash 3 intacto; deuda 8.60.</x:v>
      </x:c>
      <x:c r="F1536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37" ht="390" customHeight="1">
      <x:c r="A1537" s="13" t="str">
        <x:v>QA-NAN-011</x:v>
      </x:c>
      <x:c r="B1537" s="13" t="str">
        <x:v>Refund NC activo bloquea</x:v>
      </x:c>
      <x:c r="C153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NC116 confirmed, refund 58 activo. Aplican los fixtures y precondiciones comunes del grupo; sólo crear datos sintéticos propios de la corrida.</x:v>
      </x:c>
      <x:c r="D153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Solicitar annul.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37" s="13" t="str">
        <x:v>Bloquea hasta reversión auditada de dependencias; no recuperar dinero automáticamente.
Cálculo independiente: Refund 58 activo; stock/créditointactos.</x:v>
      </x:c>
      <x:c r="F1537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38" ht="390" customHeight="1">
      <x:c r="A1538" s="13" t="str">
        <x:v>QA-NAN-012</x:v>
      </x:c>
      <x:c r="B1538" s="13" t="str">
        <x:v>Ajuste activo bloquea</x:v>
      </x:c>
      <x:c r="C153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NC con adjustmentIVA/ISLR/fondoactivo. Aplican los fixtures y precondiciones comunes del grupo; sólo crear datos sintéticos propios de la corrida.</x:v>
      </x:c>
      <x:c r="D153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Solicitar annul para cada variante.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38" s="13" t="str">
        <x:v>Sin anular efectos incompatibles ni borrar historial.
Cálculo independiente: Δaplicaciones/cash/stock0.</x:v>
      </x:c>
      <x:c r="F1538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39" ht="390" customHeight="1">
      <x:c r="A1539" s="13" t="str">
        <x:v>QA-NAN-013</x:v>
      </x:c>
      <x:c r="B1539" s="13" t="str">
        <x:v>Validación previa stock antes HKA</x:v>
      </x:c>
      <x:c r="C153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NC retorno del serial SN1 luego vendido otra vez. Aplican los fixtures y precondiciones comunes del grupo; sólo crear datos sintéticos propios de la corrida.</x:v>
      </x:c>
      <x:c r="D153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Solicitar annul.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39" s="13" t="str">
        <x:v>Bloquea antes HTTP porque no puede retirar SN1; pre ser ves nota.
Cálculo independiente: Anular HTTP 0.</x:v>
      </x:c>
      <x:c r="F1539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40" ht="390" customHeight="1">
      <x:c r="A1540" s="13" t="str">
        <x:v>QA-NAN-014</x:v>
      </x:c>
      <x:c r="B1540" s="13" t="str">
        <x:v>Timeout conserva reservas</x:v>
      </x:c>
      <x:c r="C154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NC07 stock+1/crédito116; Anular timeout. Aplican los fixtures y precondiciones comunes del grupo; sólo crear datos sintéticos propios de la corrida.</x:v>
      </x:c>
      <x:c r="D154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Consultar no reenviar automáticamente.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40" s="13" t="str">
        <x:v>uncertain/comercial13; crédito e inventario siguen reservados; operaciones incompatibles bloqueadas.
Cálculo independiente: Δstock 0 desde solicitud; créditoaún 116.</x:v>
      </x:c>
      <x:c r="F1540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41" ht="390" customHeight="1">
      <x:c r="A1541" s="13" t="str">
        <x:v>QA-NAN-015</x:v>
      </x:c>
      <x:c r="B1541" s="13" t="str">
        <x:v>Listado 201 vacío no prueba ausencia</x:v>
      </x:c>
      <x:c r="C154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Anulación uncertain; ListadoDocumentosHTTP200/codigo201/lista vacía. Aplican los fixtures y precondiciones comunes del grupo; sólo crear datos sintéticos propios de la corrida.</x:v>
      </x:c>
      <x:c r="D154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Query annulment.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41" s="13" t="str">
        <x:v>No completed ni reenvío por 201; usar EstadoDocumento coherente.
Cálculo independiente: Reservas 116 y 1 intactas sin confirmación.</x:v>
      </x:c>
      <x:c r="F1541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42" ht="390" customHeight="1">
      <x:c r="A1542" s="13" t="str">
        <x:v>QA-NAN-016</x:v>
      </x:c>
      <x:c r="B1542" s="13" t="str">
        <x:v>EstadoDocumento Anulada confirma</x:v>
      </x:c>
      <x:c r="C154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EstadoDocumento 200 estadoDocumento Anulada, UUID/tipo/número/controlcorrectos. Aplican los fixtures y precondiciones comunes del grupo; sólo crear datos sintéticos propios de la corrida.</x:v>
      </x:c>
      <x:c r="D154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Conciliar anulación uncertain.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42" s="13" t="str">
        <x:v>Confirma identidad exacta y ejecuta reversión una vez.
Cálculo independiente: Restock NC1→0; crédito 116→0.</x:v>
      </x:c>
      <x:c r="F1542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43" ht="390" customHeight="1">
      <x:c r="A1543" s="13" t="str">
        <x:v>QA-NAN-017</x:v>
      </x:c>
      <x:c r="B1543" s="13" t="str">
        <x:v>Identidad Anulada ajena rechazada</x:v>
      </x:c>
      <x:c r="C154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RespuestaAnuladaUUID/tipo/número/control distintos. Aplican los fixtures y precondiciones comunes del grupo; sólo crear datos sintéticos propios de la corrida.</x:v>
      </x:c>
      <x:c r="D154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Consultar contra nota original.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43" s="13" t="str">
        <x:v>No confirmar nota equivocada; uncertain/diagnóstico.
Cálculo independiente: Δefectos 0.</x:v>
      </x:c>
      <x:c r="F1543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44" ht="390" customHeight="1">
      <x:c r="A1544" s="13" t="str">
        <x:v>QA-NAN-018</x:v>
      </x:c>
      <x:c r="B1544" s="13" t="str">
        <x:v>Listado paginado coteja RIF serie control</x:v>
      </x:c>
      <x:c r="C154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Notaubicada página 2; página 1 otro documento mismo número. Aplican los fixtures y precondiciones comunes del grupo; sólo crear datos sintéticos propios de la corrida.</x:v>
      </x:c>
      <x:c r="D154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Consultar todas páginas relevantes y EstadoDocumento.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44" s="13" t="str">
        <x:v>Sólo coincidencia completa prueba resultado; guardar páginas saneadas.
Cálculo independiente: Coincidencias identidad exacta=1.</x:v>
      </x:c>
      <x:c r="F1544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45" ht="390" customHeight="1">
      <x:c r="A1545" s="13" t="str">
        <x:v>QA-NAN-019</x:v>
      </x:c>
      <x:c r="B1545" s="13" t="str">
        <x:v>Rechazo remoto mantiene efectos</x:v>
      </x:c>
      <x:c r="C154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Anular devuelve rechazo definitivo validaciones. Aplican los fixtures y precondiciones comunes del grupo; sólo crear datos sintéticos propios de la corrida.</x:v>
      </x:c>
      <x:c r="D154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Observar journal rejected y reabrir.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45" s="13" t="str">
        <x:v>No completed sin confirmación; crédito/stock conservados y diagnóstico auditado.
Cálculo independiente: Δstock/crédito0 hasta resultado fiscal válido.</x:v>
      </x:c>
      <x:c r="F1545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46" ht="390" customHeight="1">
      <x:c r="A1546" s="13" t="str">
        <x:v>QA-NAN-020</x:v>
      </x:c>
      <x:c r="B1546" s="13" t="str">
        <x:v>Remoto confirmado pero stock falla</x:v>
      </x:c>
      <x:c r="C154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Validación previa válida; carrera vende SN1 antes respuesta anular 200. Aplican los fixtures y precondiciones comunes del grupo; sólo crear datos sintéticos propios de la corrida.</x:v>
      </x:c>
      <x:c r="D154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Recibir confirmación remota y comprobar rollback local.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46" s="13" t="str">
        <x:v>emisióncancelled/comercial13, journalremote_confirmed; no perder intención de completar.
Cálculo independiente: Fiscal cancelado; stocklocal aún+1; reversión pendiente 1.</x:v>
      </x:c>
      <x:c r="F1546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47" ht="390" customHeight="1">
      <x:c r="A1547" s="13" t="str">
        <x:v>QA-NAN-021</x:v>
      </x:c>
      <x:c r="B1547" s="13" t="str">
        <x:v>Completar local sin repetir Anular</x:v>
      </x:c>
      <x:c r="C154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Estado remote_confirmed; recuperar SN1 disponible enfixture. Aplican los fixtures y precondiciones comunes del grupo; sólo crear datos sintéticos propios de la corrida.</x:v>
      </x:c>
      <x:c r="D154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POST complete-annulment UUID; repetir.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47" s="13" t="str">
        <x:v>Sólo reversión comercial, completed/11 una vez; cero segundo Anular.
Cálculo independiente: TotalAnular 1; stock−1 único.</x:v>
      </x:c>
      <x:c r="F1547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48" ht="390" customHeight="1">
      <x:c r="A1548" s="13" t="str">
        <x:v>QA-NAN-022</x:v>
      </x:c>
      <x:c r="B1548" s="13" t="str">
        <x:v>UUID replay anulación</x:v>
      </x:c>
      <x:c r="C154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A idéntico tras completed. Aplican los fixtures y precondiciones comunes del grupo; sólo crear datos sintéticos propios de la corrida.</x:v>
      </x:c>
      <x:c r="D154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Repetir POST annulA.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48" s="13" t="str">
        <x:v>Devuelve operación existente; no reutiliza número ni mueve stock otra vez.
Cálculo independiente: ΔHTTP/stock=0.</x:v>
      </x:c>
      <x:c r="F1548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49" ht="390" customHeight="1">
      <x:c r="A1549" s="13" t="str">
        <x:v>QA-NAN-023</x:v>
      </x:c>
      <x:c r="B1549" s="13" t="str">
        <x:v>UUID colisión anulación</x:v>
      </x:c>
      <x:c r="C154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A existente; cambia motivo/identidad. Aplican los fixtures y precondiciones comunes del grupo; sólo crear datos sintéticos propios de la corrida.</x:v>
      </x:c>
      <x:c r="D154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ReutilizarA con cuerpo diferente.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49" s="13" t="str">
        <x:v>Conflicto 409, solicitud congelada no reemplazada.
Cálculo independiente: Δefectos 0.</x:v>
      </x:c>
      <x:c r="F1549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50" ht="390" customHeight="1">
      <x:c r="A1550" s="13" t="str">
        <x:v>QA-NAN-024</x:v>
      </x:c>
      <x:c r="B1550" s="13" t="str">
        <x:v>Dos anulaciones concurrentes</x:v>
      </x:c>
      <x:c r="C155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NC confirmed; dos procesosA/B. Aplican los fixtures y precondiciones comunes del grupo; sólo crear datos sintéticos propios de la corrida.</x:v>
      </x:c>
      <x:c r="D155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Enviar solicitudes simultáneas.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50" s="13" t="str">
        <x:v>Única intención vigente y reversión única; otroprocesoadopta/bloqueasegúnestado.
Cálculo independiente: Anular lógico 1; stock−1.</x:v>
      </x:c>
      <x:c r="F1550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51" ht="390" customHeight="1">
      <x:c r="A1551" s="13" t="str">
        <x:v>QA-NAN-025</x:v>
      </x:c>
      <x:c r="B1551" s="13" t="str">
        <x:v>Respuesta tardía intento antiguo</x:v>
      </x:c>
      <x:c r="C155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Journal intento B vigente; respuesta Aantigua. Aplican los fixtures y precondiciones comunes del grupo; sólo crear datos sintéticos propios de la corrida.</x:v>
      </x:c>
      <x:c r="D155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Liberar respuesta A después de consulta B.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51" s="13" t="str">
        <x:v>No sobrescribirestado/intenciónB ni aplicar efectos dos veces.
Cálculo independiente: attempt_idfinal=B.</x:v>
      </x:c>
      <x:c r="F1551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52" ht="390" customHeight="1">
      <x:c r="A1552" s="13" t="str">
        <x:v>QA-NAN-026</x:v>
      </x:c>
      <x:c r="B1552" s="13" t="str">
        <x:v>Cambio configuración mientras autentica</x:v>
      </x:c>
      <x:c r="C155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RIF/configD1congelado; cambiacredenciales/ambienteantesHTTP. Aplican los fixtures y precondiciones comunes del grupo; sólo crear datos sintéticos propios de la corrida.</x:v>
      </x:c>
      <x:c r="D155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Solicitar annul con doble controlado.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52" s="13" t="str">
        <x:v>Validación contexto bloquea transmisión incorrecta; journal auditado.
Cálculo independiente: HKA en entorno equivocado HTTP 0.</x:v>
      </x:c>
      <x:c r="F1552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53" ht="390" customHeight="1">
      <x:c r="A1553" s="13" t="str">
        <x:v>QA-NAN-027</x:v>
      </x:c>
      <x:c r="B1553" s="13" t="str">
        <x:v>Ruta antigua no anula notas</x:v>
      </x:c>
      <x:c r="C155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Nota ordinary confirmed. Aplican los fixtures y precondiciones comunes del grupo; sólo crear datos sintéticos propios de la corrida.</x:v>
      </x:c>
      <x:c r="D155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Invocar delete/voidedlegado y comparar con flujo annul.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53" s="13" t="str">
        <x:v>Rutasantiguasnoomitenjournal/prevalidación; no borrar original.
Cálculo independiente: Nota/payload/PDF/control preservados.</x:v>
      </x:c>
      <x:c r="F1553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54" ht="390" customHeight="1">
      <x:c r="A1554" s="13" t="str">
        <x:v>QA-NAN-028</x:v>
      </x:c>
      <x:c r="B1554" s="13" t="str">
        <x:v>Consulta repeated completed</x:v>
      </x:c>
      <x:c r="C155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Nota annul completed, solicitud query repetida. Aplican los fixtures y precondiciones comunes del grupo; sólo crear datos sintéticos propios de la corrida.</x:v>
      </x:c>
      <x:c r="D155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Consultar dosveces.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54" s="13" t="str">
        <x:v>Norepite reversalfinanciero/stock; saldo ND0SQLmodelo.
Cálculo independiente: Δstock 0; debt ND0.</x:v>
      </x:c>
      <x:c r="F1554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55" ht="390" customHeight="1">
      <x:c r="A1555" s="13" t="str">
        <x:v>QA-NAN-029</x:v>
      </x:c>
      <x:c r="B1555" s="13" t="str">
        <x:v>Anulación conserva lotes y seriales exactos</x:v>
      </x:c>
      <x:c r="C155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NC07 retornóL1=1/SN1; disponible. Aplican los fixtures y precondiciones comunes del grupo; sólo crear datos sintéticos propios de la corrida.</x:v>
      </x:c>
      <x:c r="D155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Anular NC yconsultar stock/lote/serial.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55" s="13" t="str">
        <x:v>Retira sólo retorno de esta NC; historia original preservada.
Cálculo independiente: L1−1 y SN1 in disponible; no afectar lotes ajenos.</x:v>
      </x:c>
      <x:c r="F1555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56" ht="390" customHeight="1">
      <x:c r="A1556" s="13" t="str">
        <x:v>QA-NAN-030</x:v>
      </x:c>
      <x:c r="B1556" s="13" t="str">
        <x:v>Anulación NC monetaria sin stock</x:v>
      </x:c>
      <x:c r="C155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NC04 confirmed 11.60; sin refund. Aplican los fixtures y precondiciones comunes del grupo; sólo crear datos sintéticos propios de la corrida.</x:v>
      </x:c>
      <x:c r="D155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Anular NC04.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56" s="13" t="str">
        <x:v>Libera 11.60 crédito, no mueve inventario.
Cálculo independiente: stock Δ0; crédito 11.60→0.</x:v>
      </x:c>
      <x:c r="F1556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57" ht="390" customHeight="1">
      <x:c r="A1557" s="13" t="str">
        <x:v>QA-NAN-031</x:v>
      </x:c>
      <x:c r="B1557" s="13" t="str">
        <x:v>Factura no se anula por endpoint notas</x:v>
      </x:c>
      <x:c r="C155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Documento type 01 confirmed. Aplican los fixtures y precondiciones comunes del grupo; sólo crear datos sintéticos propios de la corrida.</x:v>
      </x:c>
      <x:c r="D155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POST documents/{F}/annul con UUID.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57" s="13" t="str">
        <x:v>Rechazo de alcance; no Anular factura remotamente.
Cálculo independiente: HTTPAnular 0.</x:v>
      </x:c>
      <x:c r="F1557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58" ht="390" customHeight="1">
      <x:c r="A1558" s="13" t="str">
        <x:v>QA-NAN-032</x:v>
      </x:c>
      <x:c r="B1558" s="13" t="str">
        <x:v>IGTF98 no entra en anulación ordinaria</x:v>
      </x:c>
      <x:c r="C155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Nota08motivoIGTF/transacción98. Aplican los fixtures y precondiciones comunes del grupo; sólo crear datos sintéticos propios de la corrida.</x:v>
      </x:c>
      <x:c r="D155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Invocar anulación ordinaria.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58" s="13" t="str">
        <x:v>Rechazo según contratos separados; no reutilizar ND03 ordinaria.
Cálculo independiente: ΔIGTF/cash=0.</x:v>
      </x:c>
      <x:c r="F1558" s="13" t="str">
        <x:v>[app/Services/Fiscal/NoteAnnulment.php](../../app/Services/Fiscal/NoteAnnulment.php), [informes/notas_credito_debito_hka.md](../../informes/notas_credito_debito_hka.md).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59" ht="390" customHeight="1">
      <x:c r="A1559" s="13" t="str">
        <x:v>QA-ODE-001</x:v>
      </x:c>
      <x:c r="B1559" s="13" t="str">
        <x:v>Motivo 04 / transporte público / stock 0 / valorización 0</x:v>
      </x:c>
      <x:c r="C155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04, discount_stock=0 en fixture QA aislado; enabled_price_items_dispatch=false. Cliente C1 identidad J vigente y dirección propia; origen direcciónS1, destino otra sucursal S2/almacén W2. Emisión 2026-10-14, traslado 2026-10-15, peso 2.50 KG. Transporte 01; transportistaT1 requerido; conductorD1/vehículoV1 seleccionados con has_transport_driver=01.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5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59" s="13" t="str">
        <x:v>Una orden/operación; saldo W1=10; sin cobros, IVA comercial ni cuenta por cobrar. PrecioUnitario 0.0000/precioItem0.00; ignorar precio oculto 116.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Δstock=0; W1 final=10. Importes fiscales 0; valorización oculta ignorada y Δpagos 0. Número interno original independiente de presentación 8 dígitos.</x:v>
      </x:c>
      <x:c r="F1559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60" ht="390" customHeight="1">
      <x:c r="A1560" s="13" t="str">
        <x:v>QA-ODE-002</x:v>
      </x:c>
      <x:c r="B1560" s="13" t="str">
        <x:v>Motivo 04 / transporte público / stock 0 / valorización 1</x:v>
      </x:c>
      <x:c r="C156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04, discount_stock=0 en fixture QA aislado; enabled_price_items_dispatch=true. Cliente C1 identidad J vigente y dirección propia; origen direcciónS1, destino otra sucursal S2/almacén W2. Emisión 2026-10-14, traslado 2026-10-15, peso 2.50 KG. Transporte 01; transportistaT1 requerido; conductorD1/vehículoV1 seleccionados con has_transport_driver=01.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6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60" s="13" t="str">
        <x:v>Una orden/operación; saldo W1=10; sin cobros, IVA comercial ni cuenta por cobrar. PrecioUnitario 100.0000,precioItem 200.00,codigo IVA G/tasa16/valorIVA32/valorTotalItem232 por línea.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Δstock=0; W1 final=10. 2×116=232 VES; base232/1.16=200; IVA32; no cuentas de factura. Número interno original independiente de presentación 8 dígitos.</x:v>
      </x:c>
      <x:c r="F1560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61" ht="390" customHeight="1">
      <x:c r="A1561" s="13" t="str">
        <x:v>QA-ODE-003</x:v>
      </x:c>
      <x:c r="B1561" s="13" t="str">
        <x:v>Motivo 04 / transporte público / stock 1 / valorización 0</x:v>
      </x:c>
      <x:c r="C156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04, discount_stock=1 en fixture QA aislado; enabled_price_items_dispatch=false. Cliente C1 identidad J vigente y dirección propia; origen direcciónS1, destino otra sucursal S2/almacén W2. Emisión 2026-10-14, traslado 2026-10-15, peso 2.50 KG. Transporte 01; transportistaT1 requerido; conductorD1/vehículoV1 seleccionados con has_transport_driver=01.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6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61" s="13" t="str">
        <x:v>Una orden/operación; saldo W1=8; sin cobros, IVA comercial ni cuenta por cobrar. PrecioUnitario 0.0000/precioItem0.00; ignorar precio oculto 116.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Δstock=-2; W1 final=8. Importes fiscales 0; valorización oculta ignorada y Δpagos 0. Número interno original independiente de presentación 8 dígitos.</x:v>
      </x:c>
      <x:c r="F1561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62" ht="390" customHeight="1">
      <x:c r="A1562" s="13" t="str">
        <x:v>QA-ODE-004</x:v>
      </x:c>
      <x:c r="B1562" s="13" t="str">
        <x:v>Motivo 04 / transporte público / stock 1 / valorización 1</x:v>
      </x:c>
      <x:c r="C156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04, discount_stock=1 en fixture QA aislado; enabled_price_items_dispatch=true. Cliente C1 identidad J vigente y dirección propia; origen direcciónS1, destino otra sucursal S2/almacén W2. Emisión 2026-10-14, traslado 2026-10-15, peso 2.50 KG. Transporte 01; transportistaT1 requerido; conductorD1/vehículoV1 seleccionados con has_transport_driver=01.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6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62" s="13" t="str">
        <x:v>Una orden/operación; saldo W1=8; sin cobros, IVA comercial ni cuenta por cobrar. PrecioUnitario 100.0000,precioItem 200.00,codigo IVA G/tasa16/valorIVA32/valorTotalItem232 por línea.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Δstock=-2; W1 final=8. 2×116=232 VES; base232/1.16=200; IVA32; no cuentas de factura. Número interno original independiente de presentación 8 dígitos.</x:v>
      </x:c>
      <x:c r="F1562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63" ht="390" customHeight="1">
      <x:c r="A1563" s="13" t="str">
        <x:v>QA-ODE-005</x:v>
      </x:c>
      <x:c r="B1563" s="13" t="str">
        <x:v>Motivo 04 / transporte privado / stock 0 / valorización 0</x:v>
      </x:c>
      <x:c r="C156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04, discount_stock=0 en fixture QA aislado; enabled_price_items_dispatch=false. Cliente C1 identidad J vigente y dirección propia; origen direcciónS1, destino otra sucursal S2/almacén W2. Emisión 2026-10-14, traslado 2026-10-15, peso 2.50 KG. Transporte 02; conductorD1/vehículoV1 obligatorios.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6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63" s="13" t="str">
        <x:v>Una orden/operación; saldo W1=10; sin cobros, IVA comercial ni cuenta por cobrar. PrecioUnitario 0.0000/precioItem0.00; ignorar precio oculto 116.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Δstock=0; W1 final=10. Importes fiscales 0; valorización oculta ignorada y Δpagos 0. Número interno original independiente de presentación 8 dígitos.</x:v>
      </x:c>
      <x:c r="F1563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64" ht="390" customHeight="1">
      <x:c r="A1564" s="13" t="str">
        <x:v>QA-ODE-006</x:v>
      </x:c>
      <x:c r="B1564" s="13" t="str">
        <x:v>Motivo 04 / transporte privado / stock 0 / valorización 1</x:v>
      </x:c>
      <x:c r="C156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04, discount_stock=0 en fixture QA aislado; enabled_price_items_dispatch=true. Cliente C1 identidad J vigente y dirección propia; origen direcciónS1, destino otra sucursal S2/almacén W2. Emisión 2026-10-14, traslado 2026-10-15, peso 2.50 KG. Transporte 02; conductorD1/vehículoV1 obligatorios.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6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64" s="13" t="str">
        <x:v>Una orden/operación; saldo W1=10; sin cobros, IVA comercial ni cuenta por cobrar. PrecioUnitario 100.0000,precioItem 200.00,codigo IVA G/tasa16/valorIVA32/valorTotalItem232 por línea.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Δstock=0; W1 final=10. 2×116=232 VES; base232/1.16=200; IVA32; no cuentas de factura. Número interno original independiente de presentación 8 dígitos.</x:v>
      </x:c>
      <x:c r="F1564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65" ht="390" customHeight="1">
      <x:c r="A1565" s="13" t="str">
        <x:v>QA-ODE-007</x:v>
      </x:c>
      <x:c r="B1565" s="13" t="str">
        <x:v>Motivo 04 / transporte privado / stock 1 / valorización 0</x:v>
      </x:c>
      <x:c r="C156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04, discount_stock=1 en fixture QA aislado; enabled_price_items_dispatch=false. Cliente C1 identidad J vigente y dirección propia; origen direcciónS1, destino otra sucursal S2/almacén W2. Emisión 2026-10-14, traslado 2026-10-15, peso 2.50 KG. Transporte 02; conductorD1/vehículoV1 obligatorios.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6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65" s="13" t="str">
        <x:v>Una orden/operación; saldo W1=8; sin cobros, IVA comercial ni cuenta por cobrar. PrecioUnitario 0.0000/precioItem0.00; ignorar precio oculto 116.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Δstock=-2; W1 final=8. Importes fiscales 0; valorización oculta ignorada y Δpagos 0. Número interno original independiente de presentación 8 dígitos.</x:v>
      </x:c>
      <x:c r="F1565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66" ht="390" customHeight="1">
      <x:c r="A1566" s="13" t="str">
        <x:v>QA-ODE-008</x:v>
      </x:c>
      <x:c r="B1566" s="13" t="str">
        <x:v>Motivo 04 / transporte privado / stock 1 / valorización 1</x:v>
      </x:c>
      <x:c r="C156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04, discount_stock=1 en fixture QA aislado; enabled_price_items_dispatch=true. Cliente C1 identidad J vigente y dirección propia; origen direcciónS1, destino otra sucursal S2/almacén W2. Emisión 2026-10-14, traslado 2026-10-15, peso 2.50 KG. Transporte 02; conductorD1/vehículoV1 obligatorios.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6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66" s="13" t="str">
        <x:v>Una orden/operación; saldo W1=8; sin cobros, IVA comercial ni cuenta por cobrar. PrecioUnitario 100.0000,precioItem 200.00,codigo IVA G/tasa16/valorIVA32/valorTotalItem232 por línea.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Δstock=-2; W1 final=8. 2×116=232 VES; base232/1.16=200; IVA32; no cuentas de factura. Número interno original independiente de presentación 8 dígitos.</x:v>
      </x:c>
      <x:c r="F1566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67" ht="390" customHeight="1">
      <x:c r="A1567" s="13" t="str">
        <x:v>QA-ODE-009</x:v>
      </x:c>
      <x:c r="B1567" s="13" t="str">
        <x:v>Motivo 21 / transporte público / stock 0 / valorización 0</x:v>
      </x:c>
      <x:c r="C156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21, discount_stock=0 en fixture QA aislado; enabled_price_items_dispatch=false. Cliente C1 identidad J vigente y dirección propia; origen direcciónS1, destino direcciónC1. Emisión 2026-10-14, traslado 2026-10-15, peso 2.50 KG. Transporte 01; transportistaT1 requerido; conductorD1/vehículoV1 seleccionados con has_transport_driver=01. G1 UND cantidad 2, almacénW1 stock 10, precio VES116 incluido IVA16% por UND si valorizada. hka_data.service_description=Reparación de dos bienes QA; catálogos condicionales activos. Pro 9 09→HKA04/esGuiaDespacho1. Aplican los fixtures y precondiciones comunes del grupo; sólo crear datos sintéticos propios de la corrida.</x:v>
      </x:c>
      <x:c r="D156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67" s="13" t="str">
        <x:v>Una orden/operación; saldo W1=10; sin cobros, IVA comercial ni cuenta por cobrar. PrecioUnitario 0.0000/precioItem0.00; ignorar precio oculto 116.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Δstock=0; W1 final=10. Importes fiscales 0; valorización oculta ignorada y Δpagos 0. Número interno original independiente de presentación 8 dígitos.</x:v>
      </x:c>
      <x:c r="F1567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68" ht="390" customHeight="1">
      <x:c r="A1568" s="13" t="str">
        <x:v>QA-ODE-010</x:v>
      </x:c>
      <x:c r="B1568" s="13" t="str">
        <x:v>Motivo 21 / transporte público / stock 0 / valorización 1</x:v>
      </x:c>
      <x:c r="C156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21, discount_stock=0 en fixture QA aislado; enabled_price_items_dispatch=true. Cliente C1 identidad J vigente y dirección propia; origen direcciónS1, destino direcciónC1. Emisión 2026-10-14, traslado 2026-10-15, peso 2.50 KG. Transporte 01; transportistaT1 requerido; conductorD1/vehículoV1 seleccionados con has_transport_driver=01. G1 UND cantidad 2, almacénW1 stock 10, precio VES116 incluido IVA16% por UND si valorizada. hka_data.service_description=Reparación de dos bienes QA; catálogos condicionales activos. Pro 9 09→HKA04/esGuiaDespacho1. Aplican los fixtures y precondiciones comunes del grupo; sólo crear datos sintéticos propios de la corrida.</x:v>
      </x:c>
      <x:c r="D156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68" s="13" t="str">
        <x:v>Una orden/operación; saldo W1=10; sin cobros, IVA comercial ni cuenta por cobrar. PrecioUnitario 100.0000,precioItem 200.00,codigo IVA G/tasa16/valorIVA32/valorTotalItem232 por línea.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Δstock=0; W1 final=10. 2×116=232 VES; base232/1.16=200; IVA32; no cuentas de factura. Número interno original independiente de presentación 8 dígitos.</x:v>
      </x:c>
      <x:c r="F1568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69" ht="390" customHeight="1">
      <x:c r="A1569" s="13" t="str">
        <x:v>QA-ODE-011</x:v>
      </x:c>
      <x:c r="B1569" s="13" t="str">
        <x:v>Motivo 21 / transporte público / stock 1 / valorización 0</x:v>
      </x:c>
      <x:c r="C156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21, discount_stock=1 en fixture QA aislado; enabled_price_items_dispatch=false. Cliente C1 identidad J vigente y dirección propia; origen direcciónS1, destino direcciónC1. Emisión 2026-10-14, traslado 2026-10-15, peso 2.50 KG. Transporte 01; transportistaT1 requerido; conductorD1/vehículoV1 seleccionados con has_transport_driver=01. G1 UND cantidad 2, almacénW1 stock 10, precio VES116 incluido IVA16% por UND si valorizada. hka_data.service_description=Reparación de dos bienes QA; catálogos condicionales activos. Pro 9 09→HKA04/esGuiaDespacho1. Aplican los fixtures y precondiciones comunes del grupo; sólo crear datos sintéticos propios de la corrida.</x:v>
      </x:c>
      <x:c r="D156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69" s="13" t="str">
        <x:v>Una orden/operación; saldo W1=8; sin cobros, IVA comercial ni cuenta por cobrar. PrecioUnitario 0.0000/precioItem0.00; ignorar precio oculto 116.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Δstock=-2; W1 final=8. Importes fiscales 0; valorización oculta ignorada y Δpagos 0. Número interno original independiente de presentación 8 dígitos.</x:v>
      </x:c>
      <x:c r="F1569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70" ht="390" customHeight="1">
      <x:c r="A1570" s="13" t="str">
        <x:v>QA-ODE-012</x:v>
      </x:c>
      <x:c r="B1570" s="13" t="str">
        <x:v>Motivo 21 / transporte público / stock 1 / valorización 1</x:v>
      </x:c>
      <x:c r="C157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21, discount_stock=1 en fixture QA aislado; enabled_price_items_dispatch=true. Cliente C1 identidad J vigente y dirección propia; origen direcciónS1, destino direcciónC1. Emisión 2026-10-14, traslado 2026-10-15, peso 2.50 KG. Transporte 01; transportistaT1 requerido; conductorD1/vehículoV1 seleccionados con has_transport_driver=01. G1 UND cantidad 2, almacénW1 stock 10, precio VES116 incluido IVA16% por UND si valorizada. hka_data.service_description=Reparación de dos bienes QA; catálogos condicionales activos. Pro 9 09→HKA04/esGuiaDespacho1. Aplican los fixtures y precondiciones comunes del grupo; sólo crear datos sintéticos propios de la corrida.</x:v>
      </x:c>
      <x:c r="D157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70" s="13" t="str">
        <x:v>Una orden/operación; saldo W1=8; sin cobros, IVA comercial ni cuenta por cobrar. PrecioUnitario 100.0000,precioItem 200.00,codigo IVA G/tasa16/valorIVA32/valorTotalItem232 por línea.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Δstock=-2; W1 final=8. 2×116=232 VES; base232/1.16=200; IVA32; no cuentas de factura. Número interno original independiente de presentación 8 dígitos.</x:v>
      </x:c>
      <x:c r="F1570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71" ht="390" customHeight="1">
      <x:c r="A1571" s="13" t="str">
        <x:v>QA-ODE-013</x:v>
      </x:c>
      <x:c r="B1571" s="13" t="str">
        <x:v>Motivo 21 / transporte privado / stock 0 / valorización 0</x:v>
      </x:c>
      <x:c r="C157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21, discount_stock=0 en fixture QA aislado; enabled_price_items_dispatch=false. Cliente C1 identidad J vigente y dirección propia; origen direcciónS1, destino direcciónC1. Emisión 2026-10-14, traslado 2026-10-15, peso 2.50 KG. Transporte 02; conductorD1/vehículoV1 obligatorios. G1 UND cantidad 2, almacénW1 stock 10, precio VES116 incluido IVA16% por UND si valorizada. hka_data.service_description=Reparación de dos bienes QA; catálogos condicionales activos. Pro 9 09→HKA04/esGuiaDespacho1. Aplican los fixtures y precondiciones comunes del grupo; sólo crear datos sintéticos propios de la corrida.</x:v>
      </x:c>
      <x:c r="D157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71" s="13" t="str">
        <x:v>Una orden/operación; saldo W1=10; sin cobros, IVA comercial ni cuenta por cobrar. PrecioUnitario 0.0000/precioItem0.00; ignorar precio oculto 116.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Δstock=0; W1 final=10. Importes fiscales 0; valorización oculta ignorada y Δpagos 0. Número interno original independiente de presentación 8 dígitos.</x:v>
      </x:c>
      <x:c r="F1571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72" ht="390" customHeight="1">
      <x:c r="A1572" s="13" t="str">
        <x:v>QA-ODE-014</x:v>
      </x:c>
      <x:c r="B1572" s="13" t="str">
        <x:v>Motivo 21 / transporte privado / stock 0 / valorización 1</x:v>
      </x:c>
      <x:c r="C157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21, discount_stock=0 en fixture QA aislado; enabled_price_items_dispatch=true. Cliente C1 identidad J vigente y dirección propia; origen direcciónS1, destino direcciónC1. Emisión 2026-10-14, traslado 2026-10-15, peso 2.50 KG. Transporte 02; conductorD1/vehículoV1 obligatorios. G1 UND cantidad 2, almacénW1 stock 10, precio VES116 incluido IVA16% por UND si valorizada. hka_data.service_description=Reparación de dos bienes QA; catálogos condicionales activos. Pro 9 09→HKA04/esGuiaDespacho1. Aplican los fixtures y precondiciones comunes del grupo; sólo crear datos sintéticos propios de la corrida.</x:v>
      </x:c>
      <x:c r="D157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72" s="13" t="str">
        <x:v>Una orden/operación; saldo W1=10; sin cobros, IVA comercial ni cuenta por cobrar. PrecioUnitario 100.0000,precioItem 200.00,codigo IVA G/tasa16/valorIVA32/valorTotalItem232 por línea.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Δstock=0; W1 final=10. 2×116=232 VES; base232/1.16=200; IVA32; no cuentas de factura. Número interno original independiente de presentación 8 dígitos.</x:v>
      </x:c>
      <x:c r="F1572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73" ht="390" customHeight="1">
      <x:c r="A1573" s="13" t="str">
        <x:v>QA-ODE-015</x:v>
      </x:c>
      <x:c r="B1573" s="13" t="str">
        <x:v>Motivo 21 / transporte privado / stock 1 / valorización 0</x:v>
      </x:c>
      <x:c r="C157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21, discount_stock=1 en fixture QA aislado; enabled_price_items_dispatch=false. Cliente C1 identidad J vigente y dirección propia; origen direcciónS1, destino direcciónC1. Emisión 2026-10-14, traslado 2026-10-15, peso 2.50 KG. Transporte 02; conductorD1/vehículoV1 obligatorios. G1 UND cantidad 2, almacénW1 stock 10, precio VES116 incluido IVA16% por UND si valorizada. hka_data.service_description=Reparación de dos bienes QA; catálogos condicionales activos. Pro 9 09→HKA04/esGuiaDespacho1. Aplican los fixtures y precondiciones comunes del grupo; sólo crear datos sintéticos propios de la corrida.</x:v>
      </x:c>
      <x:c r="D157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73" s="13" t="str">
        <x:v>Una orden/operación; saldo W1=8; sin cobros, IVA comercial ni cuenta por cobrar. PrecioUnitario 0.0000/precioItem0.00; ignorar precio oculto 116.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Δstock=-2; W1 final=8. Importes fiscales 0; valorización oculta ignorada y Δpagos 0. Número interno original independiente de presentación 8 dígitos.</x:v>
      </x:c>
      <x:c r="F1573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74" ht="390" customHeight="1">
      <x:c r="A1574" s="13" t="str">
        <x:v>QA-ODE-016</x:v>
      </x:c>
      <x:c r="B1574" s="13" t="str">
        <x:v>Motivo 21 / transporte privado / stock 1 / valorización 1</x:v>
      </x:c>
      <x:c r="C157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21, discount_stock=1 en fixture QA aislado; enabled_price_items_dispatch=true. Cliente C1 identidad J vigente y dirección propia; origen direcciónS1, destino direcciónC1. Emisión 2026-10-14, traslado 2026-10-15, peso 2.50 KG. Transporte 02; conductorD1/vehículoV1 obligatorios. G1 UND cantidad 2, almacénW1 stock 10, precio VES116 incluido IVA16% por UND si valorizada. hka_data.service_description=Reparación de dos bienes QA; catálogos condicionales activos. Pro 9 09→HKA04/esGuiaDespacho1. Aplican los fixtures y precondiciones comunes del grupo; sólo crear datos sintéticos propios de la corrida.</x:v>
      </x:c>
      <x:c r="D157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74" s="13" t="str">
        <x:v>Una orden/operación; saldo W1=8; sin cobros, IVA comercial ni cuenta por cobrar. PrecioUnitario 100.0000,precioItem 200.00,codigo IVA G/tasa16/valorIVA32/valorTotalItem232 por línea.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Δstock=-2; W1 final=8. 2×116=232 VES; base232/1.16=200; IVA32; no cuentas de factura. Número interno original independiente de presentación 8 dígitos.</x:v>
      </x:c>
      <x:c r="F1574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75" ht="390" customHeight="1">
      <x:c r="A1575" s="13" t="str">
        <x:v>QA-ODE-017</x:v>
      </x:c>
      <x:c r="B1575" s="13" t="str">
        <x:v>Motivo 22 / transporte público / stock 0 / valorización 0</x:v>
      </x:c>
      <x:c r="C157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22, discount_stock=0 en fixture QA aislado; enabled_price_items_dispatch=false. Cliente C1 identidad J vigente y dirección propia; origen direcciónS1, destino direcciónC1. Emisión 2026-10-14, traslado 2026-10-15, peso 2.50 KG. Transporte 01; transportistaT1 requerido; conductorD1/vehículoV1 seleccionados con has_transport_driver=01.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7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75" s="13" t="str">
        <x:v>Una orden/operación; saldo W1=10; sin cobros, IVA comercial ni cuenta por cobrar. PrecioUnitario 0.0000/precioItem0.00; ignorar precio oculto 116.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Δstock=0; W1 final=10. Importes fiscales 0; valorización oculta ignorada y Δpagos 0. Número interno original independiente de presentación 8 dígitos.</x:v>
      </x:c>
      <x:c r="F1575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76" ht="390" customHeight="1">
      <x:c r="A1576" s="13" t="str">
        <x:v>QA-ODE-018</x:v>
      </x:c>
      <x:c r="B1576" s="13" t="str">
        <x:v>Motivo 22 / transporte público / stock 0 / valorización 1</x:v>
      </x:c>
      <x:c r="C157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22, discount_stock=0 en fixture QA aislado; enabled_price_items_dispatch=true. Cliente C1 identidad J vigente y dirección propia; origen direcciónS1, destino direcciónC1. Emisión 2026-10-14, traslado 2026-10-15, peso 2.50 KG. Transporte 01; transportistaT1 requerido; conductorD1/vehículoV1 seleccionados con has_transport_driver=01.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7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76" s="13" t="str">
        <x:v>Una orden/operación; saldo W1=10; sin cobros, IVA comercial ni cuenta por cobrar. PrecioUnitario 100.0000,precioItem 200.00,codigo IVA G/tasa16/valorIVA32/valorTotalItem232 por línea.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Δstock=0; W1 final=10. 2×116=232 VES; base232/1.16=200; IVA32; no cuentas de factura. Número interno original independiente de presentación 8 dígitos.</x:v>
      </x:c>
      <x:c r="F1576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77" ht="390" customHeight="1">
      <x:c r="A1577" s="13" t="str">
        <x:v>QA-ODE-019</x:v>
      </x:c>
      <x:c r="B1577" s="13" t="str">
        <x:v>Motivo 22 / transporte público / stock 1 / valorización 0</x:v>
      </x:c>
      <x:c r="C157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22, discount_stock=1 en fixture QA aislado; enabled_price_items_dispatch=false. Cliente C1 identidad J vigente y dirección propia; origen direcciónS1, destino direcciónC1. Emisión 2026-10-14, traslado 2026-10-15, peso 2.50 KG. Transporte 01; transportistaT1 requerido; conductorD1/vehículoV1 seleccionados con has_transport_driver=01.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7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77" s="13" t="str">
        <x:v>Una orden/operación; saldo W1=8; sin cobros, IVA comercial ni cuenta por cobrar. PrecioUnitario 0.0000/precioItem0.00; ignorar precio oculto 116.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Δstock=-2; W1 final=8. Importes fiscales 0; valorización oculta ignorada y Δpagos 0. Número interno original independiente de presentación 8 dígitos.</x:v>
      </x:c>
      <x:c r="F1577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78" ht="390" customHeight="1">
      <x:c r="A1578" s="13" t="str">
        <x:v>QA-ODE-020</x:v>
      </x:c>
      <x:c r="B1578" s="13" t="str">
        <x:v>Motivo 22 / transporte público / stock 1 / valorización 1</x:v>
      </x:c>
      <x:c r="C157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22, discount_stock=1 en fixture QA aislado; enabled_price_items_dispatch=true. Cliente C1 identidad J vigente y dirección propia; origen direcciónS1, destino direcciónC1. Emisión 2026-10-14, traslado 2026-10-15, peso 2.50 KG. Transporte 01; transportistaT1 requerido; conductorD1/vehículoV1 seleccionados con has_transport_driver=01.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7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78" s="13" t="str">
        <x:v>Una orden/operación; saldo W1=8; sin cobros, IVA comercial ni cuenta por cobrar. PrecioUnitario 100.0000,precioItem 200.00,codigo IVA G/tasa16/valorIVA32/valorTotalItem232 por línea.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Δstock=-2; W1 final=8. 2×116=232 VES; base232/1.16=200; IVA32; no cuentas de factura. Número interno original independiente de presentación 8 dígitos.</x:v>
      </x:c>
      <x:c r="F1578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79" ht="390" customHeight="1">
      <x:c r="A1579" s="13" t="str">
        <x:v>QA-ODE-021</x:v>
      </x:c>
      <x:c r="B1579" s="13" t="str">
        <x:v>Motivo 22 / transporte privado / stock 0 / valorización 0</x:v>
      </x:c>
      <x:c r="C157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22, discount_stock=0 en fixture QA aislado; enabled_price_items_dispatch=false. Cliente C1 identidad J vigente y dirección propia; origen direcciónS1, destino direcciónC1. Emisión 2026-10-14, traslado 2026-10-15, peso 2.50 KG. Transporte 02; conductorD1/vehículoV1 obligatorios.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7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79" s="13" t="str">
        <x:v>Una orden/operación; saldo W1=10; sin cobros, IVA comercial ni cuenta por cobrar. PrecioUnitario 0.0000/precioItem0.00; ignorar precio oculto 116.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Δstock=0; W1 final=10. Importes fiscales 0; valorización oculta ignorada y Δpagos 0. Número interno original independiente de presentación 8 dígitos.</x:v>
      </x:c>
      <x:c r="F1579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80" ht="390" customHeight="1">
      <x:c r="A1580" s="13" t="str">
        <x:v>QA-ODE-022</x:v>
      </x:c>
      <x:c r="B1580" s="13" t="str">
        <x:v>Motivo 22 / transporte privado / stock 0 / valorización 1</x:v>
      </x:c>
      <x:c r="C158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22, discount_stock=0 en fixture QA aislado; enabled_price_items_dispatch=true. Cliente C1 identidad J vigente y dirección propia; origen direcciónS1, destino direcciónC1. Emisión 2026-10-14, traslado 2026-10-15, peso 2.50 KG. Transporte 02; conductorD1/vehículoV1 obligatorios.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8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80" s="13" t="str">
        <x:v>Una orden/operación; saldo W1=10; sin cobros, IVA comercial ni cuenta por cobrar. PrecioUnitario 100.0000,precioItem 200.00,codigo IVA G/tasa16/valorIVA32/valorTotalItem232 por línea.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Δstock=0; W1 final=10. 2×116=232 VES; base232/1.16=200; IVA32; no cuentas de factura. Número interno original independiente de presentación 8 dígitos.</x:v>
      </x:c>
      <x:c r="F1580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81" ht="390" customHeight="1">
      <x:c r="A1581" s="13" t="str">
        <x:v>QA-ODE-023</x:v>
      </x:c>
      <x:c r="B1581" s="13" t="str">
        <x:v>Motivo 22 / transporte privado / stock 1 / valorización 0</x:v>
      </x:c>
      <x:c r="C158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22, discount_stock=1 en fixture QA aislado; enabled_price_items_dispatch=false. Cliente C1 identidad J vigente y dirección propia; origen direcciónS1, destino direcciónC1. Emisión 2026-10-14, traslado 2026-10-15, peso 2.50 KG. Transporte 02; conductorD1/vehículoV1 obligatorios.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8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81" s="13" t="str">
        <x:v>Una orden/operación; saldo W1=8; sin cobros, IVA comercial ni cuenta por cobrar. PrecioUnitario 0.0000/precioItem0.00; ignorar precio oculto 116.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Δstock=-2; W1 final=8. Importes fiscales 0; valorización oculta ignorada y Δpagos 0. Número interno original independiente de presentación 8 dígitos.</x:v>
      </x:c>
      <x:c r="F1581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82" ht="390" customHeight="1">
      <x:c r="A1582" s="13" t="str">
        <x:v>QA-ODE-024</x:v>
      </x:c>
      <x:c r="B1582" s="13" t="str">
        <x:v>Motivo 22 / transporte privado / stock 1 / valorización 1</x:v>
      </x:c>
      <x:c r="C158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22, discount_stock=1 en fixture QA aislado; enabled_price_items_dispatch=true. Cliente C1 identidad J vigente y dirección propia; origen direcciónS1, destino direcciónC1. Emisión 2026-10-14, traslado 2026-10-15, peso 2.50 KG. Transporte 02; conductorD1/vehículoV1 obligatorios.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8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82" s="13" t="str">
        <x:v>Una orden/operación; saldo W1=8; sin cobros, IVA comercial ni cuenta por cobrar. PrecioUnitario 100.0000,precioItem 200.00,codigo IVA G/tasa16/valorIVA32/valorTotalItem232 por línea.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Δstock=-2; W1 final=8. 2×116=232 VES; base232/1.16=200; IVA32; no cuentas de factura. Número interno original independiente de presentación 8 dígitos.</x:v>
      </x:c>
      <x:c r="F1582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83" ht="390" customHeight="1">
      <x:c r="A1583" s="13" t="str">
        <x:v>QA-ODE-025</x:v>
      </x:c>
      <x:c r="B1583" s="13" t="str">
        <x:v>Motivo 23 / transporte público / stock 0 / valorización 0</x:v>
      </x:c>
      <x:c r="C158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23, discount_stock=0 en fixture QA aislado; enabled_price_items_dispatch=false. Cliente C1 identidad J vigente y dirección propia; origen direcciónS1, destino direcciónC1. Emisión 2026-10-14, traslado 2026-10-15, peso 2.50 KG. Transporte 01; transportistaT1 requerido; conductorD1/vehículoV1 seleccionados con has_transport_driver=01.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8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83" s="13" t="str">
        <x:v>Una orden/operación; saldo W1=10; sin cobros, IVA comercial ni cuenta por cobrar. PrecioUnitario 0.0000/precioItem0.00; ignorar precio oculto 116.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Δstock=0; W1 final=10. Importes fiscales 0; valorización oculta ignorada y Δpagos 0. Número interno original independiente de presentación 8 dígitos.</x:v>
      </x:c>
      <x:c r="F1583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84" ht="390" customHeight="1">
      <x:c r="A1584" s="13" t="str">
        <x:v>QA-ODE-026</x:v>
      </x:c>
      <x:c r="B1584" s="13" t="str">
        <x:v>Motivo 23 / transporte público / stock 0 / valorización 1</x:v>
      </x:c>
      <x:c r="C158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23, discount_stock=0 en fixture QA aislado; enabled_price_items_dispatch=true. Cliente C1 identidad J vigente y dirección propia; origen direcciónS1, destino direcciónC1. Emisión 2026-10-14, traslado 2026-10-15, peso 2.50 KG. Transporte 01; transportistaT1 requerido; conductorD1/vehículoV1 seleccionados con has_transport_driver=01.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8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84" s="13" t="str">
        <x:v>Una orden/operación; saldo W1=10; sin cobros, IVA comercial ni cuenta por cobrar. PrecioUnitario 100.0000,precioItem 200.00,codigo IVA G/tasa16/valorIVA32/valorTotalItem232 por línea.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Δstock=0; W1 final=10. 2×116=232 VES; base232/1.16=200; IVA32; no cuentas de factura. Número interno original independiente de presentación 8 dígitos.</x:v>
      </x:c>
      <x:c r="F1584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85" ht="390" customHeight="1">
      <x:c r="A1585" s="13" t="str">
        <x:v>QA-ODE-027</x:v>
      </x:c>
      <x:c r="B1585" s="13" t="str">
        <x:v>Motivo 23 / transporte público / stock 1 / valorización 0</x:v>
      </x:c>
      <x:c r="C158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23, discount_stock=1 en fixture QA aislado; enabled_price_items_dispatch=false. Cliente C1 identidad J vigente y dirección propia; origen direcciónS1, destino direcciónC1. Emisión 2026-10-14, traslado 2026-10-15, peso 2.50 KG. Transporte 01; transportistaT1 requerido; conductorD1/vehículoV1 seleccionados con has_transport_driver=01.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8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85" s="13" t="str">
        <x:v>Una orden/operación; saldo W1=8; sin cobros, IVA comercial ni cuenta por cobrar. PrecioUnitario 0.0000/precioItem0.00; ignorar precio oculto 116.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Δstock=-2; W1 final=8. Importes fiscales 0; valorización oculta ignorada y Δpagos 0. Número interno original independiente de presentación 8 dígitos.</x:v>
      </x:c>
      <x:c r="F1585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86" ht="390" customHeight="1">
      <x:c r="A1586" s="13" t="str">
        <x:v>QA-ODE-028</x:v>
      </x:c>
      <x:c r="B1586" s="13" t="str">
        <x:v>Motivo 23 / transporte público / stock 1 / valorización 1</x:v>
      </x:c>
      <x:c r="C158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23, discount_stock=1 en fixture QA aislado; enabled_price_items_dispatch=true. Cliente C1 identidad J vigente y dirección propia; origen direcciónS1, destino direcciónC1. Emisión 2026-10-14, traslado 2026-10-15, peso 2.50 KG. Transporte 01; transportistaT1 requerido; conductorD1/vehículoV1 seleccionados con has_transport_driver=01.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8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86" s="13" t="str">
        <x:v>Una orden/operación; saldo W1=8; sin cobros, IVA comercial ni cuenta por cobrar. PrecioUnitario 100.0000,precioItem 200.00,codigo IVA G/tasa16/valorIVA32/valorTotalItem232 por línea.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Δstock=-2; W1 final=8. 2×116=232 VES; base232/1.16=200; IVA32; no cuentas de factura. Número interno original independiente de presentación 8 dígitos.</x:v>
      </x:c>
      <x:c r="F1586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87" ht="390" customHeight="1">
      <x:c r="A1587" s="13" t="str">
        <x:v>QA-ODE-029</x:v>
      </x:c>
      <x:c r="B1587" s="13" t="str">
        <x:v>Motivo 23 / transporte privado / stock 0 / valorización 0</x:v>
      </x:c>
      <x:c r="C158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23, discount_stock=0 en fixture QA aislado; enabled_price_items_dispatch=false. Cliente C1 identidad J vigente y dirección propia; origen direcciónS1, destino direcciónC1. Emisión 2026-10-14, traslado 2026-10-15, peso 2.50 KG. Transporte 02; conductorD1/vehículoV1 obligatorios.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8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87" s="13" t="str">
        <x:v>Una orden/operación; saldo W1=10; sin cobros, IVA comercial ni cuenta por cobrar. PrecioUnitario 0.0000/precioItem0.00; ignorar precio oculto 116.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Δstock=0; W1 final=10. Importes fiscales 0; valorización oculta ignorada y Δpagos 0. Número interno original independiente de presentación 8 dígitos.</x:v>
      </x:c>
      <x:c r="F1587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88" ht="390" customHeight="1">
      <x:c r="A1588" s="13" t="str">
        <x:v>QA-ODE-030</x:v>
      </x:c>
      <x:c r="B1588" s="13" t="str">
        <x:v>Motivo 23 / transporte privado / stock 0 / valorización 1</x:v>
      </x:c>
      <x:c r="C158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23, discount_stock=0 en fixture QA aislado; enabled_price_items_dispatch=true. Cliente C1 identidad J vigente y dirección propia; origen direcciónS1, destino direcciónC1. Emisión 2026-10-14, traslado 2026-10-15, peso 2.50 KG. Transporte 02; conductorD1/vehículoV1 obligatorios.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8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88" s="13" t="str">
        <x:v>Una orden/operación; saldo W1=10; sin cobros, IVA comercial ni cuenta por cobrar. PrecioUnitario 100.0000,precioItem 200.00,codigo IVA G/tasa16/valorIVA32/valorTotalItem232 por línea.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Δstock=0; W1 final=10. 2×116=232 VES; base232/1.16=200; IVA32; no cuentas de factura. Número interno original independiente de presentación 8 dígitos.</x:v>
      </x:c>
      <x:c r="F1588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89" ht="390" customHeight="1">
      <x:c r="A1589" s="13" t="str">
        <x:v>QA-ODE-031</x:v>
      </x:c>
      <x:c r="B1589" s="13" t="str">
        <x:v>Motivo 23 / transporte privado / stock 1 / valorización 0</x:v>
      </x:c>
      <x:c r="C158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23, discount_stock=1 en fixture QA aislado; enabled_price_items_dispatch=false. Cliente C1 identidad J vigente y dirección propia; origen direcciónS1, destino direcciónC1. Emisión 2026-10-14, traslado 2026-10-15, peso 2.50 KG. Transporte 02; conductorD1/vehículoV1 obligatorios.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8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89" s="13" t="str">
        <x:v>Una orden/operación; saldo W1=8; sin cobros, IVA comercial ni cuenta por cobrar. PrecioUnitario 0.0000/precioItem0.00; ignorar precio oculto 116.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Δstock=-2; W1 final=8. Importes fiscales 0; valorización oculta ignorada y Δpagos 0. Número interno original independiente de presentación 8 dígitos.</x:v>
      </x:c>
      <x:c r="F1589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90" ht="390" customHeight="1">
      <x:c r="A1590" s="13" t="str">
        <x:v>QA-ODE-032</x:v>
      </x:c>
      <x:c r="B1590" s="13" t="str">
        <x:v>Motivo 23 / transporte privado / stock 1 / valorización 1</x:v>
      </x:c>
      <x:c r="C159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23, discount_stock=1 en fixture QA aislado; enabled_price_items_dispatch=true. Cliente C1 identidad J vigente y dirección propia; origen direcciónS1, destino direcciónC1. Emisión 2026-10-14, traslado 2026-10-15, peso 2.50 KG. Transporte 02; conductorD1/vehículoV1 obligatorios.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9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90" s="13" t="str">
        <x:v>Una orden/operación; saldo W1=8; sin cobros, IVA comercial ni cuenta por cobrar. PrecioUnitario 100.0000,precioItem 200.00,codigo IVA G/tasa16/valorIVA32/valorTotalItem232 por línea.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Δstock=-2; W1 final=8. 2×116=232 VES; base232/1.16=200; IVA32; no cuentas de factura. Número interno original independiente de presentación 8 dígitos.</x:v>
      </x:c>
      <x:c r="F1590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91" ht="390" customHeight="1">
      <x:c r="A1591" s="13" t="str">
        <x:v>QA-ODE-033</x:v>
      </x:c>
      <x:c r="B1591" s="13" t="str">
        <x:v>Motivo 24 / transporte público / stock 0 / valorización 0</x:v>
      </x:c>
      <x:c r="C159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24, discount_stock=0 en fixture QA aislado; enabled_price_items_dispatch=false. Cliente C1 identidad J vigente y dirección propia; origen direcciónS1, destino direcciónC1. Emisión 2026-10-14, traslado 2026-10-15, peso 2.50 KG. Transporte 01; transportistaT1 requerido; conductorD1/vehículoV1 seleccionados con has_transport_driver=01.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9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91" s="13" t="str">
        <x:v>Una orden/operación; saldo W1=10; sin cobros, IVA comercial ni cuenta por cobrar. PrecioUnitario 0.0000/precioItem0.00; ignorar precio oculto 116.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Δstock=0; W1 final=10. Importes fiscales 0; valorización oculta ignorada y Δpagos 0. Número interno original independiente de presentación 8 dígitos.</x:v>
      </x:c>
      <x:c r="F1591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92" ht="390" customHeight="1">
      <x:c r="A1592" s="13" t="str">
        <x:v>QA-ODE-034</x:v>
      </x:c>
      <x:c r="B1592" s="13" t="str">
        <x:v>Motivo 24 / transporte público / stock 0 / valorización 1</x:v>
      </x:c>
      <x:c r="C159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24, discount_stock=0 en fixture QA aislado; enabled_price_items_dispatch=true. Cliente C1 identidad J vigente y dirección propia; origen direcciónS1, destino direcciónC1. Emisión 2026-10-14, traslado 2026-10-15, peso 2.50 KG. Transporte 01; transportistaT1 requerido; conductorD1/vehículoV1 seleccionados con has_transport_driver=01.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9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92" s="13" t="str">
        <x:v>Una orden/operación; saldo W1=10; sin cobros, IVA comercial ni cuenta por cobrar. PrecioUnitario 100.0000,precioItem 200.00,codigo IVA G/tasa16/valorIVA32/valorTotalItem232 por línea.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Δstock=0; W1 final=10. 2×116=232 VES; base232/1.16=200; IVA32; no cuentas de factura. Número interno original independiente de presentación 8 dígitos.</x:v>
      </x:c>
      <x:c r="F1592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93" ht="390" customHeight="1">
      <x:c r="A1593" s="13" t="str">
        <x:v>QA-ODE-035</x:v>
      </x:c>
      <x:c r="B1593" s="13" t="str">
        <x:v>Motivo 24 / transporte público / stock 1 / valorización 0</x:v>
      </x:c>
      <x:c r="C159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24, discount_stock=1 en fixture QA aislado; enabled_price_items_dispatch=false. Cliente C1 identidad J vigente y dirección propia; origen direcciónS1, destino direcciónC1. Emisión 2026-10-14, traslado 2026-10-15, peso 2.50 KG. Transporte 01; transportistaT1 requerido; conductorD1/vehículoV1 seleccionados con has_transport_driver=01.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9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93" s="13" t="str">
        <x:v>Una orden/operación; saldo W1=8; sin cobros, IVA comercial ni cuenta por cobrar. PrecioUnitario 0.0000/precioItem0.00; ignorar precio oculto 116.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Δstock=-2; W1 final=8. Importes fiscales 0; valorización oculta ignorada y Δpagos 0. Número interno original independiente de presentación 8 dígitos.</x:v>
      </x:c>
      <x:c r="F1593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94" ht="390" customHeight="1">
      <x:c r="A1594" s="13" t="str">
        <x:v>QA-ODE-036</x:v>
      </x:c>
      <x:c r="B1594" s="13" t="str">
        <x:v>Motivo 24 / transporte público / stock 1 / valorización 1</x:v>
      </x:c>
      <x:c r="C159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24, discount_stock=1 en fixture QA aislado; enabled_price_items_dispatch=true. Cliente C1 identidad J vigente y dirección propia; origen direcciónS1, destino direcciónC1. Emisión 2026-10-14, traslado 2026-10-15, peso 2.50 KG. Transporte 01; transportistaT1 requerido; conductorD1/vehículoV1 seleccionados con has_transport_driver=01.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9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94" s="13" t="str">
        <x:v>Una orden/operación; saldo W1=8; sin cobros, IVA comercial ni cuenta por cobrar. PrecioUnitario 100.0000,precioItem 200.00,codigo IVA G/tasa16/valorIVA32/valorTotalItem232 por línea.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Δstock=-2; W1 final=8. 2×116=232 VES; base232/1.16=200; IVA32; no cuentas de factura. Número interno original independiente de presentación 8 dígitos.</x:v>
      </x:c>
      <x:c r="F1594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95" ht="390" customHeight="1">
      <x:c r="A1595" s="13" t="str">
        <x:v>QA-ODE-037</x:v>
      </x:c>
      <x:c r="B1595" s="13" t="str">
        <x:v>Motivo 24 / transporte privado / stock 0 / valorización 0</x:v>
      </x:c>
      <x:c r="C159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24, discount_stock=0 en fixture QA aislado; enabled_price_items_dispatch=false. Cliente C1 identidad J vigente y dirección propia; origen direcciónS1, destino direcciónC1. Emisión 2026-10-14, traslado 2026-10-15, peso 2.50 KG. Transporte 02; conductorD1/vehículoV1 obligatorios.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9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95" s="13" t="str">
        <x:v>Una orden/operación; saldo W1=10; sin cobros, IVA comercial ni cuenta por cobrar. PrecioUnitario 0.0000/precioItem0.00; ignorar precio oculto 116.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Δstock=0; W1 final=10. Importes fiscales 0; valorización oculta ignorada y Δpagos 0. Número interno original independiente de presentación 8 dígitos.</x:v>
      </x:c>
      <x:c r="F1595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96" ht="390" customHeight="1">
      <x:c r="A1596" s="13" t="str">
        <x:v>QA-ODE-038</x:v>
      </x:c>
      <x:c r="B1596" s="13" t="str">
        <x:v>Motivo 24 / transporte privado / stock 0 / valorización 1</x:v>
      </x:c>
      <x:c r="C159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24, discount_stock=0 en fixture QA aislado; enabled_price_items_dispatch=true. Cliente C1 identidad J vigente y dirección propia; origen direcciónS1, destino direcciónC1. Emisión 2026-10-14, traslado 2026-10-15, peso 2.50 KG. Transporte 02; conductorD1/vehículoV1 obligatorios.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9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96" s="13" t="str">
        <x:v>Una orden/operación; saldo W1=10; sin cobros, IVA comercial ni cuenta por cobrar. PrecioUnitario 100.0000,precioItem 200.00,codigo IVA G/tasa16/valorIVA32/valorTotalItem232 por línea.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Δstock=0; W1 final=10. 2×116=232 VES; base232/1.16=200; IVA32; no cuentas de factura. Número interno original independiente de presentación 8 dígitos.</x:v>
      </x:c>
      <x:c r="F1596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97" ht="390" customHeight="1">
      <x:c r="A1597" s="13" t="str">
        <x:v>QA-ODE-039</x:v>
      </x:c>
      <x:c r="B1597" s="13" t="str">
        <x:v>Motivo 24 / transporte privado / stock 1 / valorización 0</x:v>
      </x:c>
      <x:c r="C159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24, discount_stock=1 en fixture QA aislado; enabled_price_items_dispatch=false. Cliente C1 identidad J vigente y dirección propia; origen direcciónS1, destino direcciónC1. Emisión 2026-10-14, traslado 2026-10-15, peso 2.50 KG. Transporte 02; conductorD1/vehículoV1 obligatorios.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9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97" s="13" t="str">
        <x:v>Una orden/operación; saldo W1=8; sin cobros, IVA comercial ni cuenta por cobrar. PrecioUnitario 0.0000/precioItem0.00; ignorar precio oculto 116.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Δstock=-2; W1 final=8. Importes fiscales 0; valorización oculta ignorada y Δpagos 0. Número interno original independiente de presentación 8 dígitos.</x:v>
      </x:c>
      <x:c r="F1597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98" ht="390" customHeight="1">
      <x:c r="A1598" s="13" t="str">
        <x:v>QA-ODE-040</x:v>
      </x:c>
      <x:c r="B1598" s="13" t="str">
        <x:v>Motivo 24 / transporte privado / stock 1 / valorización 1</x:v>
      </x:c>
      <x:c r="C159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nueva09/S1; creation_key independiente. Motivo activo 24, discount_stock=1 en fixture QA aislado; enabled_price_items_dispatch=true. Cliente C1 identidad J vigente y dirección propia; origen direcciónS1, destino direcciónC1. Emisión 2026-10-14, traslado 2026-10-15, peso 2.50 KG. Transporte 02; conductorD1/vehículoV1 obligatorios. G1 UND cantidad 2, almacénW1 stock 10, precio VES116 incluido IVA16% por UND si valorizada. hka_data.service_description=omitido; catálogos condicionales activos. Pro 9 09→HKA04/esGuiaDespacho1. Aplican los fixtures y precondiciones comunes del grupo; sólo crear datos sintéticos propios de la corrida.</x:v>
      </x:c>
      <x:c r="D159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Órdenes de entrega → Orden de entrega → Nuevo (/dispatches). Resolver datos desde catálogos del tenant y seleccionar la combinación exacta de este ID.
4. Añadir G1 cantidad 2 y peso 2.50 KG; verificar direcciones, conductor/vehículo/transportista y descripción requerida para 21. Capturar flags de stock/valorización antes de guardar.
5. Guardar; observar intention/snapshot y envío después del commit exterior. Ante uncertain consultar la misma operación; no reemitir sin ausencia acreditada y umbral.
6. Verificar tipo04/esGuiaDespacho1, transporte y detalles; descargar PDF original A4 desde acción autenticada, comprobar hash/bytes/control y compararlo con PDF comercial separado.
7. Reabrir la pantalla y consultar persistencia autorizada. Cotejar identidad/UUID, valores y diferencias con el esperado; separar resultado comercial, financiero, inventario, sincronización y presentación.
8. Registrar Aprobó o Reprobó con evidencia propia, observado y ejecutor/fecha Caracas/iteración. Justificar Bloqueada/No aplica; crear variantes individuales para otros valores, sin agregar resultados de esta combinación.</x:v>
      </x:c>
      <x:c r="E1598" s="13" t="str">
        <x:v>Una orden/operación; saldo W1=8; sin cobros, IVA comercial ni cuenta por cobrar. PrecioUnitario 100.0000,precioItem 200.00,codigo IVA G/tasa16/valorIVA32/valorTotalItem232 por línea. Omitir encabezado.totales en ambas variantes. Control sólo tras confirmado; PDFA4 original privado. No correo HKA ni anulación remota de órdenes. Motivo 04 usa establecimiento destino autorizado; motivo 21 conserva descripción. Snapshot y UUID estables en consulta/replay.
Cálculo independiente: Cantidad 2; Δstock=-2; W1 final=8. 2×116=232 VES; base232/1.16=200; IVA32; no cuentas de factura. Número interno original independiente de presentación 8 dígitos.</x:v>
      </x:c>
      <x:c r="F1598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599" ht="390" customHeight="1">
      <x:c r="A1599" s="13" t="str">
        <x:v>QA-ODE-041</x:v>
      </x:c>
      <x:c r="B1599" s="13" t="str">
        <x:v>UUID de creación replay idéntico</x:v>
      </x:c>
      <x:c r="C159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2 UND descuento activo, claveK respuesta perdida. Aplican los fixtures y precondiciones comunes del grupo; sólo crear datos sintéticos propios de la corrida.</x:v>
      </x:c>
      <x:c r="D159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Repetir POST /dispatches idénticoK.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599" s="13" t="str">
        <x:v>Unaorden/operación/stockmovimiento; mismoUUID/número.
Cálculo independiente: Stock 10→8 único.</x:v>
      </x:c>
      <x:c r="F1599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00" ht="390" customHeight="1">
      <x:c r="A1600" s="13" t="str">
        <x:v>QA-ODE-042</x:v>
      </x:c>
      <x:c r="B1600" s="13" t="str">
        <x:v>UUID distinto con datos colisionados</x:v>
      </x:c>
      <x:c r="C160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Kguardada 2 UND; replayK3 UND. Aplican los fixtures y precondiciones comunes del grupo; sólo crear datos sintéticos propios de la corrida.</x:v>
      </x:c>
      <x:c r="D160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Enviar mismaK/cuerpodiferente.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00" s="13" t="str">
        <x:v>409 sin retorno de stock ni nuevaorden.
Cálculo independiente: Δstock 0.</x:v>
      </x:c>
      <x:c r="F1600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01" ht="390" customHeight="1">
      <x:c r="A1601" s="13" t="str">
        <x:v>QA-ODE-043</x:v>
      </x:c>
      <x:c r="B1601" s="13" t="str">
        <x:v>Concurrencia misma clave</x:v>
      </x:c>
      <x:c r="C160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Dos procesos K con 2 UND, fuenteW1=10. Aplican los fixtures y precondiciones comunes del grupo; sólo crear datos sintéticos propios de la corrida.</x:v>
      </x:c>
      <x:c r="D160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simultáneamente en fixture aislado.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01" s="13" t="str">
        <x:v>Unregistro/movimiento e identidad.
Cálculo independiente: W1=8; órdenes 1.</x:v>
      </x:c>
      <x:c r="F1601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02" ht="390" customHeight="1">
      <x:c r="A1602" s="13" t="str">
        <x:v>QA-ODE-044</x:v>
      </x:c>
      <x:c r="B1602" s="13" t="str">
        <x:v>Concurrencia claves distintas numeración</x:v>
      </x:c>
      <x:c r="C160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K1/K2 cada 1UNDmisma serie 09. Aplican los fixtures y precondiciones comunes del grupo; sólo crear datos sintéticos propios de la corrida.</x:v>
      </x:c>
      <x:c r="D160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Enviar simultáneamente.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02" s="13" t="str">
        <x:v>Números distintos y movimientos correctos; no borrar numeración.
Cálculo independiente: W1=8; órdenes 2; números únicos 2.</x:v>
      </x:c>
      <x:c r="F1602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03" ht="390" customHeight="1">
      <x:c r="A1603" s="13" t="str">
        <x:v>QA-ODE-045</x:v>
      </x:c>
      <x:c r="B1603" s="13" t="str">
        <x:v>Peso cero rechazado</x:v>
      </x:c>
      <x:c r="C160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cantidad 2 peso 0 KG. Aplican los fixtures y precondiciones comunes del grupo; sólo crear datos sintéticos propios de la corrida.</x:v>
      </x:c>
      <x:c r="D160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03" s="13" t="str">
        <x:v>Rechazopeso antesstock/HTTP.
Cálculo independiente: Δstock 0; HTTP 0.</x:v>
      </x:c>
      <x:c r="F1603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04" ht="390" customHeight="1">
      <x:c r="A1604" s="13" t="str">
        <x:v>QA-ODE-046</x:v>
      </x:c>
      <x:c r="B1604" s="13" t="str">
        <x:v>Peso negativo rechazado</x:v>
      </x:c>
      <x:c r="C160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Peso−0.01 KG. Aplican los fixtures y precondiciones comunes del grupo; sólo crear datos sintéticos propios de la corrida.</x:v>
      </x:c>
      <x:c r="D160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04" s="13" t="str">
        <x:v>Sinordenni valores absolutos silenciosos.
Cálculo independiente: Δorden 0.</x:v>
      </x:c>
      <x:c r="F1604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05" ht="390" customHeight="1">
      <x:c r="A1605" s="13" t="str">
        <x:v>QA-ODE-047</x:v>
      </x:c>
      <x:c r="B1605" s="13" t="str">
        <x:v>Unidad peso no vigente</x:v>
      </x:c>
      <x:c r="C160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Peso 2.50/códigoajeno aKG/TON. Aplican los fixtures y precondiciones comunes del grupo; sólo crear datos sintéticos propios de la corrida.</x:v>
      </x:c>
      <x:c r="D160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Publicar código manipulado.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05" s="13" t="str">
        <x:v>Validación catálogo; no inferir unidad por texto.
Cálculo independiente: Δstock/HTTP0.</x:v>
      </x:c>
      <x:c r="F1605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06" ht="390" customHeight="1">
      <x:c r="A1606" s="13" t="str">
        <x:v>QA-ODE-048</x:v>
      </x:c>
      <x:c r="B1606" s="13" t="str">
        <x:v>Peso TON conserva unidad</x:v>
      </x:c>
      <x:c r="C160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Cantidad 2 KG debien; peso transporte 0.0025 TON si precisión de entrada válida. Aplican los fixtures y precondiciones comunes del grupo; sólo crear datos sintéticos propios de la corrida.</x:v>
      </x:c>
      <x:c r="D160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peso TON y comprobar representación canónica dos decimales; usar 2.50 TON si regla mínima no admite 0.0025.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06" s="13" t="str">
        <x:v>Unidad TON conservada, equivalencia del bien separada; frontera redondeo documentada en variante.
Cálculo independiente: 2.50 TON=2500 KG; no cambia cantidad producto 2.</x:v>
      </x:c>
      <x:c r="F1606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07" ht="390" customHeight="1">
      <x:c r="A1607" s="13" t="str">
        <x:v>QA-ODE-049</x:v>
      </x:c>
      <x:c r="B1607" s="13" t="str">
        <x:v>Fecha traslado anterior</x:v>
      </x:c>
      <x:c r="C160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Emisión14oct/traslado13oct. Aplican los fixtures y precondiciones comunes del grupo; sólo crear datos sintéticos propios de la corrida.</x:v>
      </x:c>
      <x:c r="D160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con fechas inversas.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07" s="13" t="str">
        <x:v>Rechazo antesstock.
Cálculo independiente: 13&lt;14; Δorden 0.</x:v>
      </x:c>
      <x:c r="F1607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08" ht="390" customHeight="1">
      <x:c r="A1608" s="13" t="str">
        <x:v>QA-ODE-050</x:v>
      </x:c>
      <x:c r="B1608" s="13" t="str">
        <x:v>Reparación sin descripción</x:v>
      </x:c>
      <x:c r="C160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Motivo21/service_descriptionvacío. Aplican los fixtures y precondiciones comunes del grupo; sólo crear datos sintéticos propios de la corrida.</x:v>
      </x:c>
      <x:c r="D160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digital DEMO.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08" s="13" t="str">
        <x:v>Requiere descripción de reparación; no inventa SERV comercial.
Cálculo independiente: Δorden/HTTP0.</x:v>
      </x:c>
      <x:c r="F1608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09" ht="390" customHeight="1">
      <x:c r="A1609" s="13" t="str">
        <x:v>QA-ODE-051</x:v>
      </x:c>
      <x:c r="B1609" s="13" t="str">
        <x:v>Transporte público sin transportista</x:v>
      </x:c>
      <x:c r="C160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Modo 01 sin dispatcher_id. Aplican los fixtures y precondiciones comunes del grupo; sólo crear datos sintéticos propios de la corrida.</x:v>
      </x:c>
      <x:c r="D160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09" s="13" t="str">
        <x:v>Transportista requerido; no usar cliente de forma arbitraria.
Cálculo independiente: Δorden 0.</x:v>
      </x:c>
      <x:c r="F1609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10" ht="390" customHeight="1">
      <x:c r="A1610" s="13" t="str">
        <x:v>QA-ODE-052</x:v>
      </x:c>
      <x:c r="B1610" s="13" t="str">
        <x:v>Público sin conductor propio permitido</x:v>
      </x:c>
      <x:c r="C161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Modo01/transportistaT1; has_transport_driver desactivado. Aplican los fixtures y precondiciones comunes del grupo; sólo crear datos sintéticos propios de la corrida.</x:v>
      </x:c>
      <x:c r="D161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sin driver/vehicle.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10" s="13" t="str">
        <x:v>Omisiónconductor/vehículopropiopermitida según contrato actual; transportista/direccionespersistidos.
Cálculo independiente: Orden 1; stock segúnflag.</x:v>
      </x:c>
      <x:c r="F1610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11" ht="390" customHeight="1">
      <x:c r="A1611" s="13" t="str">
        <x:v>QA-ODE-053</x:v>
      </x:c>
      <x:c r="B1611" s="13" t="str">
        <x:v>Privado sin conductor bloqueado</x:v>
      </x:c>
      <x:c r="C161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Modo02driver_idnull/vehicleválido. Aplican los fixtures y precondiciones comunes del grupo; sólo crear datos sintéticos propios de la corrida.</x:v>
      </x:c>
      <x:c r="D161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11" s="13" t="str">
        <x:v>Rechazo anteswrite/HTTP.
Cálculo independiente: Δorden 0.</x:v>
      </x:c>
      <x:c r="F1611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12" ht="390" customHeight="1">
      <x:c r="A1612" s="13" t="str">
        <x:v>QA-ODE-054</x:v>
      </x:c>
      <x:c r="B1612" s="13" t="str">
        <x:v>Privado sin vehículo bloqueado</x:v>
      </x:c>
      <x:c r="C161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Modo02driverD1/transport_idnull. Aplican los fixtures y precondiciones comunes del grupo; sólo crear datos sintéticos propios de la corrida.</x:v>
      </x:c>
      <x:c r="D161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12" s="13" t="str">
        <x:v>Rechazo no inventa placa.
Cálculo independiente: Δorden 0.</x:v>
      </x:c>
      <x:c r="F1612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13" ht="390" customHeight="1">
      <x:c r="A1613" s="13" t="str">
        <x:v>QA-ODE-055</x:v>
      </x:c>
      <x:c r="B1613" s="13" t="str">
        <x:v>Dirección receptor ajena</x:v>
      </x:c>
      <x:c r="C161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C1 concustomer_address_iddeC2. Aplican los fixtures y precondiciones comunes del grupo; sólo crear datos sintéticos propios de la corrida.</x:v>
      </x:c>
      <x:c r="D161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Enviarorden.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13" s="13" t="str">
        <x:v>Servidor resuelve dueño yrechaza.
Cálculo independiente: Δorden 0; no filtración.</x:v>
      </x:c>
      <x:c r="F1613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14" ht="390" customHeight="1">
      <x:c r="A1614" s="13" t="str">
        <x:v>QA-ODE-056</x:v>
      </x:c>
      <x:c r="B1614" s="13" t="str">
        <x:v>Origen ajeno a sucursal</x:v>
      </x:c>
      <x:c r="C161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S1/origin_address_iddeS2. Aplican los fixtures y precondiciones comunes del grupo; sólo crear datos sintéticos propios de la corrida.</x:v>
      </x:c>
      <x:c r="D161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14" s="13" t="str">
        <x:v>Rechazo antesstock; origen 0 usa direcciónS1 válida.
Cálculo independiente: ΔW2=0.</x:v>
      </x:c>
      <x:c r="F1614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15" ht="390" customHeight="1">
      <x:c r="A1615" s="13" t="str">
        <x:v>QA-ODE-057</x:v>
      </x:c>
      <x:c r="B1615" s="13" t="str">
        <x:v>Cliente no local/inactivo</x:v>
      </x:c>
      <x:c r="C161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C1NDexterno oinactivo; variantes independientes. Aplican los fixtures y precondiciones comunes del grupo; sólo crear datos sintéticos propios de la corrida.</x:v>
      </x:c>
      <x:c r="D161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guía.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15" s="13" t="str">
        <x:v>Rechazo de identidad no habilitada, sin adaptar a factura exportación.
Cálculo independiente: Δorden 0.</x:v>
      </x:c>
      <x:c r="F1615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16" ht="390" customHeight="1">
      <x:c r="A1616" s="13" t="str">
        <x:v>QA-ODE-058</x:v>
      </x:c>
      <x:c r="B1616" s="13" t="str">
        <x:v>Principal ajeno al tenant</x:v>
      </x:c>
      <x:c r="C161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driver/vehicle/dispatcher de QA-B en variantes. Aplican los fixtures y precondiciones comunes del grupo; sólo crear datos sintéticos propios de la corrida.</x:v>
      </x:c>
      <x:c r="D161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Publicar IDs ajenos.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16" s="13" t="str">
        <x:v>No cargarni exponer principal ajeno; rechazo.
Cálculo independiente: Δtenant B0.</x:v>
      </x:c>
      <x:c r="F1616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17" ht="390" customHeight="1">
      <x:c r="A1617" s="13" t="str">
        <x:v>QA-ODE-059</x:v>
      </x:c>
      <x:c r="B1617" s="13" t="str">
        <x:v>Producto servicio o pack bloqueado</x:v>
      </x:c>
      <x:c r="C161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SERV1/pack1/is_set; variantes independientes. Aplican los fixtures y precondiciones comunes del grupo; sólo crear datos sintéticos propios de la corrida.</x:v>
      </x:c>
      <x:c r="D161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Agregar yguardar cadauno.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17" s="13" t="str">
        <x:v>Sólo bienes individuales autorizados; no inventar composición.
Cálculo independiente: Δorden 0.</x:v>
      </x:c>
      <x:c r="F1617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18" ht="390" customHeight="1">
      <x:c r="A1618" s="13" t="str">
        <x:v>QA-ODE-060</x:v>
      </x:c>
      <x:c r="B1618" s="13" t="str">
        <x:v>Límite 300 líneas</x:v>
      </x:c>
      <x:c r="C161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300 bienes válidos y nueva solicitud 301. Aplican los fixtures y precondiciones comunes del grupo; sólo crear datos sintéticos propios de la corrida.</x:v>
      </x:c>
      <x:c r="D161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por separado con claves nuevas.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18" s="13" t="str">
        <x:v>300 permitidos si resto válido;301 rechazada antesstock.
Cálculo independiente: Líneasguardadas300/0 respectivas.</x:v>
      </x:c>
      <x:c r="F1618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19" ht="390" customHeight="1">
      <x:c r="A1619" s="13" t="str">
        <x:v>QA-ODE-061</x:v>
      </x:c>
      <x:c r="B1619" s="13" t="str">
        <x:v>Valorización oculta ignorada</x:v>
      </x:c>
      <x:c r="C161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Flagfalse; clientmanda unit_price 999 USD. Aplican los fixtures y precondiciones comunes del grupo; sólo crear datos sintéticos propios de la corrida.</x:v>
      </x:c>
      <x:c r="D161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y revisar snapshot/payload.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19" s="13" t="str">
        <x:v>Precio 0 fiscal; client no reactiva valorización.
Cálculo independiente: Δpayments 0; precioItem 0.</x:v>
      </x:c>
      <x:c r="F1619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20" ht="390" customHeight="1">
      <x:c r="A1620" s="13" t="str">
        <x:v>QA-ODE-062</x:v>
      </x:c>
      <x:c r="B1620" s="13" t="str">
        <x:v>Valorización USD sin tasa no convertida</x:v>
      </x:c>
      <x:c r="C162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Flagtrue; catálogo USD116 sin tasa documental. Aplican los fixtures y precondiciones comunes del grupo; sólo crear datos sintéticos propios de la corrida.</x:v>
      </x:c>
      <x:c r="D162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y observar validación.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20" s="13" t="str">
        <x:v>No inferir VES116 ni tasa global; rechazo de precio no VES según contrato.
Cálculo independiente: Δorden/HTTP0.</x:v>
      </x:c>
      <x:c r="F1620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21" ht="390" customHeight="1">
      <x:c r="A1621" s="13" t="str">
        <x:v>QA-ODE-063</x:v>
      </x:c>
      <x:c r="B1621" s="13" t="str">
        <x:v>Snapshot no cambia con catálogo</x:v>
      </x:c>
      <x:c r="C162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prepared; cambiardirección/motivo/precio después. Aplican los fixtures y precondiciones comunes del grupo; sólo crear datos sintéticos propios de la corrida.</x:v>
      </x:c>
      <x:c r="D162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Preparar/consultar payload nuevamente.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21" s="13" t="str">
        <x:v>Identidad/transporte/valuacióncongelados; no rebuild silencioso.
Cálculo independiente: hash payload antes=después.</x:v>
      </x:c>
      <x:c r="F1621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22" ht="390" customHeight="1">
      <x:c r="A1622" s="13" t="str">
        <x:v>QA-ODE-064</x:v>
      </x:c>
      <x:c r="B1622" s="13" t="str">
        <x:v>Rollback no emite orden</x:v>
      </x:c>
      <x:c r="C162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Guardar dentro de transacción exterior y fallo antes del commit. Aplican los fixtures y precondiciones comunes del grupo; sólo crear datos sintéticos propios de la corrida.</x:v>
      </x:c>
      <x:c r="D162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Forzar rollbackcon transporte doble contador.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22" s="13" t="str">
        <x:v>Orden,stock/intención revertidos y HTTP 0.
Cálculo independiente: Δtodo 0.</x:v>
      </x:c>
      <x:c r="F1622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23" ht="390" customHeight="1">
      <x:c r="A1623" s="13" t="str">
        <x:v>QA-ODE-065</x:v>
      </x:c>
      <x:c r="B1623" s="13" t="str">
        <x:v>Timeout no elimina traslado</x:v>
      </x:c>
      <x:c r="C162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2UNDdiscount 1; HKA timeout. Aplican los fixtures y precondiciones comunes del grupo; sólo crear datos sintéticos propios de la corrida.</x:v>
      </x:c>
      <x:c r="D162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yconsultar posterior.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23" s="13" t="str">
        <x:v>uncertain, ordeny stock 8 conservados; reintentos misma identidad.
Cálculo independiente: W1=8; movimientos 1.</x:v>
      </x:c>
      <x:c r="F1623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24" ht="390" customHeight="1">
      <x:c r="A1624" s="13" t="str">
        <x:v>QA-ODE-066</x:v>
      </x:c>
      <x:c r="B1624" s="13" t="str">
        <x:v>Pending 40 y reenvío 30</x:v>
      </x:c>
      <x:c r="C162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pending t 0; consultar39/40; ausencia permitida reenvío29/30. Aplican los fixtures y precondiciones comunes del grupo; sólo crear datos sintéticos propios de la corrida.</x:v>
      </x:c>
      <x:c r="D162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Ejecutar cuatro variantes con reloj controlado.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24" s="13" t="str">
        <x:v>40 protege consulta; reenvío≥30 además ausencia acreditada, no frontera única 90.
Cálculo independiente: 39&lt;40;29&lt;30; HTTP segúnestado.</x:v>
      </x:c>
      <x:c r="F1624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25" ht="390" customHeight="1">
      <x:c r="A1625" s="13" t="str">
        <x:v>QA-ODE-067</x:v>
      </x:c>
      <x:c r="B1625" s="13" t="str">
        <x:v>Corregir rechazo renueva UUID</x:v>
      </x:c>
      <x:c r="C162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rejected elegible, mismo número original. Aplican los fixtures y precondiciones comunes del grupo; sólo crear datos sintéticos propios de la corrida.</x:v>
      </x:c>
      <x:c r="D162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Editar dato autorizado yguardar.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25" s="13" t="str">
        <x:v>Corrige operación nueva UUID y snapshot, conserva número; sin repetir stockprevio.
Cálculo independiente: Númeroigual; UUID distinto; Δstockfinal según edición.</x:v>
      </x:c>
      <x:c r="F1625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26" ht="390" customHeight="1">
      <x:c r="A1626" s="13" t="str">
        <x:v>QA-ODE-068</x:v>
      </x:c>
      <x:c r="B1626" s="13" t="str">
        <x:v>Confirmada no admite edición</x:v>
      </x:c>
      <x:c r="C162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confirmed control o relacionada a factura. Aplican los fixtures y precondiciones comunes del grupo; sólo crear datos sintéticos propios de la corrida.</x:v>
      </x:c>
      <x:c r="D162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Editar/anularlocal desdeUIy HTTP.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26" s="13" t="str">
        <x:v>Bloqueo de fiscalcongelada/relacionada; no afecta original.
Cálculo independiente: Δstock/UUID0.</x:v>
      </x:c>
      <x:c r="F1626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27" ht="390" customHeight="1">
      <x:c r="A1627" s="13" t="str">
        <x:v>QA-ODE-069</x:v>
      </x:c>
      <x:c r="B1627" s="13" t="str">
        <x:v>PDF privado identidad control</x:v>
      </x:c>
      <x:c r="C162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confirmed; external_id y control coherente. Aplican los fixtures y precondiciones comunes del grupo; sólo crear datos sintéticos propios de la corrida.</x:v>
      </x:c>
      <x:c r="D162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GET dispatches/{external_id}/download-hka-pdf/a4.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27" s="13" t="str">
        <x:v>PDF válido original, headersprivate/no-store/nosniff yscope; almacenado por operación y tenant.
Cálculo independiente: Hash bytes proveedor=archivo.</x:v>
      </x:c>
      <x:c r="F1627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28" ht="390" customHeight="1">
      <x:c r="A1628" s="13" t="str">
        <x:v>QA-ODE-070</x:v>
      </x:c>
      <x:c r="B1628" s="13" t="str">
        <x:v>PDF inválido no entra cache</x:v>
      </x:c>
      <x:c r="C162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Proveedor 200 con HTML o PDF truncado. Aplican los fixtures y precondiciones comunes del grupo; sólo crear datos sintéticos propios de la corrida.</x:v>
      </x:c>
      <x:c r="D162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SolicitarA4 y repetir tras corregir el doble.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28" s="13" t="str">
        <x:v>No caché contaminado; confirmed permanece; recuperación descarga PDF válido.
Cálculo independiente: Primer hash no cache; Δfiscal 0.</x:v>
      </x:c>
      <x:c r="F1628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29" ht="390" customHeight="1">
      <x:c r="A1629" s="13" t="str">
        <x:v>QA-ODE-071</x:v>
      </x:c>
      <x:c r="B1629" s="13" t="str">
        <x:v>Enviar y relacionar manual admin</x:v>
      </x:c>
      <x:c r="C162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UVENTAmodulo/S1 y orden permitida. Aplican los fixtures y precondiciones comunes del grupo; sólo crear datos sintéticos propios de la corrida.</x:v>
      </x:c>
      <x:c r="D162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Intentar send-hka/relate-hka yquery-hka separados.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29" s="13" t="str">
        <x:v>Send/relateadmin; query/pdfrespeta accesoS1.
Cálculo independiente: HTTP mutación 0 para rol no admin.</x:v>
      </x:c>
      <x:c r="F1629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30" ht="390" customHeight="1">
      <x:c r="A1630" s="13" t="str">
        <x:v>QA-ODE-072</x:v>
      </x:c>
      <x:c r="B1630" s="13" t="str">
        <x:v>Identidad repetida sucursales bloqueada</x:v>
      </x:c>
      <x:c r="C163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S1/S2mismaserie/número fiscal 09. Aplican los fixtures y precondiciones comunes del grupo; sólo crear datos sintéticos propios de la corrida.</x:v>
      </x:c>
      <x:c r="D163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Solicitar emisión ambigua.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30" s="13" t="str">
        <x:v>Bloquear antes HKA identidad ambigua según guard; no confirmar otra orden.
Cálculo independiente: HKAHTTP 0.</x:v>
      </x:c>
      <x:c r="F1630" s="13" t="str">
        <x:v>[app/Services/Fiscal/DeliveryOrderInput.php](../../app/Services/Fiscal/DeliveryOrderInput.php), [app/Services/Fiscal/DeliveryOrderPersistence.php](../../app/Services/Fiscal/DeliveryOrderPersistence.php), [app/Services/Fiscal/HkaDispatchEmission.php](../../app/Services/Fiscal/HkaDispatchEmission.php), [app/Services/Fiscal/HkaDispatchPayloadBuilder.php](../../app/Services/Fiscal/HkaDispatchPayloadBuilder.php), [app/Services/Fiscal/HkaDispatchPdf.php](../../app/Services/Fiscal/HkaDispatchPdf.php),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31" ht="390" customHeight="1">
      <x:c r="A1631" s="13" t="str">
        <x:v>QA-ODI-001</x:v>
      </x:c>
      <x:c r="B1631" s="13" t="str">
        <x:v>Almacén de sucursal orden</x:v>
      </x:c>
      <x:c r="C163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UsuarioS1 admin creaordenS2; W1=10/W2=20; cantidad 2. Aplican los fixtures y precondiciones comunes del grupo; sólo crear datos sintéticos propios de la corrida.</x:v>
      </x:c>
      <x:c r="D163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GuardarordenS2 con descuento.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31" s="13" t="str">
        <x:v>UsaW2 primero de sucursal, no almacén usuario.
Cálculo independiente: W1=10;W2=18.</x:v>
      </x:c>
      <x:c r="F1631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32" ht="390" customHeight="1">
      <x:c r="A1632" s="13" t="str">
        <x:v>QA-ODI-002</x:v>
      </x:c>
      <x:c r="B1632" s="13" t="str">
        <x:v>Cantidad cuatro decimales</x:v>
      </x:c>
      <x:c r="C163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GKG cantidad 1.2345/W1=10.0000. Aplican los fixtures y precondiciones comunes del grupo; sólo crear datos sintéticos propios de la corrida.</x:v>
      </x:c>
      <x:c r="D163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descuento activo.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32" s="13" t="str">
        <x:v>Preserva precisión 4 dec física ypayload.
Cálculo independiente: 10−1.2345=8.7655.</x:v>
      </x:c>
      <x:c r="F1632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33" ht="390" customHeight="1">
      <x:c r="A1633" s="13" t="str">
        <x:v>QA-ODI-003</x:v>
      </x:c>
      <x:c r="B1633" s="13" t="str">
        <x:v>Quinta decimal rechazada</x:v>
      </x:c>
      <x:c r="C163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GKG cantidad 1.23456. Aplican los fixtures y precondiciones comunes del grupo; sólo crear datos sintéticos propios de la corrida.</x:v>
      </x:c>
      <x:c r="D163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33" s="13" t="str">
        <x:v>Validación sin redondeo físico silencioso.
Cálculo independiente: Δstock 0.</x:v>
      </x:c>
      <x:c r="F1633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34" ht="390" customHeight="1">
      <x:c r="A1634" s="13" t="str">
        <x:v>QA-ODI-004</x:v>
      </x:c>
      <x:c r="B1634" s="13" t="str">
        <x:v>Cero y negativo cantidad</x:v>
      </x:c>
      <x:c r="C163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Cantidades0/−1 variantes. Aplican los fixtures y precondiciones comunes del grupo; sólo crear datos sintéticos propios de la corrida.</x:v>
      </x:c>
      <x:c r="D163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cada una.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34" s="13" t="str">
        <x:v>Rechazo antes inventario.
Cálculo independiente: Δstock 0 porvariante.</x:v>
      </x:c>
      <x:c r="F1634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35" ht="390" customHeight="1">
      <x:c r="A1635" s="13" t="str">
        <x:v>QA-ODI-005</x:v>
      </x:c>
      <x:c r="B1635" s="13" t="str">
        <x:v>Lote pertenece producto/almacén</x:v>
      </x:c>
      <x:c r="C163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L1G1W1=10; seleccionarL2G2W2. Aplican los fixtures y precondiciones comunes del grupo; sólo crear datos sintéticos propios de la corrida.</x:v>
      </x:c>
      <x:c r="D163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cantidad 1 con lote ajeno.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35" s="13" t="str">
        <x:v>Rechazo lote que no pertenece.
Cálculo independiente: ΔL1/L2=0.</x:v>
      </x:c>
      <x:c r="F1635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36" ht="390" customHeight="1">
      <x:c r="A1636" s="13" t="str">
        <x:v>QA-ODI-006</x:v>
      </x:c>
      <x:c r="B1636" s="13" t="str">
        <x:v>Lote insuficiente</x:v>
      </x:c>
      <x:c r="C163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L1 disponible 1.5; solicitud 1.5001. Aplican los fixtures y precondiciones comunes del grupo; sólo crear datos sintéticos propios de la corrida.</x:v>
      </x:c>
      <x:c r="D163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orden.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36" s="13" t="str">
        <x:v>Rechazo sin negativo lote.
Cálculo independiente: 1.5001&gt;1.5.</x:v>
      </x:c>
      <x:c r="F1636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37" ht="390" customHeight="1">
      <x:c r="A1637" s="13" t="str">
        <x:v>QA-ODI-007</x:v>
      </x:c>
      <x:c r="B1637" s="13" t="str">
        <x:v>Lote replay ya consumido propio</x:v>
      </x:c>
      <x:c r="C163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OrdenK usaL1=1 de 2. Aplican los fixtures y precondiciones comunes del grupo; sólo crear datos sintéticos propios de la corrida.</x:v>
      </x:c>
      <x:c r="D163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RepetirK exactamente.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37" s="13" t="str">
        <x:v>Retorna orden existente antes de validar propio uso como ajeno.
Cálculo independiente: L1 final 1; no consumo extra.</x:v>
      </x:c>
      <x:c r="F1637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38" ht="390" customHeight="1">
      <x:c r="A1638" s="13" t="str">
        <x:v>QA-ODI-008</x:v>
      </x:c>
      <x:c r="B1638" s="13" t="str">
        <x:v>Serial ajeno o duplicado</x:v>
      </x:c>
      <x:c r="C163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G1SN1 disponible; dos líneas repiten SN1. Aplican los fixtures y precondiciones comunes del grupo; sólo crear datos sintéticos propios de la corrida.</x:v>
      </x:c>
      <x:c r="D163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Guardarcon serial duplicado y otra variante ajena.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38" s="13" t="str">
        <x:v>Rechazo; sin stock parcial.
Cálculo independiente: SN1 estado original intacto.</x:v>
      </x:c>
      <x:c r="F1638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39" ht="390" customHeight="1">
      <x:c r="A1639" s="13" t="str">
        <x:v>QA-ODI-009</x:v>
      </x:c>
      <x:c r="B1639" s="13" t="str">
        <x:v>Serial exige entero</x:v>
      </x:c>
      <x:c r="C163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SN1 asignado cantidad 0.5. Aplican los fixtures y precondiciones comunes del grupo; sólo crear datos sintéticos propios de la corrida.</x:v>
      </x:c>
      <x:c r="D163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orden.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39" s="13" t="str">
        <x:v>Rechaza fraccionarios con serial.
Cálculo independiente: Δstock 0.</x:v>
      </x:c>
      <x:c r="F1639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40" ht="390" customHeight="1">
      <x:c r="A1640" s="13" t="str">
        <x:v>QA-ODI-010</x:v>
      </x:c>
      <x:c r="B1640" s="13" t="str">
        <x:v>Serial replay propio</x:v>
      </x:c>
      <x:c r="C164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K consumió SN1 una vez. Aplican los fixtures y precondiciones comunes del grupo; sólo crear datos sintéticos propios de la corrida.</x:v>
      </x:c>
      <x:c r="D164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Repetir creación K.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40" s="13" t="str">
        <x:v>Un movimiento; nofalla porpropio serial ya asignado.
Cálculo independiente: stock−1 único.</x:v>
      </x:c>
      <x:c r="F1640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41" ht="390" customHeight="1">
      <x:c r="A1641" s="13" t="str">
        <x:v>QA-ODI-011</x:v>
      </x:c>
      <x:c r="B1641" s="13" t="str">
        <x:v>Edición restaura y reaplica una vez</x:v>
      </x:c>
      <x:c r="C164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2 UND W1=8 desde 10; editable. Aplican los fixtures y precondiciones comunes del grupo; sólo crear datos sintéticos propios de la corrida.</x:v>
      </x:c>
      <x:c r="D164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Editar a 3 UND yrepetir solicitud guardado según UUID vigente.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41" s="13" t="str">
        <x:v>Restauración+2/aplicación−3 transaccional; final 7, no 5.
Cálculo independiente: 8+2−3=7.</x:v>
      </x:c>
      <x:c r="F1641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42" ht="390" customHeight="1">
      <x:c r="A1642" s="13" t="str">
        <x:v>QA-ODI-012</x:v>
      </x:c>
      <x:c r="B1642" s="13" t="str">
        <x:v>Edición preserva flagstock congelado</x:v>
      </x:c>
      <x:c r="C164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Ordenmotivo 22 discount 1; catálogo 22 cambia 0; editar mismomotivo. Aplican los fixtures y precondiciones comunes del grupo; sólo crear datos sintéticos propios de la corrida.</x:v>
      </x:c>
      <x:c r="D164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Cambiar cantidad 2→3.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42" s="13" t="str">
        <x:v>Usa política congelada del mismo motivo; no reescribir histórico.
Cálculo independiente: W1 final 7 desde 10.</x:v>
      </x:c>
      <x:c r="F1642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43" ht="390" customHeight="1">
      <x:c r="A1643" s="13" t="str">
        <x:v>QA-ODI-013</x:v>
      </x:c>
      <x:c r="B1643" s="13" t="str">
        <x:v>Edición lotes y seriales</x:v>
      </x:c>
      <x:c r="C164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OrdenSN1/L1; editable; reemplazoporSN2/L2. Aplican los fixtures y precondiciones comunes del grupo; sólo crear datos sintéticos propios de la corrida.</x:v>
      </x:c>
      <x:c r="D164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Guardarcon snapshot válido.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43" s="13" t="str">
        <x:v>Restituye anteriores y consume nuevos atómicamente; historial.
Cálculo independiente: SN1 disponible,SN2 asignado; totales una unidad.</x:v>
      </x:c>
      <x:c r="F1643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44" ht="390" customHeight="1">
      <x:c r="A1644" s="13" t="str">
        <x:v>QA-ODI-014</x:v>
      </x:c>
      <x:c r="B1644" s="13" t="str">
        <x:v>Fallo edición revierte restauración</x:v>
      </x:c>
      <x:c r="C164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2 UND; edición 3UNDconfallaafterrestore. Aplican los fixtures y precondiciones comunes del grupo; sólo crear datos sintéticos propios de la corrida.</x:v>
      </x:c>
      <x:c r="D164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Forzar rollback en base aislada.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44" s="13" t="str">
        <x:v>Ordensigue 2, W1=8; no restaura 2 sinaplicar.
Cálculo independiente: Δstockfinal 0.</x:v>
      </x:c>
      <x:c r="F1644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45" ht="390" customHeight="1">
      <x:c r="A1645" s="13" t="str">
        <x:v>QA-ODI-015</x:v>
      </x:c>
      <x:c r="B1645" s="13" t="str">
        <x:v>Reversión local movimiento único</x:v>
      </x:c>
      <x:c r="C164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editable noremitida 2 UND. Aplican los fixtures y precondiciones comunes del grupo; sólo crear datos sintéticos propios de la corrida.</x:v>
      </x:c>
      <x:c r="D164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Revertir localmente por la ruta actual y después repetir.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45" s="13" t="str">
        <x:v>Restitución única y estado impide otra; no anula remota confirmada.
Cálculo independiente: 8→10 una vez.</x:v>
      </x:c>
      <x:c r="F1645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46" ht="390" customHeight="1">
      <x:c r="A1646" s="13" t="str">
        <x:v>QA-ODI-016</x:v>
      </x:c>
      <x:c r="B1646" s="13" t="str">
        <x:v>Cotización origen sin movimiento</x:v>
      </x:c>
      <x:c r="C164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Cotización 2 UND sinstock; derivar orden 2 discount 1. Aplican los fixtures y precondiciones comunes del grupo; sólo crear datos sintéticos propios de la corrida.</x:v>
      </x:c>
      <x:c r="D164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Crear orden de origen válido.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46" s="13" t="str">
        <x:v>Ordenmueve 2 una vez; relación origen conservada.
Cálculo independiente: W1=8 desde 10.</x:v>
      </x:c>
      <x:c r="F1646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47" ht="390" customHeight="1">
      <x:c r="A1647" s="13" t="str">
        <x:v>QA-ODI-017</x:v>
      </x:c>
      <x:c r="B1647" s="13" t="str">
        <x:v>Pedido ya descontó origen</x:v>
      </x:c>
      <x:c r="C164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Pedido 2 UND con movimiento−2; orden derivada 2. Aplican los fixtures y precondiciones comunes del grupo; sólo crear datos sintéticos propios de la corrida.</x:v>
      </x:c>
      <x:c r="D164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Crear orden y después convertir a factura.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47" s="13" t="str">
        <x:v>No repetir movimiento del pedido; reconoce cantidad ya trasladada.
Cálculo independiente: W1 permanece 8.</x:v>
      </x:c>
      <x:c r="F1647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48" ht="390" customHeight="1">
      <x:c r="A1648" s="13" t="str">
        <x:v>QA-ODI-018</x:v>
      </x:c>
      <x:c r="B1648" s="13" t="str">
        <x:v>Nota de venta origen físico</x:v>
      </x:c>
      <x:c r="C164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NV2UNDyamovidas; orden 2. Aplican los fixtures y precondiciones comunes del grupo; sólo crear datos sintéticos propios de la corrida.</x:v>
      </x:c>
      <x:c r="D164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Derivarordenconmismocliente/sucursal.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48" s="13" t="str">
        <x:v>discount stock físico efectivo 0 pororigen; no segunda salida.
Cálculo independiente: Stock−2 global, no−4.</x:v>
      </x:c>
      <x:c r="F1648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49" ht="390" customHeight="1">
      <x:c r="A1649" s="13" t="str">
        <x:v>QA-ODI-019</x:v>
      </x:c>
      <x:c r="B1649" s="13" t="str">
        <x:v>Factura origen VES</x:v>
      </x:c>
      <x:c r="C164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 confirmed 2UNDVES, stockya 8. Aplican los fixtures y precondiciones comunes del grupo; sólo crear datos sintéticos propios de la corrida.</x:v>
      </x:c>
      <x:c r="D164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Crearorden 2 vinculadaF.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49" s="13" t="str">
        <x:v>facturaGuia[]con identidad original 01; no repite inventario.
Cálculo independiente: W1=8.</x:v>
      </x:c>
      <x:c r="F1649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50" ht="390" customHeight="1">
      <x:c r="A1650" s="13" t="str">
        <x:v>QA-ODI-020</x:v>
      </x:c>
      <x:c r="B1650" s="13" t="str">
        <x:v>Factura origen USD</x:v>
      </x:c>
      <x:c r="C165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FconfirmedUSD/tasa50, bienes 2 movidos. Aplican los fixtures y precondiciones comunes del grupo; sólo crear datos sintéticos propios de la corrida.</x:v>
      </x:c>
      <x:c r="D165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Derivar orden y verificar payload 04.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50" s="13" t="str">
        <x:v>Relación con F USD sin precio USD implícito; ordenno duplicapagoscambio/IVA.
Cálculo independiente: Stock 8; Δcash 0.</x:v>
      </x:c>
      <x:c r="F1650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51" ht="390" customHeight="1">
      <x:c r="A1651" s="13" t="str">
        <x:v>QA-ODI-021</x:v>
      </x:c>
      <x:c r="B1651" s="13" t="str">
        <x:v>Cantidad derivada superior origen</x:v>
      </x:c>
      <x:c r="C165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Origen 2 UND; orden solicita 2.0001. Aplican los fixtures y precondiciones comunes del grupo; sólo crear datos sintéticos propios de la corrida.</x:v>
      </x:c>
      <x:c r="D165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orden con ref origen.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51" s="13" t="str">
        <x:v>Rechazo según derechos físicos originales.
Cálculo independiente: 2.0001&gt;2.</x:v>
      </x:c>
      <x:c r="F1651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52" ht="390" customHeight="1">
      <x:c r="A1652" s="13" t="str">
        <x:v>QA-ODI-022</x:v>
      </x:c>
      <x:c r="B1652" s="13" t="str">
        <x:v>Origen cliente o sucursal ajena</x:v>
      </x:c>
      <x:c r="C165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OrigenC2/S2; ordenC1/S1. Aplican los fixtures y precondiciones comunes del grupo; sólo crear datos sintéticos propios de la corrida.</x:v>
      </x:c>
      <x:c r="D165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y convertir.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52" s="13" t="str">
        <x:v>Rechazo por falta identidad autorizada; sin relación parcial.
Cálculo independiente: Δstock/docs0.</x:v>
      </x:c>
      <x:c r="F1652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53" ht="390" customHeight="1">
      <x:c r="A1653" s="13" t="str">
        <x:v>QA-ODI-023</x:v>
      </x:c>
      <x:c r="B1653" s="13" t="str">
        <x:v>Conversión individual sin doble stock</x:v>
      </x:c>
      <x:c r="C165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2 yamovidas; factura 2. Aplican los fixtures y precondiciones comunes del grupo; sólo crear datos sintéticos propios de la corrida.</x:v>
      </x:c>
      <x:c r="D165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Generar CPE01 desdeorden.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53" s="13" t="str">
        <x:v>Factura usa sucursal original, stock pendiente 0, referencias 8 dígitos.
Cálculo independiente: W1=8; Δfactura stock 0.</x:v>
      </x:c>
      <x:c r="F1653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54" ht="390" customHeight="1">
      <x:c r="A1654" s="13" t="str">
        <x:v>QA-ODI-024</x:v>
      </x:c>
      <x:c r="B1654" s="13" t="str">
        <x:v>Conversión múltiple repetidos</x:v>
      </x:c>
      <x:c r="C165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OE1G1=2/OE2G1=3 ambas movidas. Aplican los fixtures y precondiciones comunes del grupo; sólo crear datos sintéticos propios de la corrida.</x:v>
      </x:c>
      <x:c r="D165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Consolidar factura deambas.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54" s="13" t="str">
        <x:v>AgrupaG1 cantidad 5, conserva refs/branch; sin movimiento adicional.
Cálculo independiente: 10−2−3=5; factura cantidad 5.</x:v>
      </x:c>
      <x:c r="F1654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55" ht="390" customHeight="1">
      <x:c r="A1655" s="13" t="str">
        <x:v>QA-ODI-025</x:v>
      </x:c>
      <x:c r="B1655" s="13" t="str">
        <x:v>Conversión mezcla cantidad nueva</x:v>
      </x:c>
      <x:c r="C165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ÓrdenesG1 trasladadas 5; factura cantidad 7 bien sintraza. Aplican los fixtures y precondiciones comunes del grupo; sólo crear datos sintéticos propios de la corrida.</x:v>
      </x:c>
      <x:c r="D165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Añadir 2 nuevas al consolidado.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55" s="13" t="str">
        <x:v>Sólo cantidad pendiente 2 genera stock/Kardex.
Cálculo independiente: W1=5−2=3; movimientos factura−2.</x:v>
      </x:c>
      <x:c r="F1655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56" ht="390" customHeight="1">
      <x:c r="A1656" s="13" t="str">
        <x:v>QA-ODI-026</x:v>
      </x:c>
      <x:c r="B1656" s="13" t="str">
        <x:v>Revertir factura sólo movimiento propio</x:v>
      </x:c>
      <x:c r="C165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Factura anterior cantidad 7,5yamovidas/2nuevas. Aplican los fixtures y precondiciones comunes del grupo; sólo crear datos sintéticos propios de la corrida.</x:v>
      </x:c>
      <x:c r="D165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Reversión local permitida de fixture factura noemitida.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56" s="13" t="str">
        <x:v>Restaura 2 de factura; preserva 5 trasladadas porórdenes.
Cálculo independiente: W1=3+2=5.</x:v>
      </x:c>
      <x:c r="F1656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57" ht="390" customHeight="1">
      <x:c r="A1657" s="13" t="str">
        <x:v>QA-ODI-027</x:v>
      </x:c>
      <x:c r="B1657" s="13" t="str">
        <x:v>Conversión unidad original trazada</x:v>
      </x:c>
      <x:c r="C165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OrdenG1 lote cantidad 2 UND; solicitarconversióncaja/unidaddistinta. Aplican los fixtures y precondiciones comunes del grupo; sólo crear datos sintéticos propios de la corrida.</x:v>
      </x:c>
      <x:c r="D165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Generar factura.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57" s="13" t="str">
        <x:v>Rechazo si no unidad original completa; no inventar equivalencia de lote.
Cálculo independiente: Δstock/docs0.</x:v>
      </x:c>
      <x:c r="F1657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58" ht="390" customHeight="1">
      <x:c r="A1658" s="13" t="str">
        <x:v>QA-ODI-028</x:v>
      </x:c>
      <x:c r="B1658" s="13" t="str">
        <x:v>Conversión lote parcial bloqueada</x:v>
      </x:c>
      <x:c r="C165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Ordenlote 2 UND; facturasólo 1. Aplican los fixtures y precondiciones comunes del grupo; sólo crear datos sintéticos propios de la corrida.</x:v>
      </x:c>
      <x:c r="D165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factura derivada.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58" s="13" t="str">
        <x:v>Cantidad completa en una línea por producto requerida; rechazo.
Cálculo independiente: Δstock/docs0.</x:v>
      </x:c>
      <x:c r="F1658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59" ht="390" customHeight="1">
      <x:c r="A1659" s="13" t="str">
        <x:v>QA-ODI-029</x:v>
      </x:c>
      <x:c r="B1659" s="13" t="str">
        <x:v>Conversión mezcla trazada y nueva bloqueada</x:v>
      </x:c>
      <x:c r="C165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SN1=1; facturaG1=2 con otra unidad nueva. Aplican los fixtures y precondiciones comunes del grupo; sólo crear datos sintéticos propios de la corrida.</x:v>
      </x:c>
      <x:c r="D165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con mezcla.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59" s="13" t="str">
        <x:v>Rechazo mezcla yatrasladado/nuevotraced.
Cálculo independiente: Δstock/docs0.</x:v>
      </x:c>
      <x:c r="F1659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60" ht="390" customHeight="1">
      <x:c r="A1660" s="13" t="str">
        <x:v>QA-ODI-030</x:v>
      </x:c>
      <x:c r="B1660" s="13" t="str">
        <x:v>Conversión packs no habilitada</x:v>
      </x:c>
      <x:c r="C166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OrdenbienG1; factura reemplaza por pack P. Aplican los fixtures y precondiciones comunes del grupo; sólo crear datos sintéticos propios de la corrida.</x:v>
      </x:c>
      <x:c r="D166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conversión pack.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60" s="13" t="str">
        <x:v>Rechazo en flujo con trazabilidad no ampliado; no asumir inventario pack.
Cálculo independiente: Δstock/docs0.</x:v>
      </x:c>
      <x:c r="F1660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61" ht="390" customHeight="1">
      <x:c r="A1661" s="13" t="str">
        <x:v>QA-ODI-031</x:v>
      </x:c>
      <x:c r="B1661" s="13" t="str">
        <x:v>Relación local no equivale HKA</x:v>
      </x:c>
      <x:c r="C166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prepared; factura confirmed. Aplican los fixtures y precondiciones comunes del grupo; sólo crear datos sintéticos propios de la corrida.</x:v>
      </x:c>
      <x:c r="D166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Asociarlocalmentemismocliente/sucursal.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61" s="13" t="str">
        <x:v>reference_document_idguardado; relación fiscal waiting hasta ambas confirmadas.
Cálculo independiente: POST relación HKA0.</x:v>
      </x:c>
      <x:c r="F1661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62" ht="390" customHeight="1">
      <x:c r="A1662" s="13" t="str">
        <x:v>QA-ODI-032</x:v>
      </x:c>
      <x:c r="B1662" s="13" t="str">
        <x:v>Referencia sin serie ocho dígitos</x:v>
      </x:c>
      <x:c r="C166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OEserie"",número 25; number_full 00000025. Aplican los fixtures y precondiciones comunes del grupo; sólo crear datos sintéticos propios de la corrida.</x:v>
      </x:c>
      <x:c r="D166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Asociardesdelistado/conversión.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62" s="13" t="str">
        <x:v>Parserreconoceserieoriginalvacía/número25, sin guion inicial ni Sin serie en HKA.
Cálculo independiente: Payload serie="",numero="25".</x:v>
      </x:c>
      <x:c r="F1662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63" ht="390" customHeight="1">
      <x:c r="A1663" s="13" t="str">
        <x:v>QA-ODI-033</x:v>
      </x:c>
      <x:c r="B1663" s="13" t="str">
        <x:v>Relación otra factura bloqueada</x:v>
      </x:c>
      <x:c r="C166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OEreferenceF1; intentarasociarF2. Aplican los fixtures y precondiciones comunes del grupo; sólo crear datos sintéticos propios de la corrida.</x:v>
      </x:c>
      <x:c r="D166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Guardar relación local.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63" s="13" t="str">
        <x:v>No reasignación silenciosa; originalF1 intacta.
Cálculo independiente: reference_document_id=F1.</x:v>
      </x:c>
      <x:c r="F1663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64" ht="390" customHeight="1">
      <x:c r="A1664" s="13" t="str">
        <x:v>QA-ODI-034</x:v>
      </x:c>
      <x:c r="B1664" s="13" t="str">
        <x:v>facturaGuia snapshot</x:v>
      </x:c>
      <x:c r="C166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emitida despuésF confirmed. Aplican los fixtures y precondiciones comunes del grupo; sólo crear datos sintéticos propios de la corrida.</x:v>
      </x:c>
      <x:c r="D166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Preparar payload y consultar JSON aceptado.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64" s="13" t="str">
        <x:v>Array facturaGuia con identidad F sin cambiar la numeración; snapshot congelado.
Cálculo independiente: Tipossource04/target01.</x:v>
      </x:c>
      <x:c r="F1664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65" ht="390" customHeight="1">
      <x:c r="A1665" s="13" t="str">
        <x:v>QA-ODI-035</x:v>
      </x:c>
      <x:c r="B1665" s="13" t="str">
        <x:v>Relación existente adopta sin POST</x:v>
      </x:c>
      <x:c r="C166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GETrelaciones200/sinvalidaciones/lista contiene F exacta. Aplican los fixtures y precondiciones comunes del grupo; sólo crear datos sintéticos propios de la corrida.</x:v>
      </x:c>
      <x:c r="D166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Solicitar relate-hka.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65" s="13" t="str">
        <x:v>confirmed por coincidencia tipo/serie/número; no otra asociación POST.
Cálculo independiente: POST 0; GET≥1.</x:v>
      </x:c>
      <x:c r="F1665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66" ht="390" customHeight="1">
      <x:c r="A1666" s="13" t="str">
        <x:v>QA-ODI-036</x:v>
      </x:c>
      <x:c r="B1666" s="13" t="str">
        <x:v>Ausencia 404 contractual permite POST</x:v>
      </x:c>
      <x:c r="C166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HTTP200/codigo404/mensajeRelación no encontrada/validaciónexactaúnica. Aplican los fixtures y precondiciones comunes del grupo; sólo crear datos sintéticos propios de la corrida.</x:v>
      </x:c>
      <x:c r="D166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Queryprevio, POST Relación, GET posterior yGETdesdeF.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66" s="13" t="str">
        <x:v>Ausencia cotejada; confirmed sólo tras ver relación; verificar ambos sentidos.
Cálculo independiente: POST 1; coincidencias 04↔01=1 porlado.</x:v>
      </x:c>
      <x:c r="F1666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67" ht="390" customHeight="1">
      <x:c r="A1667" s="13" t="str">
        <x:v>QA-ODI-037</x:v>
      </x:c>
      <x:c r="B1667" s="13" t="str">
        <x:v>Lista 200 válida sin destino permite POST</x:v>
      </x:c>
      <x:c r="C166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HTTP2xx/codigo200/sinvalidaciones/relacionados[]sinFdestino. Aplican los fixtures y precondiciones comunes del grupo; sólo crear datos sintéticos propios de la corrida.</x:v>
      </x:c>
      <x:c r="D166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Solicitar relación con doble y registrar capa contractual.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67" s="13" t="str">
        <x:v>Implementación también interpreta ausencia; no afirmar que únicamente 404 permite POST. Diferenciar contrato observado real de doble.
Cálculo independiente: POST 1 si otro guard válido.</x:v>
      </x:c>
      <x:c r="F1667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68" ht="390" customHeight="1">
      <x:c r="A1668" s="13" t="str">
        <x:v>QA-ODI-038</x:v>
      </x:c>
      <x:c r="B1668" s="13" t="str">
        <x:v>404 no contractual no autoriza POST</x:v>
      </x:c>
      <x:c r="C166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HTTP404 oHTTP200/codigo404conmensajeovalidacióndiferente. Aplican los fixtures y precondiciones comunes del grupo; sólo crear datos sintéticos propios de la corrida.</x:v>
      </x:c>
      <x:c r="D166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Solicitar relación.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68" s="13" t="str">
        <x:v>uncertain, sin POST; no ausencia por codigo su el to.
Cálculo independiente: POST 0.</x:v>
      </x:c>
      <x:c r="F1668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69" ht="390" customHeight="1">
      <x:c r="A1669" s="13" t="str">
        <x:v>QA-ODI-039</x:v>
      </x:c>
      <x:c r="B1669" s="13" t="str">
        <x:v>Timeout consulta no muta</x:v>
      </x:c>
      <x:c r="C166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GET relaciones timeout. Aplican los fixtures y precondiciones comunes del grupo; sólo crear datos sintéticos propios de la corrida.</x:v>
      </x:c>
      <x:c r="D166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Relate-hkay consultar posterior.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69" s="13" t="str">
        <x:v>uncertain; no POST hasta ausencia válida.
Cálculo independiente: POST 0 en primer intento.</x:v>
      </x:c>
      <x:c r="F1669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70" ht="390" customHeight="1">
      <x:c r="A1670" s="13" t="str">
        <x:v>QA-ODI-040</x:v>
      </x:c>
      <x:c r="B1670" s="13" t="str">
        <x:v>POST200 sin verificación no confirma</x:v>
      </x:c>
      <x:c r="C167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POST200 válido, GET posterior incompleto. Aplican los fixtures y precondiciones comunes del grupo; sólo crear datos sintéticos propios de la corrida.</x:v>
      </x:c>
      <x:c r="D167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Ejecutar query-POST-query.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70" s="13" t="str">
        <x:v>uncertainno confirmed por el POST solo; local reference intacta.
Cálculo independiente: Relación confirmed 0 hasta GET coincidente.</x:v>
      </x:c>
      <x:c r="F1670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71" ht="390" customHeight="1">
      <x:c r="A1671" s="13" t="str">
        <x:v>QA-ODI-041</x:v>
      </x:c>
      <x:c r="B1671" s="13" t="str">
        <x:v>Bidireccionalidad real</x:v>
      </x:c>
      <x:c r="C167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OrdenyF confirmed, vínculo candidato. Aplican los fixtures y precondiciones comunes del grupo; sólo crear datos sintéticos propios de la corrida.</x:v>
      </x:c>
      <x:c r="D167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Consultar relaciones desde OE y F con identidades exactas.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71" s="13" t="str">
        <x:v>Dos consultas acreditan el vínculo; faltaunlado reporta discrepancia.
Cálculo independiente: Destino s coincidentes 1 en ambos lados.</x:v>
      </x:c>
      <x:c r="F1671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72" ht="390" customHeight="1">
      <x:c r="A1672" s="13" t="str">
        <x:v>QA-ODI-042</x:v>
      </x:c>
      <x:c r="B1672" s="13" t="str">
        <x:v>Relación pending protege 40 s</x:v>
      </x:c>
      <x:c r="C167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Journal de relación pending t 0. Aplican los fixtures y precondiciones comunes del grupo; sólo crear datos sintéticos propios de la corrida.</x:v>
      </x:c>
      <x:c r="D167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Repetir relate-hkat 0+39 y≥40 variantes.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72" s="13" t="str">
        <x:v>No segundo POST durante protección; después consulta antes de otro.
Cálculo independiente: 39&lt;40; mutation 1 máximo activo.</x:v>
      </x:c>
      <x:c r="F1672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73" ht="390" customHeight="1">
      <x:c r="A1673" s="13" t="str">
        <x:v>QA-ODI-043</x:v>
      </x:c>
      <x:c r="B1673" s="13" t="str">
        <x:v>Relación concurrente única</x:v>
      </x:c>
      <x:c r="C167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Dos procesos relate-hkasamedestino/hash. Aplican los fixtures y precondiciones comunes del grupo; sólo crear datos sintéticos propios de la corrida.</x:v>
      </x:c>
      <x:c r="D167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Liberar GET ausente en ambos y coordinar reclamación.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73" s="13" t="str">
        <x:v>Pending atómico protege segundo POST; un journal vigente.
Cálculo independiente: POST lógico 1.</x:v>
      </x:c>
      <x:c r="F1673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74" ht="390" customHeight="1">
      <x:c r="A1674" s="13" t="str">
        <x:v>QA-ODI-044</x:v>
      </x:c>
      <x:c r="B1674" s="13" t="str">
        <x:v>Cambio contexto bloquea relación tardía</x:v>
      </x:c>
      <x:c r="C167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RIF/credencialescontextA al iniciar; cambia B antes de guardar respuesta. Aplican los fixtures y precondiciones comunes del grupo; sólo crear datos sintéticos propios de la corrida.</x:v>
      </x:c>
      <x:c r="D167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Resolver HTTP antiguo después cambio.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74" s="13" t="str">
        <x:v>No escribir estado confirmado en operación contexto nuevo; snapshot/UUIDpreservados.
Cálculo independiente: Contexto final B no adopta respuesta A.</x:v>
      </x:c>
      <x:c r="F1674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75" ht="390" customHeight="1">
      <x:c r="A1675" s="13" t="str">
        <x:v>QA-ODI-045</x:v>
      </x:c>
      <x:c r="B1675" s="13" t="str">
        <x:v>HTTP relación fuera de transacción</x:v>
      </x:c>
      <x:c r="C167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Operación lista para asociar; doble con transactionLevel. Aplican los fixtures y precondiciones comunes del grupo; sólo crear datos sintéticos propios de la corrida.</x:v>
      </x:c>
      <x:c r="D167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Invocarsync dentro de transacción y otra fuera.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75" s="13" t="str">
        <x:v>Dentro rechaza sin HTTP; fuera reclama en transacción corta y hace HTTP sin bloqueos.
Cálculo independiente: HTTP transactionLevel 0.</x:v>
      </x:c>
      <x:c r="F1675" s="13" t="str">
        <x:v>[app/Services/Fiscal/DeliveryOrderInventory.php](../../app/Services/Fiscal/DeliveryOrderInventory.php), [app/Services/Fiscal/DeliveryOrderInvoiceInventory.php](../../app/Services/Fiscal/DeliveryOrderInvoiceInventory.php), [app/Services/Fiscal/HkaDispatchRelations.php](../../app/Services/Fiscal/HkaDispatchRelations.php), [informes/ordenes_entrega_hka.md](../../informes/ordenes_entrega_hka.md).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76" ht="390" customHeight="1">
      <x:c r="A1676" s="13" t="str">
        <x:v>QA-NRI-001</x:v>
      </x:c>
      <x:c r="B1676" s="13" t="str">
        <x:v>Saldo factura modelo y SQL</x:v>
      </x:c>
      <x:c r="C167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F232; NC116; pagos 100; IVA12/ISLR3aplicadas; fondo ajustado 5; refund 20. Aplican los fixtures y precondiciones comunes del grupo; sólo crear datos sintéticos propios de la corrida.</x:v>
      </x:c>
      <x:c r="D167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Consultarpagos/listado/SQL/cxc/dashboard.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76" s="13" t="str">
        <x:v>Todos exponen el mismo saldo aritmético 16; no sumar ND de otra operación.
Cálculo independiente: 232−116−100−12−3−5+20=16.</x:v>
      </x:c>
      <x:c r="F1676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77" ht="390" customHeight="1">
      <x:c r="A1677" s="13" t="str">
        <x:v>QA-NRI-002</x:v>
      </x:c>
      <x:c r="B1677" s="13" t="str">
        <x:v>ND no duplica deuda factura</x:v>
      </x:c>
      <x:c r="C167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F232 pagada; ND11.60 con abono 3. Aplican los fixtures y precondiciones comunes del grupo; sólo crear datos sintéticos propios de la corrida.</x:v>
      </x:c>
      <x:c r="D167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Consultar cxc y estado de cuenta.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77" s="13" t="str">
        <x:v>F0; ND8.60; total cobrable 8.60, no 20.20.
Cálculo independiente: 11.60−3=8.60.</x:v>
      </x:c>
      <x:c r="F1677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78" ht="390" customHeight="1">
      <x:c r="A1678" s="13" t="str">
        <x:v>QA-NRI-003</x:v>
      </x:c>
      <x:c r="B1678" s="13" t="str">
        <x:v>NC saldo cobrable cero</x:v>
      </x:c>
      <x:c r="C167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NC116 confirmada, F saldo−116. Aplican los fixtures y precondiciones comunes del grupo; sólo crear datos sintéticos propios de la corrida.</x:v>
      </x:c>
      <x:c r="D167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AbrirpagosNC/cxc.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78" s="13" t="str">
        <x:v>NC cobrable 0; negativo aritmético de F conservado en oráculo SQL no límite artificial inventado.
Cálculo independiente: Saldo NC0; F−116.</x:v>
      </x:c>
      <x:c r="F1678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79" ht="390" customHeight="1">
      <x:c r="A1679" s="13" t="str">
        <x:v>QA-NRI-004</x:v>
      </x:c>
      <x:c r="B1679" s="13" t="str">
        <x:v>Retenciones previsión no reducen deuda</x:v>
      </x:c>
      <x:c r="C167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F116; previsión 12+3; cobro 101, no vouchers aplicados. Aplican los fixtures y precondiciones comunes del grupo; sólo crear datos sintéticos propios de la corrida.</x:v>
      </x:c>
      <x:c r="D167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Reabrir pagos tras crearnota/ordenindependiente.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79" s="13" t="str">
        <x:v>Deuda 15 sin aplicaciones; ningúnflujo nuevo activa outboxes ficticios.
Cálculo independiente: 116−101=15.</x:v>
      </x:c>
      <x:c r="F1679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80" ht="390" customHeight="1">
      <x:c r="A1680" s="13" t="str">
        <x:v>QA-NRI-005</x:v>
      </x:c>
      <x:c r="B1680" s="13" t="str">
        <x:v>IVA neto DEMO sigue bloqueado</x:v>
      </x:c>
      <x:c r="C168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Flagiva.demo_net_collection_verified=false; F116/cash104/IVA12. Aplican los fixtures y precondiciones comunes del grupo; sólo crear datos sintéticos propios de la corrida.</x:v>
      </x:c>
      <x:c r="D168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Prepararfacturaycompararcan_send/diagnóstico.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80" s="13" t="str">
        <x:v>Bloqueo capacidad conserva operación comercial; no agrega pago 12 paraemitir.
Cálculo independiente: Cash 104; deuda 12 antes voucher; Emision HTTP 0.</x:v>
      </x:c>
      <x:c r="F1680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81" ht="390" customHeight="1">
      <x:c r="A1681" s="13" t="str">
        <x:v>QA-NRI-006</x:v>
      </x:c>
      <x:c r="B1681" s="13" t="str">
        <x:v>ISLR neto DEMO sigue bloqueado</x:v>
      </x:c>
      <x:c r="C168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Flag islr false; F116/cash113/ISLR3. Aplican los fixtures y precondiciones comunes del grupo; sólo crear datos sintéticos propios de la corrida.</x:v>
      </x:c>
      <x:c r="D168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Preparar Factura; flags notes true independientes.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81" s="13" t="str">
        <x:v>can_sendfalse, diagnóstico específico; no habilita por historia VES.
Cálculo independiente: Cash 113; faltante 3.</x:v>
      </x:c>
      <x:c r="F1681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82" ht="390" customHeight="1">
      <x:c r="A1682" s="13" t="str">
        <x:v>QA-NRI-007</x:v>
      </x:c>
      <x:c r="B1682" s="13" t="str">
        <x:v>Coexistencia IVA ISLR sigue bloqueada</x:v>
      </x:c>
      <x:c r="C168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F116/cash101/IVA12/ISLR3previstos; ambos flags false. Aplican los fixtures y precondiciones comunes del grupo; sólo crear datos sintéticos propios de la corrida.</x:v>
      </x:c>
      <x:c r="D168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Preparar/consultaracciónEnviar.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82" s="13" t="str">
        <x:v>Ambas capacidades exigidas; cobros reales conservados sin pagos 99 de factura inventados.
Cálculo independiente: 116−101=15.</x:v>
      </x:c>
      <x:c r="F1682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83" ht="390" customHeight="1">
      <x:c r="A1683" s="13" t="str">
        <x:v>QA-NRI-008</x:v>
      </x:c>
      <x:c r="B1683" s="13" t="str">
        <x:v>Cajas reflejan sólo devoluciones reales</x:v>
      </x:c>
      <x:c r="C168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F232 cash; NC116 sinegreso; luegorefund 58. Aplican los fixtures y precondiciones comunes del grupo; sólo crear datos sintéticos propios de la corrida.</x:v>
      </x:c>
      <x:c r="D168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Reportecaja antes y después de refund.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83" s="13" t="str">
        <x:v>NC alonecash 232; después 174; no egreso 116 automático.
Cálculo independiente: 232−58=174.</x:v>
      </x:c>
      <x:c r="F1683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84" ht="390" customHeight="1">
      <x:c r="A1684" s="13" t="str">
        <x:v>QA-NRI-009</x:v>
      </x:c>
      <x:c r="B1684" s="13" t="str">
        <x:v>Bancos por moneda</x:v>
      </x:c>
      <x:c r="C168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ND11.60USDabono3USD/bancoUSD, refund 1 USD de NC distinta. Aplican los fixtures y precondiciones comunes del grupo; sólo crear datos sintéticos propios de la corrida.</x:v>
      </x:c>
      <x:c r="D168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Reporte banco y exportación por operación.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84" s="13" t="str">
        <x:v>Ingresos3/egresos1USD separados; sin convertir al monto VES como misma entrada.
Cálculo independiente: Δbanco USD=+2.</x:v>
      </x:c>
      <x:c r="F1684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85" ht="390" customHeight="1">
      <x:c r="A1685" s="13" t="str">
        <x:v>QA-NRI-010</x:v>
      </x:c>
      <x:c r="B1685" s="13" t="str">
        <x:v>Morosidad usa deuda ND propia</x:v>
      </x:c>
      <x:c r="C168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ND crédito 11.60/vence14oct/cobro3. Aplican los fixtures y precondiciones comunes del grupo; sólo crear datos sintéticos propios de la corrida.</x:v>
      </x:c>
      <x:c r="D168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Consultar tras vencimiento 15 oct.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85" s="13" t="str">
        <x:v>Morosidad 8.60ND; no deudaNCni dobleF.
Cálculo independiente: 11.60−3=8.60.</x:v>
      </x:c>
      <x:c r="F1685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86" ht="390" customHeight="1">
      <x:c r="A1686" s="13" t="str">
        <x:v>QA-NRI-011</x:v>
      </x:c>
      <x:c r="B1686" s="13" t="str">
        <x:v>Fondos no egresan por NC</x:v>
      </x:c>
      <x:c r="C168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Fondo 10,NC58,adjustment 5. Aplican los fixtures y precondiciones comunes del grupo; sólo crear datos sintéticos propios de la corrida.</x:v>
      </x:c>
      <x:c r="D168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Reporte financiero y egresos.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86" s="13" t="str">
        <x:v>Fondo ajustado 5; caja 0 cambio; auditmotivo/UUID.
Cálculo independiente: Δcash 0.</x:v>
      </x:c>
      <x:c r="F1686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87" ht="390" customHeight="1">
      <x:c r="A1687" s="13" t="str">
        <x:v>QA-NRI-012</x:v>
      </x:c>
      <x:c r="B1687" s="13" t="str">
        <x:v>IGTF abono ND recibo derivado no duplica</x:v>
      </x:c>
      <x:c r="C168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ND100 USD, pagosujeto 100+3IGTF; recibo derivado vinculado. Aplican los fixtures y precondiciones comunes del grupo; sólo crear datos sintéticos propios de la corrida.</x:v>
      </x:c>
      <x:c r="D168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PrepararpaymentsHKA/reportecash.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87" s="13" t="str">
        <x:v>Ingreso 103 real; principal 100, IGTF 3; derivadono otracaja100/3.
Cálculo independiente: Cash 103,no106/206.</x:v>
      </x:c>
      <x:c r="F1687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88" ht="390" customHeight="1">
      <x:c r="A1688" s="13" t="str">
        <x:v>QA-NRI-013</x:v>
      </x:c>
      <x:c r="B1688" s="13" t="str">
        <x:v>Factura con notas bloquea edición</x:v>
      </x:c>
      <x:c r="C168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Fcon NC/NDordinaryguardada. Aplican los fixtures y precondiciones comunes del grupo; sólo crear datos sintéticos propios de la corrida.</x:v>
      </x:c>
      <x:c r="D168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Intentar editar delete partidas originales desdeUIy HTTP.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88" s="13" t="str">
        <x:v>Preservar derechos/snapshots; error legible.
Cálculo independiente: Δpartidas/stock0.</x:v>
      </x:c>
      <x:c r="F1688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89" ht="390" customHeight="1">
      <x:c r="A1689" s="13" t="str">
        <x:v>QA-NRI-014</x:v>
      </x:c>
      <x:c r="B1689" s="13" t="str">
        <x:v>Nota guardada no se edita directamente</x:v>
      </x:c>
      <x:c r="C168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OrdinaryNC/ND persistida. Aplican los fixtures y precondiciones comunes del grupo; sólo crear datos sintéticos propios de la corrida.</x:v>
      </x:c>
      <x:c r="D168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Invocar rutas de edición comercial legadas.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89" s="13" t="str">
        <x:v>Bloqueo por historial; usaranulaciónauditada/operaciónpermitida.
Cálculo independiente: UUID/payloadoriginalesiguales.</x:v>
      </x:c>
      <x:c r="F1689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90" ht="390" customHeight="1">
      <x:c r="A1690" s="13" t="str">
        <x:v>QA-NRI-015</x:v>
      </x:c>
      <x:c r="B1690" s="13" t="str">
        <x:v>Pagos conservados al reabrir ND</x:v>
      </x:c>
      <x:c r="C169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ND11.60crédito/abonos2+3. Aplican los fixtures y precondiciones comunes del grupo; sólo crear datos sintéticos propios de la corrida.</x:v>
      </x:c>
      <x:c r="D169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Reabrir Pagos y cerrar sin guardar.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90" s="13" t="str">
        <x:v>Filaspersistidas2/3conUUID/moneda/tasa; noañade 11.60 ni reparte abonos.
Cálculo independiente: Deuda 6.60; cash 5.</x:v>
      </x:c>
      <x:c r="F1690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91" ht="390" customHeight="1">
      <x:c r="A1691" s="13" t="str">
        <x:v>QA-NRI-016</x:v>
      </x:c>
      <x:c r="B1691" s="13" t="str">
        <x:v>Borrador ND mantiene abonos</x:v>
      </x:c>
      <x:c r="C169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BorradorNDpago3USD/tasa51/UUIDK; restaurar. Aplican los fixtures y precondiciones comunes del grupo; sólo crear datos sintéticos propios de la corrida.</x:v>
      </x:c>
      <x:c r="D169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Recuperar borrador y previsión asincrónica.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91" s="13" t="str">
        <x:v>Abono conservado total 3, contexto vigente; sin pago auto generado.
Cálculo independiente: ND11.60−3=8.60.</x:v>
      </x:c>
      <x:c r="F1691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92" ht="390" customHeight="1">
      <x:c r="A1692" s="13" t="str">
        <x:v>QA-NRI-017</x:v>
      </x:c>
      <x:c r="B1692" s="13" t="str">
        <x:v>Respuesta nota obsoleta</x:v>
      </x:c>
      <x:c r="C169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SolicituddatosF1 pendiente; seleccionarF2. Aplican los fixtures y precondiciones comunes del grupo; sólo crear datos sintéticos propios de la corrida.</x:v>
      </x:c>
      <x:c r="D169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ResolverF1 alúltimo.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92" s="13" t="str">
        <x:v>Datos/entitlementF2no reemplazadosporF1.
Cálculo independiente: DocumentoactivoF2.</x:v>
      </x:c>
      <x:c r="F1692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93" ht="390" customHeight="1">
      <x:c r="A1693" s="13" t="str">
        <x:v>QA-NRI-018</x:v>
      </x:c>
      <x:c r="B1693" s="13" t="str">
        <x:v>Respuesta orden obsoleta</x:v>
      </x:c>
      <x:c r="C169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Consultar OE1 desde ventana;cambiar OE2. Aplican los fixtures y precondiciones comunes del grupo; sólo crear datos sintéticos propios de la corrida.</x:v>
      </x:c>
      <x:c r="D169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Liberar OE1 concontrol después OE2.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93" s="13" t="str">
        <x:v>OE2estado/controlpropios; estado de carga compartido sin otro envío.
Cálculo independiente: UUID activo OE2.</x:v>
      </x:c>
      <x:c r="F1693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94" ht="390" customHeight="1">
      <x:c r="A1694" s="13" t="str">
        <x:v>QA-NRI-019</x:v>
      </x:c>
      <x:c r="B1694" s="13" t="str">
        <x:v>Cambio modal durante devolución</x:v>
      </x:c>
      <x:c r="C169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Refund NC1 pendiente; abrir NC2. Aplican los fixtures y precondiciones comunes del grupo; sólo crear datos sintéticos propios de la corrida.</x:v>
      </x:c>
      <x:c r="D169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Respuesta NC1 llega tarde.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94" s="13" t="str">
        <x:v>No atribuirrefund/evidenciaNC1aNC2ni repetir operación.
Cálculo independiente: NC1 egresoúnico; NC2Δ0.</x:v>
      </x:c>
      <x:c r="F1694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95" ht="390" customHeight="1">
      <x:c r="A1695" s="13" t="str">
        <x:v>QA-NRI-020</x:v>
      </x:c>
      <x:c r="B1695" s="13" t="str">
        <x:v>Tenant ajeno notas y refunds</x:v>
      </x:c>
      <x:c r="C169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QA-A/QA-BconIDsnuméricosiguales. Aplican los fixtures y precondiciones comunes del grupo; sólo crear datos sintéticos propios de la corrida.</x:v>
      </x:c>
      <x:c r="D169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Leer/escribirrefund/adjustment/annul de QA-Bdesde QA-Avariantes.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95" s="13" t="str">
        <x:v>Denegaciónsinfiltracióndatos/archivo; noDBBmutada.
Cálculo independiente: Δtenant B0.</x:v>
      </x:c>
      <x:c r="F1695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96" ht="390" customHeight="1">
      <x:c r="A1696" s="13" t="str">
        <x:v>QA-NRI-021</x:v>
      </x:c>
      <x:c r="B1696" s="13" t="str">
        <x:v>Tenant ajeno órdenes PDF</x:v>
      </x:c>
      <x:c r="C169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external_idOEde QA-Busado QA-A. Aplican los fixtures y precondiciones comunes del grupo; sólo crear datos sintéticos propios de la corrida.</x:v>
      </x:c>
      <x:c r="D169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GETA4/query/relateenvariantes.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96" s="13" t="str">
        <x:v>Scopes/cacheprivadosno cruzados; sin bytes ni identidad deB.
Cálculo independiente: Archivo ex pues to 0.</x:v>
      </x:c>
      <x:c r="F1696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97" ht="390" customHeight="1">
      <x:c r="A1697" s="13" t="str">
        <x:v>QA-NRI-022</x:v>
      </x:c>
      <x:c r="B1697" s="13" t="str">
        <x:v>Sucursal ajena no admin</x:v>
      </x:c>
      <x:c r="C169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UVENTAS1referenciasS2NC/OE/refund. Aplican los fixtures y precondiciones comunes del grupo; sólo crear datos sintéticos propios de la corrida.</x:v>
      </x:c>
      <x:c r="D169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Invocar cada endpoint en variante propia.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97" s="13" t="str">
        <x:v>Rechazo scope; admin legítimo puede dentrotenantconservandoS2.
Cálculo independiente: ΔS2=0 para no autorizado.</x:v>
      </x:c>
      <x:c r="F1697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98" ht="390" customHeight="1">
      <x:c r="A1698" s="13" t="str">
        <x:v>QA-NRI-023</x:v>
      </x:c>
      <x:c r="B1698" s="13" t="str">
        <x:v>Credenciales no se exponen</x:v>
      </x:c>
      <x:c r="C1698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Notas/órdenesconfirmed conpayload/respuesta. Aplican los fixtures y precondiciones comunes del grupo; sólo crear datos sintéticos propios de la corrida.</x:v>
      </x:c>
      <x:c r="D1698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InspeccionarDTOlistado/devtools/logsevidenciasaneada.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98" s="13" t="str">
        <x:v>SinJWT/password/fingerprintprivado; identidades necesarias sólo autorizadas.
Cálculo independiente: Coincidencias secretos 0.</x:v>
      </x:c>
      <x:c r="F1698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699" ht="390" customHeight="1">
      <x:c r="A1699" s="13" t="str">
        <x:v>QA-NRI-024</x:v>
      </x:c>
      <x:c r="B1699" s="13" t="str">
        <x:v>Tenants sin esquema ampliado órdenes</x:v>
      </x:c>
      <x:c r="C1699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Fixture tenant legado sin dispatch_emissions/creation_key. Aplican los fixtures y precondiciones comunes del grupo; sólo crear datos sintéticos propios de la corrida.</x:v>
      </x:c>
      <x:c r="D1699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Crear orden local por flujo compatible.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699" s="13" t="str">
        <x:v>Flujo comercial preservado; no falsa confirmación HKA; no migrar/resetporejecutarcaso.
Cálculo independiente: Ordenlocal 1; HTTPHKA0 si integración no disponible.</x:v>
      </x:c>
      <x:c r="F1699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700" ht="390" customHeight="1">
      <x:c r="A1700" s="13" t="str">
        <x:v>QA-NRI-025</x:v>
      </x:c>
      <x:c r="B1700" s="13" t="str">
        <x:v>Tenants sin tablas ajustes/refunds</x:v>
      </x:c>
      <x:c r="C1700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Fixture legado sin ampliación notes finance. Aplican los fixtures y precondiciones comunes del grupo; sólo crear datos sintéticos propios de la corrida.</x:v>
      </x:c>
      <x:c r="D1700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Abrir acciones nuevas según política y esquema.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700" s="13" t="str">
        <x:v>Diagnóstico capacidad, no SQL 500 ni migración automática; documentar exclusión sustentada.
Cálculo independiente: Δschema 0.</x:v>
      </x:c>
      <x:c r="F1700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701" ht="390" customHeight="1">
      <x:c r="A1701" s="13" t="str">
        <x:v>QA-NRI-026</x:v>
      </x:c>
      <x:c r="B1701" s="13" t="str">
        <x:v>PDF falla no revierte confirmación</x:v>
      </x:c>
      <x:c r="C1701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OE/NC/NDconfirmed; DescargaArchivo 500. Aplican los fixtures y precondiciones comunes del grupo; sólo crear datos sintéticos propios de la corrida.</x:v>
      </x:c>
      <x:c r="D1701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Descargar en variantes por documento.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701" s="13" t="str">
        <x:v>Confirmaciónyefectosfinancieros/stockpreservados.
Cálculo independiente: Δsaldo/stock0.</x:v>
      </x:c>
      <x:c r="F1701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702" ht="390" customHeight="1">
      <x:c r="A1702" s="13" t="str">
        <x:v>QA-NRI-027</x:v>
      </x:c>
      <x:c r="B1702" s="13" t="str">
        <x:v>Correo de orden no HKA</x:v>
      </x:c>
      <x:c r="C1702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Orden 09 confirmed; menú correo comercialsi disponible. Aplican los fixtures y precondiciones comunes del grupo; sólo crear datos sintéticos propios de la corrida.</x:v>
      </x:c>
      <x:c r="D1702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Inventariar acciones y probar sólo distribución comercial vigente.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702" s="13" t="str">
        <x:v>No ofrecer ni afirmar correo HKA04; contenido/comercialseparadoA4original.
Cálculo independiente: HkaMail 04HTTP 0.</x:v>
      </x:c>
      <x:c r="F1702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703" ht="390" customHeight="1">
      <x:c r="A1703" s="13" t="str">
        <x:v>QA-NRI-028</x:v>
      </x:c>
      <x:c r="B1703" s="13" t="str">
        <x:v>Original HKA sin régimen leyenda</x:v>
      </x:c>
      <x:c r="C1703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NotaR1/SPE; JSON con campos y PDF omite leyendas. Aplican los fixtures y precondiciones comunes del grupo; sólo crear datos sintéticos propios de la corrida.</x:v>
      </x:c>
      <x:c r="D1703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Cotejaroriginal/ticket/snapshot.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703" s="13" t="str">
        <x:v>Ticket y snapshot correctos; límite del proveedor reportado; original no retocado.
Cálculo independiente: HashA4 original constante.</x:v>
      </x:c>
      <x:c r="F1703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704" ht="390" customHeight="1">
      <x:c r="A1704" s="13" t="str">
        <x:v>QA-NRI-029</x:v>
      </x:c>
      <x:c r="B1704" s="13" t="str">
        <x:v>Original guía sin origen impreso</x:v>
      </x:c>
      <x:c r="C1704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Payloadtransporteorigen/destino válidos; PDF campo Origen vacío. Aplican los fixtures y precondiciones comunes del grupo; sólo crear datos sintéticos propios de la corrida.</x:v>
      </x:c>
      <x:c r="D1704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Comparar JSON aceptado y PDF.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704" s="13" t="str">
        <x:v>Registrar omisión proveedor, no inventar impresión ni sustituir original.
Cálculo independiente: JSON origen igual snapshot; hash PDF sin modificar.</x:v>
      </x:c>
      <x:c r="F1704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705" ht="390" customHeight="1">
      <x:c r="A1705" s="13" t="str">
        <x:v>QA-NRI-030</x:v>
      </x:c>
      <x:c r="B1705" s="13" t="str">
        <x:v>Producción bloqueada en flujos nuevos</x:v>
      </x:c>
      <x:c r="C1705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Tenant fixture production, sin credenciales reales; note/OE. Aplican los fixtures y precondiciones comunes del grupo; sólo crear datos sintéticos propios de la corrida.</x:v>
      </x:c>
      <x:c r="D1705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Intentarpreparar/sendcontransportedoble.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705" s="13" t="str">
        <x:v>No pruebas positivas producción; guardsimpidenEmision/Anular.
Cálculo independiente: HTTP producción 0.</x:v>
      </x:c>
      <x:c r="F1705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706" ht="390" customHeight="1">
      <x:c r="A1706" s="13" t="str">
        <x:v>QA-NRI-031</x:v>
      </x:c>
      <x:c r="B1706" s="13" t="str">
        <x:v>Sin ampliación API pública</x:v>
      </x:c>
      <x:c r="C1706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Rutasapi referencia actual. Aplican los fixtures y precondiciones comunes del grupo; sólo crear datos sintéticos propios de la corrida.</x:v>
      </x:c>
      <x:c r="D1706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Inventariar endpoints y contrastar nuevas rutas web.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706" s="13" t="str">
        <x:v>No afirmar nuevapublic API notes/refunds/OE; rutaswebno equivalen a API pública.
Cálculo independiente: Endpoints nuevos api 0 si in existentes.</x:v>
      </x:c>
      <x:c r="F1706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  <x:row r="1707" ht="390" customHeight="1">
      <x:c r="A1707" s="13" t="str">
        <x:v>QA-NRI-032</x:v>
      </x:c>
      <x:c r="B1707" s="13" t="str">
        <x:v>Cierre final con fallos esenciales</x:v>
      </x:c>
      <x:c r="C1707" s="13" t="str">
        <x:v>QA-A digitalDEMO/QA-Baislado; S1/W1 y S2/W2; UADMIN/UVENTA/USINPERMISO, caja abierta y cuentasVES/USD autorizadas. Ampliaciones de esquema instaladas antes de corrida por responsable; no migrar BBC por esta guía. Transporte doble para fallos/races y reloj controlado, Real DEMO para aceptación identificada. Ver fixtures y oráculos de sección 15 de guía.
Registrofixture1P0Reprobó/1Bloqueada/1Pendiente. Aplican los fixtures y precondiciones comunes del grupo; sólo crear datos sintéticos propios de la corrida.</x:v>
      </x:c>
      <x:c r="D1707" s="13" t="str">
        <x:v>1. Asignar corrida y fixture independiente a este ID; registrar tenant QA-A, sucursal S1, usuario, claves UUID y versión. Verificar el fixture de la sección 15 de la guía; no reutilizar una factura consumida por otra combinación.
2. Capturar saldo, pagos/egresos, inventario por almacén/lote/serial, numeración y estados fiscales antes de actuar; calcular el oráculo indicado sin leer el total calculado por el sistema.
3. Aplicar métricas y plantilla de informe.
4. Guardar ambas respuestas si se repite/concurre; capturar HTTP saneado y lecturas antes/después. En errores de proveedor, consultar antes de otro envío.
5. Reabrir la pantalla y consultar persistencia autorizada. Cotejar identidad/UUID, valores y diferencias con el esperado; separar resultado comercial, financiero, inventario, sincronización y presentación.
6. Registrar Aprobó o Reprobó con evidencia propia, observado y ejecutor/fecha Caracas/iteración. Justificar Bloqueada/No aplica; crear variantes individuales para otros valores, sin agregar resultados de esta combinación.</x:v>
      </x:c>
      <x:c r="E1707" s="13" t="str">
        <x:v>ConclusiónReprobado/Inconclusosegúnimpacto; entregar informe incluso sin aprobación global.
Cálculo independiente: T=A+R+B+N+P; ejecutadasA+R.</x:v>
      </x:c>
      <x:c r="F1707" s="13" t="str">
        <x:v>[app/Services/Fiscal/FiscalNoteBalance.php](../../app/Services/Fiscal/FiscalNoteBalance.php), [app/Http/Controllers/Tenant/DispatchFiscalController.php](../../app/Http/Controllers/Tenant/DispatchFiscalController.php), [routes/web.php](../../routes/web.php), [tests/Support/NotePersistenceCases.php](../../tests/Support/NotePersistenceCases.php), [tests/Support/DispatchPersistenceCases.php](../../tests/Support/DispatchPersistenceCases.php), [tests/js/dispatch-hka-ui.test.cjs](../../tests/js/dispatch-hka-ui.test.cjs).
Efectos posteriores: Conservar relaciones, historial y snapshots originales. Reconciliar diferencias contra línea base y verificar cero efectos duplicados; el fallo remoto posterior al commit conserva los efectos comerciales válidos. No borrar evidencia ni modificar originales HKA.
Evidencia: ID de fixture/UUID/intento y versión; captura UI de acción y estado; petición/respuesta saneadas; lecturas antes/después de saldo, registros, stock/lotes/seriales cuando corresponda; cálculo independiente; contador/transactionLevel si doble; hash/archivo/QR si presentación. Evidencia Real DEMO propia diferenciada de simulación e historia. Una combinación sin estas capas no se aprueba globalmente.</x:v>
      </x:c>
    </x:row>
  </x:sheetData>
  <x:pageMargins left="0.7" right="0.7" top="0.75" bottom="0.75" header="0.3" footer="0.3"/>
  <x:tableParts count="1">
    <x:tablePart xmlns:r="http://schemas.openxmlformats.org/officeDocument/2006/relationships" r:id="R97a1761ff265404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9" hidden="0" customWidth="1"/>
    <x:col min="2" max="2" width="20" hidden="0" customWidth="1"/>
    <x:col min="3" max="3" width="55" hidden="0" customWidth="1"/>
    <x:col min="4" max="4" width="12" hidden="0" customWidth="1"/>
    <x:col min="5" max="5" width="19" hidden="0" customWidth="1"/>
    <x:col min="6" max="6" width="31" hidden="0" customWidth="1"/>
    <x:col min="7" max="7" width="15" hidden="0" customWidth="1"/>
    <x:col min="8" max="8" width="64" hidden="0" customWidth="1"/>
    <x:col min="9" max="9" width="49" hidden="0" customWidth="1"/>
    <x:col min="10" max="10" width="49" hidden="0" customWidth="1"/>
    <x:col min="11" max="11" width="24" hidden="0" customWidth="1"/>
    <x:col min="12" max="12" width="25" hidden="0" customWidth="1"/>
    <x:col min="13" max="13" width="12" hidden="0" customWidth="1"/>
    <x:col min="14" max="14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7" customHeight="1">
      <x:c r="A2" s="3" t="str">
        <x:v>Resultados individuales de variantes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 t="str">
        <x:v>Una fila por variante; ID padre enlaza con Resultados. No mezcle ambos conteos.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</x:row>
    <x:row r="5" ht="36" customHeight="1">
      <x:c r="A5" s="8" t="str">
        <x:v>ID variante</x:v>
      </x:c>
      <x:c r="B5" s="8" t="str">
        <x:v>ID padre</x:v>
      </x:c>
      <x:c r="C5" s="8" t="str">
        <x:v>Descripción / datos</x:v>
      </x:c>
      <x:c r="D5" s="8" t="str">
        <x:v>Prioridad</x:v>
      </x:c>
      <x:c r="E5" s="8" t="str">
        <x:v>Clase</x:v>
      </x:c>
      <x:c r="F5" s="8" t="str">
        <x:v>Capa requerida</x:v>
      </x:c>
      <x:c r="G5" s="8" t="str">
        <x:v>Estado</x:v>
      </x:c>
      <x:c r="H5" s="8" t="str">
        <x:v>Resultado observado</x:v>
      </x:c>
      <x:c r="I5" s="8" t="str">
        <x:v>Evidencia</x:v>
      </x:c>
      <x:c r="J5" s="8" t="str">
        <x:v>Defecto / bloqueo</x:v>
      </x:c>
      <x:c r="K5" s="8" t="str">
        <x:v>Agente</x:v>
      </x:c>
      <x:c r="L5" s="8" t="str">
        <x:v>Fecha y hora Caracas</x:v>
      </x:c>
      <x:c r="M5" s="8" t="str">
        <x:v>Iteración</x:v>
      </x:c>
      <x:c r="N5" s="8" t="str">
        <x:v>Documento / operación</x:v>
      </x:c>
    </x:row>
    <x:row r="6" ht="40" customHeight="1">
      <x:c r="A6" s="10"/>
      <x:c r="B6" s="10"/>
      <x:c r="C6" s="10"/>
      <x:c r="D6" s="10"/>
      <x:c r="E6" s="10"/>
      <x:c r="F6" s="10"/>
      <x:c r="G6" s="10"/>
      <x:c r="H6" s="10"/>
      <x:c r="I6" s="10"/>
      <x:c r="J6" s="10"/>
      <x:c r="K6" s="10"/>
      <x:c r="L6" s="11"/>
      <x:c r="M6" s="12"/>
      <x:c r="N6" s="10"/>
    </x:row>
  </x:sheetData>
  <x:dataValidations count="1">
    <x:dataValidation type="list" sqref="G6:G5005">
      <x:formula1>"Pendiente,Aprobó,Reprobó,Bloqueada,No 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208baff2ab455d"/>
  </x:tableParts>
</x:worksheet>
</file>