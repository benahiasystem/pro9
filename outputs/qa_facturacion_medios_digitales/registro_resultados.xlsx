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dadde5f99b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2192438665884beb"/>
    <x:sheet xmlns:r="http://schemas.openxmlformats.org/officeDocument/2006/relationships" name="Resultados" sheetId="2" r:id="R61549189ee3f4693"/>
    <x:sheet xmlns:r="http://schemas.openxmlformats.org/officeDocument/2006/relationships" name="Especificaciones" sheetId="3" r:id="R12796e3e4c594f0c"/>
    <x:sheet xmlns:r="http://schemas.openxmlformats.org/officeDocument/2006/relationships" name="Variantes" sheetId="4" r:id="R48b1884224e841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"/>
    <x:numFmt numFmtId="202" formatCode="0.0%"/>
  </x:numFmts>
  <x:fonts count="6">
    <x:font>
      <x:sz val="11"/>
      <x:name val="Carlito"/>
    </x:font>
    <x:font>
      <x:sz val="10"/>
      <x:color rgb="FF243245"/>
      <x:name val="Arial"/>
    </x:font>
    <x:font>
      <x:b/>
      <x:sz val="15"/>
      <x:color rgb="FF173559"/>
      <x:name val="Arial"/>
    </x:font>
    <x:font>
      <x:b/>
      <x:sz val="10"/>
      <x:color rgb="FFFFFFFF"/>
      <x:name val="Arial"/>
    </x:font>
    <x:font>
      <x:b/>
      <x:sz val="11"/>
      <x:color rgb="FF243245"/>
      <x:name val="Arial"/>
    </x:font>
    <x:font>
      <x:b/>
      <x:sz val="12"/>
      <x:color rgb="FF24324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F65"/>
      </x:patternFill>
    </x:fill>
    <x:fill>
      <x:patternFill patternType="solid">
        <x:fgColor rgb="FFFFF8E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DACC0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24613C"/>
      </x:font>
      <x:fill>
        <x:patternFill patternType="solid">
          <x:bgColor rgb="FFE5F2E8"/>
        </x:patternFill>
      </x:fill>
    </x:dxf>
    <x:dxf>
      <x:font>
        <x:b/>
        <x:color rgb="FF982D25"/>
      </x:font>
      <x:fill>
        <x:patternFill patternType="solid">
          <x:bgColor rgb="FFFCE8E6"/>
        </x:patternFill>
      </x:fill>
    </x:dxf>
    <x:dxf>
      <x:font>
        <x:b/>
        <x:color rgb="FF805318"/>
      </x:font>
      <x:fill>
        <x:patternFill patternType="solid">
          <x:bgColor rgb="FFFFF0D3"/>
        </x:patternFill>
      </x:fill>
    </x:dxf>
    <x:dxf>
      <x:font>
        <x:b/>
        <x:color rgb="FF5F6977"/>
      </x:font>
      <x:fill>
        <x:patternFill patternType="solid">
          <x:bgColor rgb="FFEEF0F3"/>
        </x:patternFill>
      </x:fill>
    </x:dxf>
    <x:dxf>
      <x:font>
        <x:b/>
        <x:color rgb="FF982D25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cbbfdc8acb4e4e" /><Relationship Type="http://schemas.openxmlformats.org/officeDocument/2006/relationships/theme" Target="/xl/theme/theme1.xml" Id="Rb0b5e3c2090e47f2" /><Relationship Type="http://schemas.openxmlformats.org/officeDocument/2006/relationships/sharedStrings" Target="/xl/sharedStrings.xml" Id="R46b10d477298437e" /><Relationship Type="http://schemas.openxmlformats.org/officeDocument/2006/relationships/worksheet" Target="/xl/worksheets/sheet1.xml" Id="R2192438665884beb" /><Relationship Type="http://schemas.openxmlformats.org/officeDocument/2006/relationships/worksheet" Target="/xl/worksheets/sheet2.xml" Id="R61549189ee3f4693" /><Relationship Type="http://schemas.openxmlformats.org/officeDocument/2006/relationships/worksheet" Target="/xl/worksheets/sheet3.xml" Id="R12796e3e4c594f0c" /><Relationship Type="http://schemas.openxmlformats.org/officeDocument/2006/relationships/worksheet" Target="/xl/worksheets/sheet4.xml" Id="R48b1884224e841cc" /></Relationships>
</file>

<file path=xl/tables/table1.xml><?xml version="1.0" encoding="utf-8"?>
<x:table xmlns:x="http://schemas.openxmlformats.org/spreadsheetml/2006/main" id="4" name="QAResultados" displayName="QAResultados" ref="A5:N725" headerRowCount="1" totalsRowCount="0" totalsRowShown="0">
  <x:autoFilter ref="A5:N725"/>
  <x:tableColumns count="14">
    <x:tableColumn id="1" name="ID"/>
    <x:tableColumn id="2" name="Grupo"/>
    <x:tableColumn id="3" name="Caso"/>
    <x:tableColumn id="4" name="Prioridad"/>
    <x:tableColumn id="5" name="Clase"/>
    <x:tableColumn id="6" name="Capa requerida"/>
    <x:tableColumn id="7" name="Estado"/>
    <x:tableColumn id="8" name="Resultado observado"/>
    <x:tableColumn id="9" name="Evidencia"/>
    <x:tableColumn id="10" name="Defecto / bloqueo"/>
    <x:tableColumn id="11" name="Agente"/>
    <x:tableColumn id="12" name="Fecha y hora Caracas"/>
    <x:tableColumn id="13" name="Iteración"/>
    <x:tableColumn id="14" name="Documento / operación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QAEspecificaciones" displayName="QAEspecificaciones" ref="A5:F725" headerRowCount="1" totalsRowCount="0" totalsRowShown="0">
  <x:autoFilter ref="A5:F725"/>
  <x:tableColumns count="6">
    <x:tableColumn id="1" name="ID"/>
    <x:tableColumn id="2" name="Caso"/>
    <x:tableColumn id="3" name="Precondiciones y fixtures"/>
    <x:tableColumn id="4" name="Pasos específicos"/>
    <x:tableColumn id="5" name="Resultado esperado"/>
    <x:tableColumn id="6" name="Fuente / entrada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QAVariantes" displayName="QAVariantes" ref="A5:N6" headerRowCount="1" totalsRowCount="0" totalsRowShown="0">
  <x:autoFilter ref="A5:N6"/>
  <x:tableColumns count="14">
    <x:tableColumn id="1" name="ID variante"/>
    <x:tableColumn id="2" name="ID padre"/>
    <x:tableColumn id="3" name="Descripción / datos"/>
    <x:tableColumn id="4" name="Prioridad"/>
    <x:tableColumn id="5" name="Clase"/>
    <x:tableColumn id="6" name="Capa requerida"/>
    <x:tableColumn id="7" name="Estado"/>
    <x:tableColumn id="8" name="Resultado observado"/>
    <x:tableColumn id="9" name="Evidencia"/>
    <x:tableColumn id="10" name="Defecto / bloqueo"/>
    <x:tableColumn id="11" name="Agente"/>
    <x:tableColumn id="12" name="Fecha y hora Caracas"/>
    <x:tableColumn id="13" name="Iteración"/>
    <x:tableColumn id="14" name="Documento / operación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542d60d09446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81362ac6ad49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e6184cb2894f00" /></Relationships>
</file>

<file path=xl/worksheets/sheet1.xml><?xml version="1.0" encoding="utf-8"?>
<x:worksheet xmlns:x="http://schemas.openxmlformats.org/spreadsheetml/2006/main">
  <x:sheetPr>
    <x:tabColor rgb="FF203F65"/>
  </x:sheetPr>
  <x:sheetViews>
    <x:sheetView showGridLines="0" workbookViewId="0"/>
  </x:sheetViews>
  <x:sheetFormatPr defaultRowHeight="15"/>
  <x:cols>
    <x:col min="1" max="1" width="30" hidden="0" customWidth="1"/>
    <x:col min="2" max="2" width="17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65" hidden="0" customWidth="1"/>
    <x:col min="9" max="9" width="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7" customHeight="1">
      <x:c r="A2" s="3" t="str">
        <x:v>QA de facturación Pro9 en Medios digitales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2" t="str">
        <x:v>DEMO. Casos preparados; resultados iniciales sin ejecutar.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4"/>
      <x:c r="B4" s="4"/>
      <x:c r="C4" s="4"/>
      <x:c r="D4" s="4"/>
      <x:c r="E4" s="4"/>
      <x:c r="F4" s="4"/>
      <x:c r="G4" s="4"/>
      <x:c r="H4" s="4"/>
      <x:c r="I4" s="4"/>
    </x:row>
    <x:row r="5" ht="36" customHeight="1">
      <x:c r="A5" s="8" t="str">
        <x:v>Métrica</x:v>
      </x:c>
      <x:c r="B5" s="8" t="str">
        <x:v>Cantidad / tasa</x:v>
      </x:c>
      <x:c r="C5" s="2"/>
      <x:c r="D5" s="16" t="str">
        <x:v>Uso del registro</x:v>
      </x:c>
      <x:c r="E5" s="2"/>
      <x:c r="F5" s="2"/>
      <x:c r="G5" s="2"/>
      <x:c r="H5" s="2"/>
      <x:c r="I5" s="2"/>
    </x:row>
    <x:row r="6" ht="25" customHeight="1">
      <x:c r="A6" s="2" t="str">
        <x:v>Planificadas</x:v>
      </x:c>
      <x:c r="B6" s="14" t="n">
        <x:f>COUNTA(Resultados!$A$6:$A$5005)</x:f>
        <x:v>720</x:v>
      </x:c>
      <x:c r="C6" s="2"/>
      <x:c r="D6" s="2" t="str">
        <x:v>Campos amarillos: completar al ejecutar.</x:v>
      </x:c>
      <x:c r="E6" s="2"/>
      <x:c r="F6" s="2"/>
      <x:c r="G6" s="2"/>
      <x:c r="H6" s="2"/>
      <x:c r="I6" s="2"/>
    </x:row>
    <x:row r="7" ht="25" customHeight="1">
      <x:c r="A7" s="2" t="str">
        <x:v>Aprobó</x:v>
      </x:c>
      <x:c r="B7" s="14" t="n">
        <x:f>COUNTIFS(Resultados!$G$6:$G$5005,"Aprobó")</x:f>
        <x:v>0</x:v>
      </x:c>
      <x:c r="C7" s="2"/>
      <x:c r="D7" s="2"/>
      <x:c r="E7" s="2"/>
      <x:c r="F7" s="2"/>
      <x:c r="G7" s="2"/>
      <x:c r="H7" s="2"/>
      <x:c r="I7" s="2"/>
    </x:row>
    <x:row r="8" ht="25" customHeight="1">
      <x:c r="A8" s="2" t="str">
        <x:v>Reprobó</x:v>
      </x:c>
      <x:c r="B8" s="14" t="n">
        <x:f>COUNTIFS(Resultados!$G$6:$G$5005,"Reprobó")</x:f>
        <x:v>0</x:v>
      </x:c>
      <x:c r="C8" s="2"/>
      <x:c r="D8" s="2" t="str">
        <x:v>Cada prueba ejecutada debe indicar Aprobó o Reprobó.</x:v>
      </x:c>
      <x:c r="E8" s="2"/>
      <x:c r="F8" s="2"/>
      <x:c r="G8" s="2"/>
      <x:c r="H8" s="2"/>
      <x:c r="I8" s="2"/>
    </x:row>
    <x:row r="9" ht="25" customHeight="1">
      <x:c r="A9" s="2" t="str">
        <x:v>Bloqueada</x:v>
      </x:c>
      <x:c r="B9" s="14" t="n">
        <x:f>COUNTIFS(Resultados!$G$6:$G$5005,"Bloqueada")</x:f>
        <x:v>0</x:v>
      </x:c>
      <x:c r="C9" s="2"/>
      <x:c r="D9" s="2"/>
      <x:c r="E9" s="2"/>
      <x:c r="F9" s="2"/>
      <x:c r="G9" s="2"/>
      <x:c r="H9" s="2"/>
      <x:c r="I9" s="2"/>
    </x:row>
    <x:row r="10" ht="25" customHeight="1">
      <x:c r="A10" s="2" t="str">
        <x:v>No aplica</x:v>
      </x:c>
      <x:c r="B10" s="14" t="n">
        <x:f>COUNTIFS(Resultados!$G$6:$G$5005,"No aplica")</x:f>
        <x:v>0</x:v>
      </x:c>
      <x:c r="C10" s="2"/>
      <x:c r="D10" s="2" t="str">
        <x:v>Bloqueada y No aplica requieren motivo concreto.</x:v>
      </x:c>
      <x:c r="E10" s="2"/>
      <x:c r="F10" s="2"/>
      <x:c r="G10" s="2"/>
      <x:c r="H10" s="2"/>
      <x:c r="I10" s="2"/>
    </x:row>
    <x:row r="11" ht="25" customHeight="1">
      <x:c r="A11" s="2" t="str">
        <x:v>Pendiente</x:v>
      </x:c>
      <x:c r="B11" s="14" t="n">
        <x:f>COUNTIFS(Resultados!$G$6:$G$5005,"Pendiente")</x:f>
        <x:v>720</x:v>
      </x:c>
      <x:c r="C11" s="2"/>
      <x:c r="D11" s="2"/>
      <x:c r="E11" s="2"/>
      <x:c r="F11" s="2"/>
      <x:c r="G11" s="2"/>
      <x:c r="H11" s="2"/>
      <x:c r="I11" s="2"/>
    </x:row>
    <x:row r="12" ht="25" customHeight="1">
      <x:c r="A12" s="2" t="str">
        <x:v>Ejecutadas</x:v>
      </x:c>
      <x:c r="B12" s="14" t="n">
        <x:f>SUM(B7:B8)</x:f>
        <x:v>0</x:v>
      </x:c>
      <x:c r="C12" s="2"/>
      <x:c r="D12" s="2" t="str">
        <x:v>Registre subcasos en Variantes. Retest: preserve la copia anterior.</x:v>
      </x:c>
      <x:c r="E12" s="2"/>
      <x:c r="F12" s="2"/>
      <x:c r="G12" s="2"/>
      <x:c r="H12" s="2"/>
      <x:c r="I12" s="2"/>
    </x:row>
    <x:row r="13" ht="25" customHeight="1">
      <x:c r="A13" s="2" t="str">
        <x:v>Aplicables</x:v>
      </x:c>
      <x:c r="B13" s="14" t="n">
        <x:f>B6-B10</x:f>
        <x:v>720</x:v>
      </x:c>
      <x:c r="C13" s="2"/>
      <x:c r="D13" s="2"/>
      <x:c r="E13" s="2"/>
      <x:c r="F13" s="2"/>
      <x:c r="G13" s="2"/>
      <x:c r="H13" s="2"/>
      <x:c r="I13" s="2"/>
    </x:row>
    <x:row r="14" ht="25" customHeight="1">
      <x:c r="A14" s="2" t="str">
        <x:v>Cobertura de ejecución</x:v>
      </x:c>
      <x:c r="B14" s="15" t="n">
        <x:f>IF(B13=0,"No calculable",B12/B13)</x:f>
        <x:v>0</x:v>
      </x:c>
      <x:c r="C14" s="2"/>
      <x:c r="D14" s="2" t="str">
        <x:v>Resumen preparado para hasta 5000 filas de casos y variantes.</x:v>
      </x:c>
      <x:c r="E14" s="2"/>
      <x:c r="F14" s="2"/>
      <x:c r="G14" s="2"/>
      <x:c r="H14" s="2"/>
      <x:c r="I14" s="2"/>
    </x:row>
    <x:row r="15" ht="25" customHeight="1">
      <x:c r="A15" s="2" t="str">
        <x:v>Tasa de aprobación</x:v>
      </x:c>
      <x:c r="B15" s="15" t="str">
        <x:f>IF(B12=0,"No calculable",B7/B12)</x:f>
        <x:v>No calculable</x:v>
      </x:c>
      <x:c r="C15" s="2"/>
      <x:c r="D15" s="2"/>
      <x:c r="E15" s="2"/>
      <x:c r="F15" s="2"/>
      <x:c r="G15" s="2"/>
      <x:c r="H15" s="2"/>
      <x:c r="I15" s="2"/>
    </x:row>
    <x:row r="16" ht="25" customHeight="1">
      <x:c r="A16" s="2" t="str">
        <x:v>Sin estado válido</x:v>
      </x:c>
      <x:c r="B16" s="14" t="n">
        <x:f>B6-SUM(B7:B11)</x:f>
        <x:v>0</x:v>
      </x:c>
      <x:c r="C16" s="2"/>
      <x:c r="D16" s="2" t="str">
        <x:v>Consulte la guía, el inventario y la plantilla del informe final.</x:v>
      </x:c>
      <x:c r="E16" s="2"/>
      <x:c r="F16" s="2"/>
      <x:c r="G16" s="2"/>
      <x:c r="H16" s="2"/>
      <x:c r="I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</x:row>
    <x:row r="19">
      <x:c r="A19" s="17" t="str">
        <x:v>Resultados por grupo</x:v>
      </x:c>
      <x:c r="B19" s="2"/>
      <x:c r="C19" s="2"/>
      <x:c r="D19" s="2"/>
      <x:c r="E19" s="2"/>
      <x:c r="F19" s="2"/>
      <x:c r="G19" s="2"/>
      <x:c r="H19" s="2"/>
      <x:c r="I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36" customHeight="1">
      <x:c r="A21" s="8" t="str">
        <x:v>Grupo</x:v>
      </x:c>
      <x:c r="B21" s="8" t="str">
        <x:v>Planificadas</x:v>
      </x:c>
      <x:c r="C21" s="8" t="str">
        <x:v>Aprobó</x:v>
      </x:c>
      <x:c r="D21" s="8" t="str">
        <x:v>Reprobó</x:v>
      </x:c>
      <x:c r="E21" s="8" t="str">
        <x:v>Bloqueada</x:v>
      </x:c>
      <x:c r="F21" s="8" t="str">
        <x:v>No aplica</x:v>
      </x:c>
      <x:c r="G21" s="8" t="str">
        <x:v>Pendiente</x:v>
      </x:c>
      <x:c r="H21" s="8" t="str">
        <x:v>Área</x:v>
      </x:c>
      <x:c r="I21" s="2"/>
    </x:row>
    <x:row r="22" ht="44" customHeight="1">
      <x:c r="A22" s="9" t="str">
        <x:v>ENT</x:v>
      </x:c>
      <x:c r="B22" s="18" t="n">
        <x:f>COUNTIFS(Resultados!$B$6:$B$5005,A22)</x:f>
        <x:v>12</x:v>
      </x:c>
      <x:c r="C22" s="18" t="n">
        <x:f>COUNTIFS(Resultados!$B$6:$B$5005,A22,Resultados!$G$6:$G$5005,"Aprobó")</x:f>
        <x:v>0</x:v>
      </x:c>
      <x:c r="D22" s="18" t="n">
        <x:f>COUNTIFS(Resultados!$B$6:$B$5005,A22,Resultados!$G$6:$G$5005,"Reprobó")</x:f>
        <x:v>0</x:v>
      </x:c>
      <x:c r="E22" s="18" t="n">
        <x:f>COUNTIFS(Resultados!$B$6:$B$5005,A22,Resultados!$G$6:$G$5005,"Bloqueada")</x:f>
        <x:v>0</x:v>
      </x:c>
      <x:c r="F22" s="18" t="n">
        <x:f>COUNTIFS(Resultados!$B$6:$B$5005,A22,Resultados!$G$6:$G$5005,"No aplica")</x:f>
        <x:v>0</x:v>
      </x:c>
      <x:c r="G22" s="18" t="n">
        <x:f>COUNTIFS(Resultados!$B$6:$B$5005,A22,Resultados!$G$6:$G$5005,"Pendiente")</x:f>
        <x:v>12</x:v>
      </x:c>
      <x:c r="H22" s="9" t="str">
        <x:v>Preparación, inventario y alcance</x:v>
      </x:c>
      <x:c r="I22" s="2"/>
    </x:row>
    <x:row r="23" ht="44" customHeight="1">
      <x:c r="A23" s="9" t="str">
        <x:v>CFG</x:v>
      </x:c>
      <x:c r="B23" s="18" t="n">
        <x:f>COUNTIFS(Resultados!$B$6:$B$5005,A23)</x:f>
        <x:v>17</x:v>
      </x:c>
      <x:c r="C23" s="18" t="n">
        <x:f>COUNTIFS(Resultados!$B$6:$B$5005,A23,Resultados!$G$6:$G$5005,"Aprobó")</x:f>
        <x:v>0</x:v>
      </x:c>
      <x:c r="D23" s="18" t="n">
        <x:f>COUNTIFS(Resultados!$B$6:$B$5005,A23,Resultados!$G$6:$G$5005,"Reprobó")</x:f>
        <x:v>0</x:v>
      </x:c>
      <x:c r="E23" s="18" t="n">
        <x:f>COUNTIFS(Resultados!$B$6:$B$5005,A23,Resultados!$G$6:$G$5005,"Bloqueada")</x:f>
        <x:v>0</x:v>
      </x:c>
      <x:c r="F23" s="18" t="n">
        <x:f>COUNTIFS(Resultados!$B$6:$B$5005,A23,Resultados!$G$6:$G$5005,"No aplica")</x:f>
        <x:v>0</x:v>
      </x:c>
      <x:c r="G23" s="18" t="n">
        <x:f>COUNTIFS(Resultados!$B$6:$B$5005,A23,Resultados!$G$6:$G$5005,"Pendiente")</x:f>
        <x:v>17</x:v>
      </x:c>
      <x:c r="H23" s="9" t="str">
        <x:v>Configuración digital, autenticación y catálogos</x:v>
      </x:c>
      <x:c r="I23" s="2"/>
    </x:row>
    <x:row r="24" ht="44" customHeight="1">
      <x:c r="A24" s="9" t="str">
        <x:v>NUM</x:v>
      </x:c>
      <x:c r="B24" s="18" t="n">
        <x:f>COUNTIFS(Resultados!$B$6:$B$5005,A24)</x:f>
        <x:v>21</x:v>
      </x:c>
      <x:c r="C24" s="18" t="n">
        <x:f>COUNTIFS(Resultados!$B$6:$B$5005,A24,Resultados!$G$6:$G$5005,"Aprobó")</x:f>
        <x:v>0</x:v>
      </x:c>
      <x:c r="D24" s="18" t="n">
        <x:f>COUNTIFS(Resultados!$B$6:$B$5005,A24,Resultados!$G$6:$G$5005,"Reprobó")</x:f>
        <x:v>0</x:v>
      </x:c>
      <x:c r="E24" s="18" t="n">
        <x:f>COUNTIFS(Resultados!$B$6:$B$5005,A24,Resultados!$G$6:$G$5005,"Bloqueada")</x:f>
        <x:v>0</x:v>
      </x:c>
      <x:c r="F24" s="18" t="n">
        <x:f>COUNTIFS(Resultados!$B$6:$B$5005,A24,Resultados!$G$6:$G$5005,"No aplica")</x:f>
        <x:v>0</x:v>
      </x:c>
      <x:c r="G24" s="18" t="n">
        <x:f>COUNTIFS(Resultados!$B$6:$B$5005,A24,Resultados!$G$6:$G$5005,"Pendiente")</x:f>
        <x:v>21</x:v>
      </x:c>
      <x:c r="H24" s="9" t="str">
        <x:v>Series, numeración y dispositivos</x:v>
      </x:c>
      <x:c r="I24" s="2"/>
    </x:row>
    <x:row r="25" ht="44" customHeight="1">
      <x:c r="A25" s="9" t="str">
        <x:v>CLI</x:v>
      </x:c>
      <x:c r="B25" s="18" t="n">
        <x:f>COUNTIFS(Resultados!$B$6:$B$5005,A25)</x:f>
        <x:v>18</x:v>
      </x:c>
      <x:c r="C25" s="18" t="n">
        <x:f>COUNTIFS(Resultados!$B$6:$B$5005,A25,Resultados!$G$6:$G$5005,"Aprobó")</x:f>
        <x:v>0</x:v>
      </x:c>
      <x:c r="D25" s="18" t="n">
        <x:f>COUNTIFS(Resultados!$B$6:$B$5005,A25,Resultados!$G$6:$G$5005,"Reprobó")</x:f>
        <x:v>0</x:v>
      </x:c>
      <x:c r="E25" s="18" t="n">
        <x:f>COUNTIFS(Resultados!$B$6:$B$5005,A25,Resultados!$G$6:$G$5005,"Bloqueada")</x:f>
        <x:v>0</x:v>
      </x:c>
      <x:c r="F25" s="18" t="n">
        <x:f>COUNTIFS(Resultados!$B$6:$B$5005,A25,Resultados!$G$6:$G$5005,"No aplica")</x:f>
        <x:v>0</x:v>
      </x:c>
      <x:c r="G25" s="18" t="n">
        <x:f>COUNTIFS(Resultados!$B$6:$B$5005,A25,Resultados!$G$6:$G$5005,"Pendiente")</x:f>
        <x:v>18</x:v>
      </x:c>
      <x:c r="H25" s="9" t="str">
        <x:v>Clientes, identidad y datos generales</x:v>
      </x:c>
      <x:c r="I25" s="2"/>
    </x:row>
    <x:row r="26" ht="44" customHeight="1">
      <x:c r="A26" s="9" t="str">
        <x:v>ITM</x:v>
      </x:c>
      <x:c r="B26" s="18" t="n">
        <x:f>COUNTIFS(Resultados!$B$6:$B$5005,A26)</x:f>
        <x:v>25</x:v>
      </x:c>
      <x:c r="C26" s="18" t="n">
        <x:f>COUNTIFS(Resultados!$B$6:$B$5005,A26,Resultados!$G$6:$G$5005,"Aprobó")</x:f>
        <x:v>0</x:v>
      </x:c>
      <x:c r="D26" s="18" t="n">
        <x:f>COUNTIFS(Resultados!$B$6:$B$5005,A26,Resultados!$G$6:$G$5005,"Reprobó")</x:f>
        <x:v>0</x:v>
      </x:c>
      <x:c r="E26" s="18" t="n">
        <x:f>COUNTIFS(Resultados!$B$6:$B$5005,A26,Resultados!$G$6:$G$5005,"Bloqueada")</x:f>
        <x:v>0</x:v>
      </x:c>
      <x:c r="F26" s="18" t="n">
        <x:f>COUNTIFS(Resultados!$B$6:$B$5005,A26,Resultados!$G$6:$G$5005,"No aplica")</x:f>
        <x:v>0</x:v>
      </x:c>
      <x:c r="G26" s="18" t="n">
        <x:f>COUNTIFS(Resultados!$B$6:$B$5005,A26,Resultados!$G$6:$G$5005,"Pendiente")</x:f>
        <x:v>25</x:v>
      </x:c>
      <x:c r="H26" s="9" t="str">
        <x:v>Productos, servicios, inventario y atributos</x:v>
      </x:c>
      <x:c r="I26" s="2"/>
    </x:row>
    <x:row r="27" ht="44" customHeight="1">
      <x:c r="A27" s="9" t="str">
        <x:v>CAL</x:v>
      </x:c>
      <x:c r="B27" s="18" t="n">
        <x:f>COUNTIFS(Resultados!$B$6:$B$5005,A27)</x:f>
        <x:v>19</x:v>
      </x:c>
      <x:c r="C27" s="18" t="n">
        <x:f>COUNTIFS(Resultados!$B$6:$B$5005,A27,Resultados!$G$6:$G$5005,"Aprobó")</x:f>
        <x:v>0</x:v>
      </x:c>
      <x:c r="D27" s="18" t="n">
        <x:f>COUNTIFS(Resultados!$B$6:$B$5005,A27,Resultados!$G$6:$G$5005,"Reprobó")</x:f>
        <x:v>0</x:v>
      </x:c>
      <x:c r="E27" s="18" t="n">
        <x:f>COUNTIFS(Resultados!$B$6:$B$5005,A27,Resultados!$G$6:$G$5005,"Bloqueada")</x:f>
        <x:v>0</x:v>
      </x:c>
      <x:c r="F27" s="18" t="n">
        <x:f>COUNTIFS(Resultados!$B$6:$B$5005,A27,Resultados!$G$6:$G$5005,"No aplica")</x:f>
        <x:v>0</x:v>
      </x:c>
      <x:c r="G27" s="18" t="n">
        <x:f>COUNTIFS(Resultados!$B$6:$B$5005,A27,Resultados!$G$6:$G$5005,"Pendiente")</x:f>
        <x:v>19</x:v>
      </x:c>
      <x:c r="H27" s="9" t="str">
        <x:v>IVA, descuentos, cargos y totales</x:v>
      </x:c>
      <x:c r="I27" s="2"/>
    </x:row>
    <x:row r="28" ht="44" customHeight="1">
      <x:c r="A28" s="9" t="str">
        <x:v>FAC</x:v>
      </x:c>
      <x:c r="B28" s="18" t="n">
        <x:f>COUNTIFS(Resultados!$B$6:$B$5005,A28)</x:f>
        <x:v>16</x:v>
      </x:c>
      <x:c r="C28" s="18" t="n">
        <x:f>COUNTIFS(Resultados!$B$6:$B$5005,A28,Resultados!$G$6:$G$5005,"Aprobó")</x:f>
        <x:v>0</x:v>
      </x:c>
      <x:c r="D28" s="18" t="n">
        <x:f>COUNTIFS(Resultados!$B$6:$B$5005,A28,Resultados!$G$6:$G$5005,"Reprobó")</x:f>
        <x:v>0</x:v>
      </x:c>
      <x:c r="E28" s="18" t="n">
        <x:f>COUNTIFS(Resultados!$B$6:$B$5005,A28,Resultados!$G$6:$G$5005,"Bloqueada")</x:f>
        <x:v>0</x:v>
      </x:c>
      <x:c r="F28" s="18" t="n">
        <x:f>COUNTIFS(Resultados!$B$6:$B$5005,A28,Resultados!$G$6:$G$5005,"No aplica")</x:f>
        <x:v>0</x:v>
      </x:c>
      <x:c r="G28" s="18" t="n">
        <x:f>COUNTIFS(Resultados!$B$6:$B$5005,A28,Resultados!$G$6:$G$5005,"Pendiente")</x:f>
        <x:v>16</x:v>
      </x:c>
      <x:c r="H28" s="9" t="str">
        <x:v>Facturas ordinarias y condiciones de pago</x:v>
      </x:c>
      <x:c r="I28" s="2"/>
    </x:row>
    <x:row r="29" ht="44" customHeight="1">
      <x:c r="A29" s="9" t="str">
        <x:v>EXP</x:v>
      </x:c>
      <x:c r="B29" s="18" t="n">
        <x:f>COUNTIFS(Resultados!$B$6:$B$5005,A29)</x:f>
        <x:v>18</x:v>
      </x:c>
      <x:c r="C29" s="18" t="n">
        <x:f>COUNTIFS(Resultados!$B$6:$B$5005,A29,Resultados!$G$6:$G$5005,"Aprobó")</x:f>
        <x:v>0</x:v>
      </x:c>
      <x:c r="D29" s="18" t="n">
        <x:f>COUNTIFS(Resultados!$B$6:$B$5005,A29,Resultados!$G$6:$G$5005,"Reprobó")</x:f>
        <x:v>0</x:v>
      </x:c>
      <x:c r="E29" s="18" t="n">
        <x:f>COUNTIFS(Resultados!$B$6:$B$5005,A29,Resultados!$G$6:$G$5005,"Bloqueada")</x:f>
        <x:v>0</x:v>
      </x:c>
      <x:c r="F29" s="18" t="n">
        <x:f>COUNTIFS(Resultados!$B$6:$B$5005,A29,Resultados!$G$6:$G$5005,"No aplica")</x:f>
        <x:v>0</x:v>
      </x:c>
      <x:c r="G29" s="18" t="n">
        <x:f>COUNTIFS(Resultados!$B$6:$B$5005,A29,Resultados!$G$6:$G$5005,"Pendiente")</x:f>
        <x:v>18</x:v>
      </x:c>
      <x:c r="H29" s="9" t="str">
        <x:v>Facturas de exportación de bienes</x:v>
      </x:c>
      <x:c r="I29" s="2"/>
    </x:row>
    <x:row r="30" ht="44" customHeight="1">
      <x:c r="A30" s="9" t="str">
        <x:v>TER</x:v>
      </x:c>
      <x:c r="B30" s="18" t="n">
        <x:f>COUNTIFS(Resultados!$B$6:$B$5005,A30)</x:f>
        <x:v>15</x:v>
      </x:c>
      <x:c r="C30" s="18" t="n">
        <x:f>COUNTIFS(Resultados!$B$6:$B$5005,A30,Resultados!$G$6:$G$5005,"Aprobó")</x:f>
        <x:v>0</x:v>
      </x:c>
      <x:c r="D30" s="18" t="n">
        <x:f>COUNTIFS(Resultados!$B$6:$B$5005,A30,Resultados!$G$6:$G$5005,"Reprobó")</x:f>
        <x:v>0</x:v>
      </x:c>
      <x:c r="E30" s="18" t="n">
        <x:f>COUNTIFS(Resultados!$B$6:$B$5005,A30,Resultados!$G$6:$G$5005,"Bloqueada")</x:f>
        <x:v>0</x:v>
      </x:c>
      <x:c r="F30" s="18" t="n">
        <x:f>COUNTIFS(Resultados!$B$6:$B$5005,A30,Resultados!$G$6:$G$5005,"No aplica")</x:f>
        <x:v>0</x:v>
      </x:c>
      <x:c r="G30" s="18" t="n">
        <x:f>COUNTIFS(Resultados!$B$6:$B$5005,A30,Resultados!$G$6:$G$5005,"Pendiente")</x:f>
        <x:v>15</x:v>
      </x:c>
      <x:c r="H30" s="9" t="str">
        <x:v>Facturas por cuenta de terceros</x:v>
      </x:c>
      <x:c r="I30" s="2"/>
    </x:row>
    <x:row r="31" ht="44" customHeight="1">
      <x:c r="A31" s="9" t="str">
        <x:v>NOT</x:v>
      </x:c>
      <x:c r="B31" s="18" t="n">
        <x:f>COUNTIFS(Resultados!$B$6:$B$5005,A31)</x:f>
        <x:v>19</x:v>
      </x:c>
      <x:c r="C31" s="18" t="n">
        <x:f>COUNTIFS(Resultados!$B$6:$B$5005,A31,Resultados!$G$6:$G$5005,"Aprobó")</x:f>
        <x:v>0</x:v>
      </x:c>
      <x:c r="D31" s="18" t="n">
        <x:f>COUNTIFS(Resultados!$B$6:$B$5005,A31,Resultados!$G$6:$G$5005,"Reprobó")</x:f>
        <x:v>0</x:v>
      </x:c>
      <x:c r="E31" s="18" t="n">
        <x:f>COUNTIFS(Resultados!$B$6:$B$5005,A31,Resultados!$G$6:$G$5005,"Bloqueada")</x:f>
        <x:v>0</x:v>
      </x:c>
      <x:c r="F31" s="18" t="n">
        <x:f>COUNTIFS(Resultados!$B$6:$B$5005,A31,Resultados!$G$6:$G$5005,"No aplica")</x:f>
        <x:v>0</x:v>
      </x:c>
      <x:c r="G31" s="18" t="n">
        <x:f>COUNTIFS(Resultados!$B$6:$B$5005,A31,Resultados!$G$6:$G$5005,"Pendiente")</x:f>
        <x:v>19</x:v>
      </x:c>
      <x:c r="H31" s="9" t="str">
        <x:v>Notas de crédito y débito</x:v>
      </x:c>
      <x:c r="I31" s="2"/>
    </x:row>
    <x:row r="32" ht="44" customHeight="1">
      <x:c r="A32" s="9" t="str">
        <x:v>PAG</x:v>
      </x:c>
      <x:c r="B32" s="18" t="n">
        <x:f>COUNTIFS(Resultados!$B$6:$B$5005,A32)</x:f>
        <x:v>22</x:v>
      </x:c>
      <x:c r="C32" s="18" t="n">
        <x:f>COUNTIFS(Resultados!$B$6:$B$5005,A32,Resultados!$G$6:$G$5005,"Aprobó")</x:f>
        <x:v>0</x:v>
      </x:c>
      <x:c r="D32" s="18" t="n">
        <x:f>COUNTIFS(Resultados!$B$6:$B$5005,A32,Resultados!$G$6:$G$5005,"Reprobó")</x:f>
        <x:v>0</x:v>
      </x:c>
      <x:c r="E32" s="18" t="n">
        <x:f>COUNTIFS(Resultados!$B$6:$B$5005,A32,Resultados!$G$6:$G$5005,"Bloqueada")</x:f>
        <x:v>0</x:v>
      </x:c>
      <x:c r="F32" s="18" t="n">
        <x:f>COUNTIFS(Resultados!$B$6:$B$5005,A32,Resultados!$G$6:$G$5005,"No aplica")</x:f>
        <x:v>0</x:v>
      </x:c>
      <x:c r="G32" s="18" t="n">
        <x:f>COUNTIFS(Resultados!$B$6:$B$5005,A32,Resultados!$G$6:$G$5005,"Pendiente")</x:f>
        <x:v>22</x:v>
      </x:c>
      <x:c r="H32" s="9" t="str">
        <x:v>Pagos, monedas, tasas y reversión</x:v>
      </x:c>
      <x:c r="I32" s="2"/>
    </x:row>
    <x:row r="33" ht="44" customHeight="1">
      <x:c r="A33" s="9" t="str">
        <x:v>IGT</x:v>
      </x:c>
      <x:c r="B33" s="18" t="n">
        <x:f>COUNTIFS(Resultados!$B$6:$B$5005,A33)</x:f>
        <x:v>14</x:v>
      </x:c>
      <x:c r="C33" s="18" t="n">
        <x:f>COUNTIFS(Resultados!$B$6:$B$5005,A33,Resultados!$G$6:$G$5005,"Aprobó")</x:f>
        <x:v>0</x:v>
      </x:c>
      <x:c r="D33" s="18" t="n">
        <x:f>COUNTIFS(Resultados!$B$6:$B$5005,A33,Resultados!$G$6:$G$5005,"Reprobó")</x:f>
        <x:v>0</x:v>
      </x:c>
      <x:c r="E33" s="18" t="n">
        <x:f>COUNTIFS(Resultados!$B$6:$B$5005,A33,Resultados!$G$6:$G$5005,"Bloqueada")</x:f>
        <x:v>0</x:v>
      </x:c>
      <x:c r="F33" s="18" t="n">
        <x:f>COUNTIFS(Resultados!$B$6:$B$5005,A33,Resultados!$G$6:$G$5005,"No aplica")</x:f>
        <x:v>0</x:v>
      </x:c>
      <x:c r="G33" s="18" t="n">
        <x:f>COUNTIFS(Resultados!$B$6:$B$5005,A33,Resultados!$G$6:$G$5005,"Pendiente")</x:f>
        <x:v>14</x:v>
      </x:c>
      <x:c r="H33" s="9" t="str">
        <x:v>IGTF inicial y posterior</x:v>
      </x:c>
      <x:c r="I33" s="2"/>
    </x:row>
    <x:row r="34" ht="44" customHeight="1">
      <x:c r="A34" s="9" t="str">
        <x:v>RET</x:v>
      </x:c>
      <x:c r="B34" s="18" t="n">
        <x:f>COUNTIFS(Resultados!$B$6:$B$5005,A34)</x:f>
        <x:v>19</x:v>
      </x:c>
      <x:c r="C34" s="18" t="n">
        <x:f>COUNTIFS(Resultados!$B$6:$B$5005,A34,Resultados!$G$6:$G$5005,"Aprobó")</x:f>
        <x:v>0</x:v>
      </x:c>
      <x:c r="D34" s="18" t="n">
        <x:f>COUNTIFS(Resultados!$B$6:$B$5005,A34,Resultados!$G$6:$G$5005,"Reprobó")</x:f>
        <x:v>0</x:v>
      </x:c>
      <x:c r="E34" s="18" t="n">
        <x:f>COUNTIFS(Resultados!$B$6:$B$5005,A34,Resultados!$G$6:$G$5005,"Bloqueada")</x:f>
        <x:v>0</x:v>
      </x:c>
      <x:c r="F34" s="18" t="n">
        <x:f>COUNTIFS(Resultados!$B$6:$B$5005,A34,Resultados!$G$6:$G$5005,"No aplica")</x:f>
        <x:v>0</x:v>
      </x:c>
      <x:c r="G34" s="18" t="n">
        <x:f>COUNTIFS(Resultados!$B$6:$B$5005,A34,Resultados!$G$6:$G$5005,"Pendiente")</x:f>
        <x:v>19</x:v>
      </x:c>
      <x:c r="H34" s="9" t="str">
        <x:v>Retenciones recibidas y fondos de garantía</x:v>
      </x:c>
      <x:c r="I34" s="2"/>
    </x:row>
    <x:row r="35" ht="44" customHeight="1">
      <x:c r="A35" s="9" t="str">
        <x:v>EDI</x:v>
      </x:c>
      <x:c r="B35" s="18" t="n">
        <x:f>COUNTIFS(Resultados!$B$6:$B$5005,A35)</x:f>
        <x:v>20</x:v>
      </x:c>
      <x:c r="C35" s="18" t="n">
        <x:f>COUNTIFS(Resultados!$B$6:$B$5005,A35,Resultados!$G$6:$G$5005,"Aprobó")</x:f>
        <x:v>0</x:v>
      </x:c>
      <x:c r="D35" s="18" t="n">
        <x:f>COUNTIFS(Resultados!$B$6:$B$5005,A35,Resultados!$G$6:$G$5005,"Reprobó")</x:f>
        <x:v>0</x:v>
      </x:c>
      <x:c r="E35" s="18" t="n">
        <x:f>COUNTIFS(Resultados!$B$6:$B$5005,A35,Resultados!$G$6:$G$5005,"Bloqueada")</x:f>
        <x:v>0</x:v>
      </x:c>
      <x:c r="F35" s="18" t="n">
        <x:f>COUNTIFS(Resultados!$B$6:$B$5005,A35,Resultados!$G$6:$G$5005,"No aplica")</x:f>
        <x:v>0</x:v>
      </x:c>
      <x:c r="G35" s="18" t="n">
        <x:f>COUNTIFS(Resultados!$B$6:$B$5005,A35,Resultados!$G$6:$G$5005,"Pendiente")</x:f>
        <x:v>20</x:v>
      </x:c>
      <x:c r="H35" s="9" t="str">
        <x:v>Edición comercial y conservación de datos</x:v>
      </x:c>
      <x:c r="I35" s="2"/>
    </x:row>
    <x:row r="36" ht="44" customHeight="1">
      <x:c r="A36" s="9" t="str">
        <x:v>HKA</x:v>
      </x:c>
      <x:c r="B36" s="18" t="n">
        <x:f>COUNTIFS(Resultados!$B$6:$B$5005,A36)</x:f>
        <x:v>25</x:v>
      </x:c>
      <x:c r="C36" s="18" t="n">
        <x:f>COUNTIFS(Resultados!$B$6:$B$5005,A36,Resultados!$G$6:$G$5005,"Aprobó")</x:f>
        <x:v>0</x:v>
      </x:c>
      <x:c r="D36" s="18" t="n">
        <x:f>COUNTIFS(Resultados!$B$6:$B$5005,A36,Resultados!$G$6:$G$5005,"Reprobó")</x:f>
        <x:v>0</x:v>
      </x:c>
      <x:c r="E36" s="18" t="n">
        <x:f>COUNTIFS(Resultados!$B$6:$B$5005,A36,Resultados!$G$6:$G$5005,"Bloqueada")</x:f>
        <x:v>0</x:v>
      </x:c>
      <x:c r="F36" s="18" t="n">
        <x:f>COUNTIFS(Resultados!$B$6:$B$5005,A36,Resultados!$G$6:$G$5005,"No aplica")</x:f>
        <x:v>0</x:v>
      </x:c>
      <x:c r="G36" s="18" t="n">
        <x:f>COUNTIFS(Resultados!$B$6:$B$5005,A36,Resultados!$G$6:$G$5005,"Pendiente")</x:f>
        <x:v>25</x:v>
      </x:c>
      <x:c r="H36" s="9" t="str">
        <x:v>Preparación, emisión, conciliación y fallos</x:v>
      </x:c>
      <x:c r="I36" s="2"/>
    </x:row>
    <x:row r="37" ht="44" customHeight="1">
      <x:c r="A37" s="9" t="str">
        <x:v>PDF</x:v>
      </x:c>
      <x:c r="B37" s="18" t="n">
        <x:f>COUNTIFS(Resultados!$B$6:$B$5005,A37)</x:f>
        <x:v>25</x:v>
      </x:c>
      <x:c r="C37" s="18" t="n">
        <x:f>COUNTIFS(Resultados!$B$6:$B$5005,A37,Resultados!$G$6:$G$5005,"Aprobó")</x:f>
        <x:v>0</x:v>
      </x:c>
      <x:c r="D37" s="18" t="n">
        <x:f>COUNTIFS(Resultados!$B$6:$B$5005,A37,Resultados!$G$6:$G$5005,"Reprobó")</x:f>
        <x:v>0</x:v>
      </x:c>
      <x:c r="E37" s="18" t="n">
        <x:f>COUNTIFS(Resultados!$B$6:$B$5005,A37,Resultados!$G$6:$G$5005,"Bloqueada")</x:f>
        <x:v>0</x:v>
      </x:c>
      <x:c r="F37" s="18" t="n">
        <x:f>COUNTIFS(Resultados!$B$6:$B$5005,A37,Resultados!$G$6:$G$5005,"No aplica")</x:f>
        <x:v>0</x:v>
      </x:c>
      <x:c r="G37" s="18" t="n">
        <x:f>COUNTIFS(Resultados!$B$6:$B$5005,A37,Resultados!$G$6:$G$5005,"Pendiente")</x:f>
        <x:v>25</x:v>
      </x:c>
      <x:c r="H37" s="9" t="str">
        <x:v>PDF, vista previa, ticket QR e impresión</x:v>
      </x:c>
      <x:c r="I37" s="2"/>
    </x:row>
    <x:row r="38" ht="44" customHeight="1">
      <x:c r="A38" s="9" t="str">
        <x:v>COR</x:v>
      </x:c>
      <x:c r="B38" s="18" t="n">
        <x:f>COUNTIFS(Resultados!$B$6:$B$5005,A38)</x:f>
        <x:v>19</x:v>
      </x:c>
      <x:c r="C38" s="18" t="n">
        <x:f>COUNTIFS(Resultados!$B$6:$B$5005,A38,Resultados!$G$6:$G$5005,"Aprobó")</x:f>
        <x:v>0</x:v>
      </x:c>
      <x:c r="D38" s="18" t="n">
        <x:f>COUNTIFS(Resultados!$B$6:$B$5005,A38,Resultados!$G$6:$G$5005,"Reprobó")</x:f>
        <x:v>0</x:v>
      </x:c>
      <x:c r="E38" s="18" t="n">
        <x:f>COUNTIFS(Resultados!$B$6:$B$5005,A38,Resultados!$G$6:$G$5005,"Bloqueada")</x:f>
        <x:v>0</x:v>
      </x:c>
      <x:c r="F38" s="18" t="n">
        <x:f>COUNTIFS(Resultados!$B$6:$B$5005,A38,Resultados!$G$6:$G$5005,"No aplica")</x:f>
        <x:v>0</x:v>
      </x:c>
      <x:c r="G38" s="18" t="n">
        <x:f>COUNTIFS(Resultados!$B$6:$B$5005,A38,Resultados!$G$6:$G$5005,"Pendiente")</x:f>
        <x:v>19</x:v>
      </x:c>
      <x:c r="H38" s="9" t="str">
        <x:v>Correo, rastreo y WhatsApp</x:v>
      </x:c>
      <x:c r="I38" s="2"/>
    </x:row>
    <x:row r="39" ht="44" customHeight="1">
      <x:c r="A39" s="9" t="str">
        <x:v>LIS</x:v>
      </x:c>
      <x:c r="B39" s="18" t="n">
        <x:f>COUNTIFS(Resultados!$B$6:$B$5005,A39)</x:f>
        <x:v>16</x:v>
      </x:c>
      <x:c r="C39" s="18" t="n">
        <x:f>COUNTIFS(Resultados!$B$6:$B$5005,A39,Resultados!$G$6:$G$5005,"Aprobó")</x:f>
        <x:v>0</x:v>
      </x:c>
      <x:c r="D39" s="18" t="n">
        <x:f>COUNTIFS(Resultados!$B$6:$B$5005,A39,Resultados!$G$6:$G$5005,"Reprobó")</x:f>
        <x:v>0</x:v>
      </x:c>
      <x:c r="E39" s="18" t="n">
        <x:f>COUNTIFS(Resultados!$B$6:$B$5005,A39,Resultados!$G$6:$G$5005,"Bloqueada")</x:f>
        <x:v>0</x:v>
      </x:c>
      <x:c r="F39" s="18" t="n">
        <x:f>COUNTIFS(Resultados!$B$6:$B$5005,A39,Resultados!$G$6:$G$5005,"No aplica")</x:f>
        <x:v>0</x:v>
      </x:c>
      <x:c r="G39" s="18" t="n">
        <x:f>COUNTIFS(Resultados!$B$6:$B$5005,A39,Resultados!$G$6:$G$5005,"Pendiente")</x:f>
        <x:v>16</x:v>
      </x:c>
      <x:c r="H39" s="9" t="str">
        <x:v>Listado, detalle, búsqueda, columnas y estados</x:v>
      </x:c>
      <x:c r="I39" s="2"/>
    </x:row>
    <x:row r="40" ht="44" customHeight="1">
      <x:c r="A40" s="9" t="str">
        <x:v>NVE</x:v>
      </x:c>
      <x:c r="B40" s="18" t="n">
        <x:f>COUNTIFS(Resultados!$B$6:$B$5005,A40)</x:f>
        <x:v>14</x:v>
      </x:c>
      <x:c r="C40" s="18" t="n">
        <x:f>COUNTIFS(Resultados!$B$6:$B$5005,A40,Resultados!$G$6:$G$5005,"Aprobó")</x:f>
        <x:v>0</x:v>
      </x:c>
      <x:c r="D40" s="18" t="n">
        <x:f>COUNTIFS(Resultados!$B$6:$B$5005,A40,Resultados!$G$6:$G$5005,"Reprobó")</x:f>
        <x:v>0</x:v>
      </x:c>
      <x:c r="E40" s="18" t="n">
        <x:f>COUNTIFS(Resultados!$B$6:$B$5005,A40,Resultados!$G$6:$G$5005,"Bloqueada")</x:f>
        <x:v>0</x:v>
      </x:c>
      <x:c r="F40" s="18" t="n">
        <x:f>COUNTIFS(Resultados!$B$6:$B$5005,A40,Resultados!$G$6:$G$5005,"No aplica")</x:f>
        <x:v>0</x:v>
      </x:c>
      <x:c r="G40" s="18" t="n">
        <x:f>COUNTIFS(Resultados!$B$6:$B$5005,A40,Resultados!$G$6:$G$5005,"Pendiente")</x:f>
        <x:v>14</x:v>
      </x:c>
      <x:c r="H40" s="9" t="str">
        <x:v>Notas de venta y conversiones comerciales</x:v>
      </x:c>
      <x:c r="I40" s="2"/>
    </x:row>
    <x:row r="41" ht="44" customHeight="1">
      <x:c r="A41" s="9" t="str">
        <x:v>CAN</x:v>
      </x:c>
      <x:c r="B41" s="18" t="n">
        <x:f>COUNTIFS(Resultados!$B$6:$B$5005,A41)</x:f>
        <x:v>40</x:v>
      </x:c>
      <x:c r="C41" s="18" t="n">
        <x:f>COUNTIFS(Resultados!$B$6:$B$5005,A41,Resultados!$G$6:$G$5005,"Aprobó")</x:f>
        <x:v>0</x:v>
      </x:c>
      <x:c r="D41" s="18" t="n">
        <x:f>COUNTIFS(Resultados!$B$6:$B$5005,A41,Resultados!$G$6:$G$5005,"Reprobó")</x:f>
        <x:v>0</x:v>
      </x:c>
      <x:c r="E41" s="18" t="n">
        <x:f>COUNTIFS(Resultados!$B$6:$B$5005,A41,Resultados!$G$6:$G$5005,"Bloqueada")</x:f>
        <x:v>0</x:v>
      </x:c>
      <x:c r="F41" s="18" t="n">
        <x:f>COUNTIFS(Resultados!$B$6:$B$5005,A41,Resultados!$G$6:$G$5005,"No aplica")</x:f>
        <x:v>0</x:v>
      </x:c>
      <x:c r="G41" s="18" t="n">
        <x:f>COUNTIFS(Resultados!$B$6:$B$5005,A41,Resultados!$G$6:$G$5005,"Pendiente")</x:f>
        <x:v>40</x:v>
      </x:c>
      <x:c r="H41" s="9" t="str">
        <x:v>Canales de venta y generación indirecta</x:v>
      </x:c>
      <x:c r="I41" s="2"/>
    </x:row>
    <x:row r="42" ht="44" customHeight="1">
      <x:c r="A42" s="9" t="str">
        <x:v>API</x:v>
      </x:c>
      <x:c r="B42" s="18" t="n">
        <x:f>COUNTIFS(Resultados!$B$6:$B$5005,A42)</x:f>
        <x:v>8</x:v>
      </x:c>
      <x:c r="C42" s="18" t="n">
        <x:f>COUNTIFS(Resultados!$B$6:$B$5005,A42,Resultados!$G$6:$G$5005,"Aprobó")</x:f>
        <x:v>0</x:v>
      </x:c>
      <x:c r="D42" s="18" t="n">
        <x:f>COUNTIFS(Resultados!$B$6:$B$5005,A42,Resultados!$G$6:$G$5005,"Reprobó")</x:f>
        <x:v>0</x:v>
      </x:c>
      <x:c r="E42" s="18" t="n">
        <x:f>COUNTIFS(Resultados!$B$6:$B$5005,A42,Resultados!$G$6:$G$5005,"Bloqueada")</x:f>
        <x:v>0</x:v>
      </x:c>
      <x:c r="F42" s="18" t="n">
        <x:f>COUNTIFS(Resultados!$B$6:$B$5005,A42,Resultados!$G$6:$G$5005,"No aplica")</x:f>
        <x:v>0</x:v>
      </x:c>
      <x:c r="G42" s="18" t="n">
        <x:f>COUNTIFS(Resultados!$B$6:$B$5005,A42,Resultados!$G$6:$G$5005,"Pendiente")</x:f>
        <x:v>8</x:v>
      </x:c>
      <x:c r="H42" s="9" t="str">
        <x:v>Contratos HTTP, validación y replay de creación</x:v>
      </x:c>
      <x:c r="I42" s="2"/>
    </x:row>
    <x:row r="43" ht="44" customHeight="1">
      <x:c r="A43" s="9" t="str">
        <x:v>IMP</x:v>
      </x:c>
      <x:c r="B43" s="18" t="n">
        <x:f>COUNTIFS(Resultados!$B$6:$B$5005,A43)</x:f>
        <x:v>12</x:v>
      </x:c>
      <x:c r="C43" s="18" t="n">
        <x:f>COUNTIFS(Resultados!$B$6:$B$5005,A43,Resultados!$G$6:$G$5005,"Aprobó")</x:f>
        <x:v>0</x:v>
      </x:c>
      <x:c r="D43" s="18" t="n">
        <x:f>COUNTIFS(Resultados!$B$6:$B$5005,A43,Resultados!$G$6:$G$5005,"Reprobó")</x:f>
        <x:v>0</x:v>
      </x:c>
      <x:c r="E43" s="18" t="n">
        <x:f>COUNTIFS(Resultados!$B$6:$B$5005,A43,Resultados!$G$6:$G$5005,"Bloqueada")</x:f>
        <x:v>0</x:v>
      </x:c>
      <x:c r="F43" s="18" t="n">
        <x:f>COUNTIFS(Resultados!$B$6:$B$5005,A43,Resultados!$G$6:$G$5005,"No aplica")</x:f>
        <x:v>0</x:v>
      </x:c>
      <x:c r="G43" s="18" t="n">
        <x:f>COUNTIFS(Resultados!$B$6:$B$5005,A43,Resultados!$G$6:$G$5005,"Pendiente")</x:f>
        <x:v>12</x:v>
      </x:c>
      <x:c r="H43" s="9" t="str">
        <x:v>Importaciones y facturación masiva</x:v>
      </x:c>
      <x:c r="I43" s="2"/>
    </x:row>
    <x:row r="44" ht="44" customHeight="1">
      <x:c r="A44" s="9" t="str">
        <x:v>ANU</x:v>
      </x:c>
      <x:c r="B44" s="18" t="n">
        <x:f>COUNTIFS(Resultados!$B$6:$B$5005,A44)</x:f>
        <x:v>9</x:v>
      </x:c>
      <x:c r="C44" s="18" t="n">
        <x:f>COUNTIFS(Resultados!$B$6:$B$5005,A44,Resultados!$G$6:$G$5005,"Aprobó")</x:f>
        <x:v>0</x:v>
      </x:c>
      <x:c r="D44" s="18" t="n">
        <x:f>COUNTIFS(Resultados!$B$6:$B$5005,A44,Resultados!$G$6:$G$5005,"Reprobó")</x:f>
        <x:v>0</x:v>
      </x:c>
      <x:c r="E44" s="18" t="n">
        <x:f>COUNTIFS(Resultados!$B$6:$B$5005,A44,Resultados!$G$6:$G$5005,"Bloqueada")</x:f>
        <x:v>0</x:v>
      </x:c>
      <x:c r="F44" s="18" t="n">
        <x:f>COUNTIFS(Resultados!$B$6:$B$5005,A44,Resultados!$G$6:$G$5005,"No aplica")</x:f>
        <x:v>0</x:v>
      </x:c>
      <x:c r="G44" s="18" t="n">
        <x:f>COUNTIFS(Resultados!$B$6:$B$5005,A44,Resultados!$G$6:$G$5005,"Pendiente")</x:f>
        <x:v>9</x:v>
      </x:c>
      <x:c r="H44" s="9" t="str">
        <x:v>Anulación local, recreación y eliminación de pruebas</x:v>
      </x:c>
      <x:c r="I44" s="2"/>
    </x:row>
    <x:row r="45" ht="44" customHeight="1">
      <x:c r="A45" s="9" t="str">
        <x:v>FIN</x:v>
      </x:c>
      <x:c r="B45" s="18" t="n">
        <x:f>COUNTIFS(Resultados!$B$6:$B$5005,A45)</x:f>
        <x:v>10</x:v>
      </x:c>
      <x:c r="C45" s="18" t="n">
        <x:f>COUNTIFS(Resultados!$B$6:$B$5005,A45,Resultados!$G$6:$G$5005,"Aprobó")</x:f>
        <x:v>0</x:v>
      </x:c>
      <x:c r="D45" s="18" t="n">
        <x:f>COUNTIFS(Resultados!$B$6:$B$5005,A45,Resultados!$G$6:$G$5005,"Reprobó")</x:f>
        <x:v>0</x:v>
      </x:c>
      <x:c r="E45" s="18" t="n">
        <x:f>COUNTIFS(Resultados!$B$6:$B$5005,A45,Resultados!$G$6:$G$5005,"Bloqueada")</x:f>
        <x:v>0</x:v>
      </x:c>
      <x:c r="F45" s="18" t="n">
        <x:f>COUNTIFS(Resultados!$B$6:$B$5005,A45,Resultados!$G$6:$G$5005,"No aplica")</x:f>
        <x:v>0</x:v>
      </x:c>
      <x:c r="G45" s="18" t="n">
        <x:f>COUNTIFS(Resultados!$B$6:$B$5005,A45,Resultados!$G$6:$G$5005,"Pendiente")</x:f>
        <x:v>10</x:v>
      </x:c>
      <x:c r="H45" s="9" t="str">
        <x:v>Caja, cuentas por cobrar, reportes y conciliación</x:v>
      </x:c>
      <x:c r="I45" s="2"/>
    </x:row>
    <x:row r="46" ht="44" customHeight="1">
      <x:c r="A46" s="9" t="str">
        <x:v>SEG</x:v>
      </x:c>
      <x:c r="B46" s="18" t="n">
        <x:f>COUNTIFS(Resultados!$B$6:$B$5005,A46)</x:f>
        <x:v>12</x:v>
      </x:c>
      <x:c r="C46" s="18" t="n">
        <x:f>COUNTIFS(Resultados!$B$6:$B$5005,A46,Resultados!$G$6:$G$5005,"Aprobó")</x:f>
        <x:v>0</x:v>
      </x:c>
      <x:c r="D46" s="18" t="n">
        <x:f>COUNTIFS(Resultados!$B$6:$B$5005,A46,Resultados!$G$6:$G$5005,"Reprobó")</x:f>
        <x:v>0</x:v>
      </x:c>
      <x:c r="E46" s="18" t="n">
        <x:f>COUNTIFS(Resultados!$B$6:$B$5005,A46,Resultados!$G$6:$G$5005,"Bloqueada")</x:f>
        <x:v>0</x:v>
      </x:c>
      <x:c r="F46" s="18" t="n">
        <x:f>COUNTIFS(Resultados!$B$6:$B$5005,A46,Resultados!$G$6:$G$5005,"No aplica")</x:f>
        <x:v>0</x:v>
      </x:c>
      <x:c r="G46" s="18" t="n">
        <x:f>COUNTIFS(Resultados!$B$6:$B$5005,A46,Resultados!$G$6:$G$5005,"Pendiente")</x:f>
        <x:v>12</x:v>
      </x:c>
      <x:c r="H46" s="9" t="str">
        <x:v>Autorización, aislamiento y seguridad del flujo fiscal</x:v>
      </x:c>
      <x:c r="I46" s="2"/>
    </x:row>
    <x:row r="47" ht="44" customHeight="1">
      <x:c r="A47" s="9" t="str">
        <x:v>ROB</x:v>
      </x:c>
      <x:c r="B47" s="18" t="n">
        <x:f>COUNTIFS(Resultados!$B$6:$B$5005,A47)</x:f>
        <x:v>6</x:v>
      </x:c>
      <x:c r="C47" s="18" t="n">
        <x:f>COUNTIFS(Resultados!$B$6:$B$5005,A47,Resultados!$G$6:$G$5005,"Aprobó")</x:f>
        <x:v>0</x:v>
      </x:c>
      <x:c r="D47" s="18" t="n">
        <x:f>COUNTIFS(Resultados!$B$6:$B$5005,A47,Resultados!$G$6:$G$5005,"Reprobó")</x:f>
        <x:v>0</x:v>
      </x:c>
      <x:c r="E47" s="18" t="n">
        <x:f>COUNTIFS(Resultados!$B$6:$B$5005,A47,Resultados!$G$6:$G$5005,"Bloqueada")</x:f>
        <x:v>0</x:v>
      </x:c>
      <x:c r="F47" s="18" t="n">
        <x:f>COUNTIFS(Resultados!$B$6:$B$5005,A47,Resultados!$G$6:$G$5005,"No aplica")</x:f>
        <x:v>0</x:v>
      </x:c>
      <x:c r="G47" s="18" t="n">
        <x:f>COUNTIFS(Resultados!$B$6:$B$5005,A47,Resultados!$G$6:$G$5005,"Pendiente")</x:f>
        <x:v>6</x:v>
      </x:c>
      <x:c r="H47" s="9" t="str">
        <x:v>Recuperación, estabilidad y aceptación final</x:v>
      </x:c>
      <x:c r="I47" s="2"/>
    </x:row>
    <x:row r="48" ht="44" customHeight="1">
      <x:c r="A48" s="9" t="str">
        <x:v>MAT</x:v>
      </x:c>
      <x:c r="B48" s="18" t="n">
        <x:f>COUNTIFS(Resultados!$B$6:$B$5005,A48)</x:f>
        <x:v>208</x:v>
      </x:c>
      <x:c r="C48" s="18" t="n">
        <x:f>COUNTIFS(Resultados!$B$6:$B$5005,A48,Resultados!$G$6:$G$5005,"Aprobó")</x:f>
        <x:v>0</x:v>
      </x:c>
      <x:c r="D48" s="18" t="n">
        <x:f>COUNTIFS(Resultados!$B$6:$B$5005,A48,Resultados!$G$6:$G$5005,"Reprobó")</x:f>
        <x:v>0</x:v>
      </x:c>
      <x:c r="E48" s="18" t="n">
        <x:f>COUNTIFS(Resultados!$B$6:$B$5005,A48,Resultados!$G$6:$G$5005,"Bloqueada")</x:f>
        <x:v>0</x:v>
      </x:c>
      <x:c r="F48" s="18" t="n">
        <x:f>COUNTIFS(Resultados!$B$6:$B$5005,A48,Resultados!$G$6:$G$5005,"No aplica")</x:f>
        <x:v>0</x:v>
      </x:c>
      <x:c r="G48" s="18" t="n">
        <x:f>COUNTIFS(Resultados!$B$6:$B$5005,A48,Resultados!$G$6:$G$5005,"Pendiente")</x:f>
        <x:v>208</x:v>
      </x:c>
      <x:c r="H48" s="9" t="str">
        <x:v>Matriz exhaustiva de identidad, comprobante y canal</x:v>
      </x:c>
      <x:c r="I48" s="2"/>
    </x:row>
    <x:row r="49" ht="44" customHeight="1">
      <x:c r="A49" s="9" t="str">
        <x:v>NEG</x:v>
      </x:c>
      <x:c r="B49" s="18" t="n">
        <x:f>COUNTIFS(Resultados!$B$6:$B$5005,A49)</x:f>
        <x:v>19</x:v>
      </x:c>
      <x:c r="C49" s="18" t="n">
        <x:f>COUNTIFS(Resultados!$B$6:$B$5005,A49,Resultados!$G$6:$G$5005,"Aprobó")</x:f>
        <x:v>0</x:v>
      </x:c>
      <x:c r="D49" s="18" t="n">
        <x:f>COUNTIFS(Resultados!$B$6:$B$5005,A49,Resultados!$G$6:$G$5005,"Reprobó")</x:f>
        <x:v>0</x:v>
      </x:c>
      <x:c r="E49" s="18" t="n">
        <x:f>COUNTIFS(Resultados!$B$6:$B$5005,A49,Resultados!$G$6:$G$5005,"Bloqueada")</x:f>
        <x:v>0</x:v>
      </x:c>
      <x:c r="F49" s="18" t="n">
        <x:f>COUNTIFS(Resultados!$B$6:$B$5005,A49,Resultados!$G$6:$G$5005,"No aplica")</x:f>
        <x:v>0</x:v>
      </x:c>
      <x:c r="G49" s="18" t="n">
        <x:f>COUNTIFS(Resultados!$B$6:$B$5005,A49,Resultados!$G$6:$G$5005,"Pendiente")</x:f>
        <x:v>19</x:v>
      </x:c>
      <x:c r="H49" s="9" t="str">
        <x:v>Tipos retirados, canales no habilitados y catálogos ajenos</x:v>
      </x:c>
      <x:c r="I49" s="2"/>
    </x:row>
    <x:row r="50" ht="44" customHeight="1">
      <x:c r="A50" s="9" t="str">
        <x:v>PRE</x:v>
      </x:c>
      <x:c r="B50" s="18" t="n">
        <x:f>COUNTIFS(Resultados!$B$6:$B$5005,A50)</x:f>
        <x:v>12</x:v>
      </x:c>
      <x:c r="C50" s="18" t="n">
        <x:f>COUNTIFS(Resultados!$B$6:$B$5005,A50,Resultados!$G$6:$G$5005,"Aprobó")</x:f>
        <x:v>0</x:v>
      </x:c>
      <x:c r="D50" s="18" t="n">
        <x:f>COUNTIFS(Resultados!$B$6:$B$5005,A50,Resultados!$G$6:$G$5005,"Reprobó")</x:f>
        <x:v>0</x:v>
      </x:c>
      <x:c r="E50" s="18" t="n">
        <x:f>COUNTIFS(Resultados!$B$6:$B$5005,A50,Resultados!$G$6:$G$5005,"Bloqueada")</x:f>
        <x:v>0</x:v>
      </x:c>
      <x:c r="F50" s="18" t="n">
        <x:f>COUNTIFS(Resultados!$B$6:$B$5005,A50,Resultados!$G$6:$G$5005,"No aplica")</x:f>
        <x:v>0</x:v>
      </x:c>
      <x:c r="G50" s="18" t="n">
        <x:f>COUNTIFS(Resultados!$B$6:$B$5005,A50,Resultados!$G$6:$G$5005,"Pendiente")</x:f>
        <x:v>12</x:v>
      </x:c>
      <x:c r="H50" s="9" t="str">
        <x:v>Anticipos, deducciones y opciones condicionales</x:v>
      </x:c>
      <x:c r="I50" s="2"/>
    </x:row>
    <x:row r="51" ht="44" customHeight="1">
      <x:c r="A51" s="9" t="str">
        <x:v>COM</x:v>
      </x:c>
      <x:c r="B51" s="18" t="n">
        <x:f>COUNTIFS(Resultados!$B$6:$B$5005,A51)</x:f>
        <x:v>30</x:v>
      </x:c>
      <x:c r="C51" s="18" t="n">
        <x:f>COUNTIFS(Resultados!$B$6:$B$5005,A51,Resultados!$G$6:$G$5005,"Aprobó")</x:f>
        <x:v>0</x:v>
      </x:c>
      <x:c r="D51" s="18" t="n">
        <x:f>COUNTIFS(Resultados!$B$6:$B$5005,A51,Resultados!$G$6:$G$5005,"Reprobó")</x:f>
        <x:v>0</x:v>
      </x:c>
      <x:c r="E51" s="18" t="n">
        <x:f>COUNTIFS(Resultados!$B$6:$B$5005,A51,Resultados!$G$6:$G$5005,"Bloqueada")</x:f>
        <x:v>0</x:v>
      </x:c>
      <x:c r="F51" s="18" t="n">
        <x:f>COUNTIFS(Resultados!$B$6:$B$5005,A51,Resultados!$G$6:$G$5005,"No aplica")</x:f>
        <x:v>0</x:v>
      </x:c>
      <x:c r="G51" s="18" t="n">
        <x:f>COUNTIFS(Resultados!$B$6:$B$5005,A51,Resultados!$G$6:$G$5005,"Pendiente")</x:f>
        <x:v>30</x:v>
      </x:c>
      <x:c r="H51" s="9" t="str">
        <x:v>Matriz de moneda, IVA y condición comercial</x:v>
      </x:c>
      <x:c r="I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</x:row>
    <x:row r="55">
      <x:c r="A55" s="17" t="str">
        <x:v>Variantes registradas (conteo separado)</x:v>
      </x:c>
      <x:c r="B55" s="2"/>
      <x:c r="C55" s="2"/>
      <x:c r="D55" s="2"/>
      <x:c r="E55" s="2"/>
      <x:c r="F55" s="2"/>
      <x:c r="G55" s="2"/>
      <x:c r="H55" s="2"/>
      <x:c r="I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36" customHeight="1">
      <x:c r="A57" s="8" t="str">
        <x:v>Métrica de variantes</x:v>
      </x:c>
      <x:c r="B57" s="8" t="str">
        <x:v>Cantidad</x:v>
      </x:c>
      <x:c r="C57" s="2"/>
      <x:c r="D57" s="2"/>
      <x:c r="E57" s="2"/>
      <x:c r="F57" s="2"/>
      <x:c r="G57" s="2"/>
      <x:c r="H57" s="2"/>
      <x:c r="I57" s="2"/>
    </x:row>
    <x:row r="58" ht="25" customHeight="1">
      <x:c r="A58" s="2" t="str">
        <x:v>Total variantes</x:v>
      </x:c>
      <x:c r="B58" s="14" t="n">
        <x:f>COUNTA(Variantes!$A$6:$A$5005)</x:f>
        <x:v>0</x:v>
      </x:c>
      <x:c r="C58" s="2"/>
      <x:c r="D58" s="2"/>
      <x:c r="E58" s="2"/>
      <x:c r="F58" s="2"/>
      <x:c r="G58" s="2"/>
      <x:c r="H58" s="2"/>
      <x:c r="I58" s="2"/>
    </x:row>
    <x:row r="59" ht="25" customHeight="1">
      <x:c r="A59" s="2" t="str">
        <x:v>Aprobó</x:v>
      </x:c>
      <x:c r="B59" s="14" t="n">
        <x:f>COUNTIFS(Variantes!$G$6:$G$5005,"Aprobó")</x:f>
        <x:v>0</x:v>
      </x:c>
      <x:c r="C59" s="2"/>
      <x:c r="D59" s="2"/>
      <x:c r="E59" s="2"/>
      <x:c r="F59" s="2"/>
      <x:c r="G59" s="2"/>
      <x:c r="H59" s="2"/>
      <x:c r="I59" s="2"/>
    </x:row>
    <x:row r="60" ht="25" customHeight="1">
      <x:c r="A60" s="2" t="str">
        <x:v>Reprobó</x:v>
      </x:c>
      <x:c r="B60" s="14" t="n">
        <x:f>COUNTIFS(Variantes!$G$6:$G$5005,"Reprobó")</x:f>
        <x:v>0</x:v>
      </x:c>
      <x:c r="C60" s="2"/>
      <x:c r="D60" s="2"/>
      <x:c r="E60" s="2"/>
      <x:c r="F60" s="2"/>
      <x:c r="G60" s="2"/>
      <x:c r="H60" s="2"/>
      <x:c r="I60" s="2"/>
    </x:row>
    <x:row r="61" ht="25" customHeight="1">
      <x:c r="A61" s="2" t="str">
        <x:v>Bloqueada</x:v>
      </x:c>
      <x:c r="B61" s="14" t="n">
        <x:f>COUNTIFS(Variantes!$G$6:$G$5005,"Bloqueada")</x:f>
        <x:v>0</x:v>
      </x:c>
      <x:c r="C61" s="2"/>
      <x:c r="D61" s="2"/>
      <x:c r="E61" s="2"/>
      <x:c r="F61" s="2"/>
      <x:c r="G61" s="2"/>
      <x:c r="H61" s="2"/>
      <x:c r="I61" s="2"/>
    </x:row>
    <x:row r="62" ht="25" customHeight="1">
      <x:c r="A62" s="2" t="str">
        <x:v>No aplica</x:v>
      </x:c>
      <x:c r="B62" s="14" t="n">
        <x:f>COUNTIFS(Variantes!$G$6:$G$5005,"No aplica")</x:f>
        <x:v>0</x:v>
      </x:c>
      <x:c r="C62" s="2"/>
      <x:c r="D62" s="2"/>
      <x:c r="E62" s="2"/>
      <x:c r="F62" s="2"/>
      <x:c r="G62" s="2"/>
      <x:c r="H62" s="2"/>
      <x:c r="I62" s="2"/>
    </x:row>
    <x:row r="63" ht="25" customHeight="1">
      <x:c r="A63" s="2" t="str">
        <x:v>Pendiente</x:v>
      </x:c>
      <x:c r="B63" s="14" t="n">
        <x:f>COUNTIFS(Variantes!$G$6:$G$5005,"Pendiente")</x:f>
        <x:v>0</x:v>
      </x:c>
      <x:c r="C63" s="2"/>
      <x:c r="D63" s="2"/>
      <x:c r="E63" s="2"/>
      <x:c r="F63" s="2"/>
      <x:c r="G63" s="2"/>
      <x:c r="H63" s="2"/>
      <x:c r="I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</x:row>
  </x:sheetData>
  <x:conditionalFormatting sqref="B16:B16">
    <x:cfRule type="cellIs" dxfId="4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7678C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9" hidden="0" customWidth="1"/>
    <x:col min="2" max="2" width="10" hidden="0" customWidth="1"/>
    <x:col min="3" max="3" width="55" hidden="0" customWidth="1"/>
    <x:col min="4" max="4" width="12" hidden="0" customWidth="1"/>
    <x:col min="5" max="5" width="19" hidden="0" customWidth="1"/>
    <x:col min="6" max="6" width="31" hidden="0" customWidth="1"/>
    <x:col min="7" max="7" width="15" hidden="0" customWidth="1"/>
    <x:col min="8" max="8" width="64" hidden="0" customWidth="1"/>
    <x:col min="9" max="9" width="49" hidden="0" customWidth="1"/>
    <x:col min="10" max="10" width="49" hidden="0" customWidth="1"/>
    <x:col min="11" max="11" width="24" hidden="0" customWidth="1"/>
    <x:col min="12" max="12" width="25" hidden="0" customWidth="1"/>
    <x:col min="13" max="13" width="12" hidden="0" customWidth="1"/>
    <x:col min="14" max="14" width="4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7" customHeight="1">
      <x:c r="A2" s="3" t="str">
        <x:v>Registro de pruebas de facturación digital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5" customHeight="1">
      <x:c r="A3" s="2" t="str">
        <x:v>Medios digitales / DEMO. Complete estado y evidencia por ID. Fechas en America/Caracas.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 ht="36" customHeight="1">
      <x:c r="A5" s="8" t="str">
        <x:v>ID</x:v>
      </x:c>
      <x:c r="B5" s="8" t="str">
        <x:v>Grupo</x:v>
      </x:c>
      <x:c r="C5" s="8" t="str">
        <x:v>Caso</x:v>
      </x:c>
      <x:c r="D5" s="8" t="str">
        <x:v>Prioridad</x:v>
      </x:c>
      <x:c r="E5" s="8" t="str">
        <x:v>Clase</x:v>
      </x:c>
      <x:c r="F5" s="8" t="str">
        <x:v>Capa requerida</x:v>
      </x:c>
      <x:c r="G5" s="8" t="str">
        <x:v>Estado</x:v>
      </x:c>
      <x:c r="H5" s="8" t="str">
        <x:v>Resultado observado</x:v>
      </x:c>
      <x:c r="I5" s="8" t="str">
        <x:v>Evidencia</x:v>
      </x:c>
      <x:c r="J5" s="8" t="str">
        <x:v>Defecto / bloqueo</x:v>
      </x:c>
      <x:c r="K5" s="8" t="str">
        <x:v>Agente</x:v>
      </x:c>
      <x:c r="L5" s="8" t="str">
        <x:v>Fecha y hora Caracas</x:v>
      </x:c>
      <x:c r="M5" s="8" t="str">
        <x:v>Iteración</x:v>
      </x:c>
      <x:c r="N5" s="8" t="str">
        <x:v>Documento / operación</x:v>
      </x:c>
    </x:row>
    <x:row r="6" ht="25" customHeight="1">
      <x:c r="A6" s="9" t="str">
        <x:v>QA-ENT-001</x:v>
      </x:c>
      <x:c r="B6" s="9" t="str">
        <x:v>ENT</x:v>
      </x:c>
      <x:c r="C6" s="9" t="str">
        <x:v>Identificar la versión ejecutada</x:v>
      </x:c>
      <x:c r="D6" s="9" t="str">
        <x:v>P0</x:v>
      </x:c>
      <x:c r="E6" s="9" t="str">
        <x:v>Positiva</x:v>
      </x:c>
      <x:c r="F6" s="9" t="str">
        <x:v>Navegador + HTTP + persistencia</x:v>
      </x:c>
      <x:c r="G6" s="10" t="str">
        <x:v>Pendiente</x:v>
      </x:c>
      <x:c r="H6" s="10"/>
      <x:c r="I6" s="10"/>
      <x:c r="J6" s="10"/>
      <x:c r="K6" s="10"/>
      <x:c r="L6" s="11"/>
      <x:c r="M6" s="12"/>
      <x:c r="N6" s="10"/>
    </x:row>
    <x:row r="7" ht="25" customHeight="1">
      <x:c r="A7" s="9" t="str">
        <x:v>QA-ENT-002</x:v>
      </x:c>
      <x:c r="B7" s="9" t="str">
        <x:v>ENT</x:v>
      </x:c>
      <x:c r="C7" s="9" t="str">
        <x:v>Confirmar modalidad digital y ambiente DEMO</x:v>
      </x:c>
      <x:c r="D7" s="9" t="str">
        <x:v>P0</x:v>
      </x:c>
      <x:c r="E7" s="9" t="str">
        <x:v>Positiva</x:v>
      </x:c>
      <x:c r="F7" s="9" t="str">
        <x:v>Navegador + HTTP + persistencia</x:v>
      </x:c>
      <x:c r="G7" s="10" t="str">
        <x:v>Pendiente</x:v>
      </x:c>
      <x:c r="H7" s="10"/>
      <x:c r="I7" s="10"/>
      <x:c r="J7" s="10"/>
      <x:c r="K7" s="10"/>
      <x:c r="L7" s="11"/>
      <x:c r="M7" s="12"/>
      <x:c r="N7" s="10"/>
    </x:row>
    <x:row r="8" ht="25" customHeight="1">
      <x:c r="A8" s="9" t="str">
        <x:v>QA-ENT-003</x:v>
      </x:c>
      <x:c r="B8" s="9" t="str">
        <x:v>ENT</x:v>
      </x:c>
      <x:c r="C8" s="9" t="str">
        <x:v>Verificar separación de datos QA</x:v>
      </x:c>
      <x:c r="D8" s="9" t="str">
        <x:v>P0</x:v>
      </x:c>
      <x:c r="E8" s="9" t="str">
        <x:v>Positiva</x:v>
      </x:c>
      <x:c r="F8" s="9" t="str">
        <x:v>Navegador + HTTP + persistencia</x:v>
      </x:c>
      <x:c r="G8" s="10" t="str">
        <x:v>Pendiente</x:v>
      </x:c>
      <x:c r="H8" s="10"/>
      <x:c r="I8" s="10"/>
      <x:c r="J8" s="10"/>
      <x:c r="K8" s="10"/>
      <x:c r="L8" s="11"/>
      <x:c r="M8" s="12"/>
      <x:c r="N8" s="10"/>
    </x:row>
    <x:row r="9" ht="25" customHeight="1">
      <x:c r="A9" s="9" t="str">
        <x:v>QA-ENT-004</x:v>
      </x:c>
      <x:c r="B9" s="9" t="str">
        <x:v>ENT</x:v>
      </x:c>
      <x:c r="C9" s="9" t="str">
        <x:v>Inventariar todas las opciones visibles</x:v>
      </x:c>
      <x:c r="D9" s="9" t="str">
        <x:v>P0</x:v>
      </x:c>
      <x:c r="E9" s="9" t="str">
        <x:v>Positiva</x:v>
      </x:c>
      <x:c r="F9" s="9" t="str">
        <x:v>Navegador + HTTP + persistencia</x:v>
      </x:c>
      <x:c r="G9" s="10" t="str">
        <x:v>Pendiente</x:v>
      </x:c>
      <x:c r="H9" s="10"/>
      <x:c r="I9" s="10"/>
      <x:c r="J9" s="10"/>
      <x:c r="K9" s="10"/>
      <x:c r="L9" s="11"/>
      <x:c r="M9" s="12"/>
      <x:c r="N9" s="10"/>
    </x:row>
    <x:row r="10" ht="25" customHeight="1">
      <x:c r="A10" s="9" t="str">
        <x:v>QA-ENT-005</x:v>
      </x:c>
      <x:c r="B10" s="9" t="str">
        <x:v>ENT</x:v>
      </x:c>
      <x:c r="C10" s="9" t="str">
        <x:v>Inventariar módulos y canales instalados</x:v>
      </x:c>
      <x:c r="D10" s="9" t="str">
        <x:v>P1</x:v>
      </x:c>
      <x:c r="E10" s="9" t="str">
        <x:v>Positiva</x:v>
      </x:c>
      <x:c r="F10" s="9" t="str">
        <x:v>Navegador + HTTP + persistencia</x:v>
      </x:c>
      <x:c r="G10" s="10" t="str">
        <x:v>Pendiente</x:v>
      </x:c>
      <x:c r="H10" s="10"/>
      <x:c r="I10" s="10"/>
      <x:c r="J10" s="10"/>
      <x:c r="K10" s="10"/>
      <x:c r="L10" s="11"/>
      <x:c r="M10" s="12"/>
      <x:c r="N10" s="10"/>
    </x:row>
    <x:row r="11" ht="25" customHeight="1">
      <x:c r="A11" s="9" t="str">
        <x:v>QA-ENT-006</x:v>
      </x:c>
      <x:c r="B11" s="9" t="str">
        <x:v>ENT</x:v>
      </x:c>
      <x:c r="C11" s="9" t="str">
        <x:v>Preparar caja, bancos y permisos</x:v>
      </x:c>
      <x:c r="D11" s="9" t="str">
        <x:v>P0</x:v>
      </x:c>
      <x:c r="E11" s="9" t="str">
        <x:v>Positiva</x:v>
      </x:c>
      <x:c r="F11" s="9" t="str">
        <x:v>Navegador + HTTP + persistencia</x:v>
      </x:c>
      <x:c r="G11" s="10" t="str">
        <x:v>Pendiente</x:v>
      </x:c>
      <x:c r="H11" s="10"/>
      <x:c r="I11" s="10"/>
      <x:c r="J11" s="10"/>
      <x:c r="K11" s="10"/>
      <x:c r="L11" s="11"/>
      <x:c r="M11" s="12"/>
      <x:c r="N11" s="10"/>
    </x:row>
    <x:row r="12" ht="25" customHeight="1">
      <x:c r="A12" s="9" t="str">
        <x:v>QA-ENT-007</x:v>
      </x:c>
      <x:c r="B12" s="9" t="str">
        <x:v>ENT</x:v>
      </x:c>
      <x:c r="C12" s="9" t="str">
        <x:v>Preparar compradores domésticos</x:v>
      </x:c>
      <x:c r="D12" s="9" t="str">
        <x:v>P1</x:v>
      </x:c>
      <x:c r="E12" s="9" t="str">
        <x:v>Positiva</x:v>
      </x:c>
      <x:c r="F12" s="9" t="str">
        <x:v>Navegador + HTTP + persistencia</x:v>
      </x:c>
      <x:c r="G12" s="10" t="str">
        <x:v>Pendiente</x:v>
      </x:c>
      <x:c r="H12" s="10"/>
      <x:c r="I12" s="10"/>
      <x:c r="J12" s="10"/>
      <x:c r="K12" s="10"/>
      <x:c r="L12" s="11"/>
      <x:c r="M12" s="12"/>
      <x:c r="N12" s="10"/>
    </x:row>
    <x:row r="13" ht="25" customHeight="1">
      <x:c r="A13" s="9" t="str">
        <x:v>QA-ENT-008</x:v>
      </x:c>
      <x:c r="B13" s="9" t="str">
        <x:v>ENT</x:v>
      </x:c>
      <x:c r="C13" s="9" t="str">
        <x:v>Preparar compradores ND y terceros</x:v>
      </x:c>
      <x:c r="D13" s="9" t="str">
        <x:v>P1</x:v>
      </x:c>
      <x:c r="E13" s="9" t="str">
        <x:v>Positiva</x:v>
      </x:c>
      <x:c r="F13" s="9" t="str">
        <x:v>Navegador + HTTP + persistencia</x:v>
      </x:c>
      <x:c r="G13" s="10" t="str">
        <x:v>Pendiente</x:v>
      </x:c>
      <x:c r="H13" s="10"/>
      <x:c r="I13" s="10"/>
      <x:c r="J13" s="10"/>
      <x:c r="K13" s="10"/>
      <x:c r="L13" s="11"/>
      <x:c r="M13" s="12"/>
      <x:c r="N13" s="10"/>
    </x:row>
    <x:row r="14" ht="25" customHeight="1">
      <x:c r="A14" s="9" t="str">
        <x:v>QA-ENT-009</x:v>
      </x:c>
      <x:c r="B14" s="9" t="str">
        <x:v>ENT</x:v>
      </x:c>
      <x:c r="C14" s="9" t="str">
        <x:v>Preparar productos y stock</x:v>
      </x:c>
      <x:c r="D14" s="9" t="str">
        <x:v>P1</x:v>
      </x:c>
      <x:c r="E14" s="9" t="str">
        <x:v>Positiva</x:v>
      </x:c>
      <x:c r="F14" s="9" t="str">
        <x:v>Navegador + HTTP + persistencia</x:v>
      </x:c>
      <x:c r="G14" s="10" t="str">
        <x:v>Pendiente</x:v>
      </x:c>
      <x:c r="H14" s="10"/>
      <x:c r="I14" s="10"/>
      <x:c r="J14" s="10"/>
      <x:c r="K14" s="10"/>
      <x:c r="L14" s="11"/>
      <x:c r="M14" s="12"/>
      <x:c r="N14" s="10"/>
    </x:row>
    <x:row r="15" ht="25" customHeight="1">
      <x:c r="A15" s="9" t="str">
        <x:v>QA-ENT-010</x:v>
      </x:c>
      <x:c r="B15" s="9" t="str">
        <x:v>ENT</x:v>
      </x:c>
      <x:c r="C15" s="9" t="str">
        <x:v>Preparar estados fiscales controlados</x:v>
      </x:c>
      <x:c r="D15" s="9" t="str">
        <x:v>P0</x:v>
      </x:c>
      <x:c r="E15" s="9" t="str">
        <x:v>Simulación</x:v>
      </x:c>
      <x:c r="F15" s="9" t="str">
        <x:v>Navegador + HTTP + persistencia</x:v>
      </x:c>
      <x:c r="G15" s="10" t="str">
        <x:v>Pendiente</x:v>
      </x:c>
      <x:c r="H15" s="10"/>
      <x:c r="I15" s="10"/>
      <x:c r="J15" s="10"/>
      <x:c r="K15" s="10"/>
      <x:c r="L15" s="11"/>
      <x:c r="M15" s="12"/>
      <x:c r="N15" s="10"/>
    </x:row>
    <x:row r="16" ht="25" customHeight="1">
      <x:c r="A16" s="9" t="str">
        <x:v>QA-ENT-011</x:v>
      </x:c>
      <x:c r="B16" s="9" t="str">
        <x:v>ENT</x:v>
      </x:c>
      <x:c r="C16" s="9" t="str">
        <x:v>Preparar fallos y evidencias</x:v>
      </x:c>
      <x:c r="D16" s="9" t="str">
        <x:v>P1</x:v>
      </x:c>
      <x:c r="E16" s="9" t="str">
        <x:v>Positiva</x:v>
      </x:c>
      <x:c r="F16" s="9" t="str">
        <x:v>Navegador + HTTP + persistencia</x:v>
      </x:c>
      <x:c r="G16" s="10" t="str">
        <x:v>Pendiente</x:v>
      </x:c>
      <x:c r="H16" s="10"/>
      <x:c r="I16" s="10"/>
      <x:c r="J16" s="10"/>
      <x:c r="K16" s="10"/>
      <x:c r="L16" s="11"/>
      <x:c r="M16" s="12"/>
      <x:c r="N16" s="10"/>
    </x:row>
    <x:row r="17" ht="25" customHeight="1">
      <x:c r="A17" s="9" t="str">
        <x:v>QA-ENT-012</x:v>
      </x:c>
      <x:c r="B17" s="9" t="str">
        <x:v>ENT</x:v>
      </x:c>
      <x:c r="C17" s="9" t="str">
        <x:v>Comprobar el registro de ejecución</x:v>
      </x:c>
      <x:c r="D17" s="9" t="str">
        <x:v>P1</x:v>
      </x:c>
      <x:c r="E17" s="9" t="str">
        <x:v>Positiva</x:v>
      </x:c>
      <x:c r="F17" s="9" t="str">
        <x:v>Navegador + HTTP + persistencia</x:v>
      </x:c>
      <x:c r="G17" s="10" t="str">
        <x:v>Pendiente</x:v>
      </x:c>
      <x:c r="H17" s="10"/>
      <x:c r="I17" s="10"/>
      <x:c r="J17" s="10"/>
      <x:c r="K17" s="10"/>
      <x:c r="L17" s="11"/>
      <x:c r="M17" s="12"/>
      <x:c r="N17" s="10"/>
    </x:row>
    <x:row r="18" ht="25" customHeight="1">
      <x:c r="A18" s="9" t="str">
        <x:v>QA-CFG-001</x:v>
      </x:c>
      <x:c r="B18" s="9" t="str">
        <x:v>CFG</x:v>
      </x:c>
      <x:c r="C18" s="9" t="str">
        <x:v>Guardar digital sin credenciales</x:v>
      </x:c>
      <x:c r="D18" s="9" t="str">
        <x:v>P1</x:v>
      </x:c>
      <x:c r="E18" s="9" t="str">
        <x:v>Positiva</x:v>
      </x:c>
      <x:c r="F18" s="9" t="str">
        <x:v>Navegador + HTTP + persistencia</x:v>
      </x:c>
      <x:c r="G18" s="10" t="str">
        <x:v>Pendiente</x:v>
      </x:c>
      <x:c r="H18" s="10"/>
      <x:c r="I18" s="10"/>
      <x:c r="J18" s="10"/>
      <x:c r="K18" s="10"/>
      <x:c r="L18" s="11"/>
      <x:c r="M18" s="12"/>
      <x:c r="N18" s="10"/>
    </x:row>
    <x:row r="19" ht="25" customHeight="1">
      <x:c r="A19" s="9" t="str">
        <x:v>QA-CFG-002</x:v>
      </x:c>
      <x:c r="B19" s="9" t="str">
        <x:v>CFG</x:v>
      </x:c>
      <x:c r="C19" s="9" t="str">
        <x:v>Autenticar con datos válidos</x:v>
      </x:c>
      <x:c r="D19" s="9" t="str">
        <x:v>P0</x:v>
      </x:c>
      <x:c r="E19" s="9" t="str">
        <x:v>Positiva</x:v>
      </x:c>
      <x:c r="F19" s="9" t="str">
        <x:v>Navegador + HTTP + persistencia</x:v>
      </x:c>
      <x:c r="G19" s="10" t="str">
        <x:v>Pendiente</x:v>
      </x:c>
      <x:c r="H19" s="10"/>
      <x:c r="I19" s="10"/>
      <x:c r="J19" s="10"/>
      <x:c r="K19" s="10"/>
      <x:c r="L19" s="11"/>
      <x:c r="M19" s="12"/>
      <x:c r="N19" s="10"/>
    </x:row>
    <x:row r="20" ht="25" customHeight="1">
      <x:c r="A20" s="9" t="str">
        <x:v>QA-CFG-003</x:v>
      </x:c>
      <x:c r="B20" s="9" t="str">
        <x:v>CFG</x:v>
      </x:c>
      <x:c r="C20" s="9" t="str">
        <x:v>Credenciales incorrectas</x:v>
      </x:c>
      <x:c r="D20" s="9" t="str">
        <x:v>P0</x:v>
      </x:c>
      <x:c r="E20" s="9" t="str">
        <x:v>Negativa</x:v>
      </x:c>
      <x:c r="F20" s="9" t="str">
        <x:v>Navegador + HTTP + persistencia</x:v>
      </x:c>
      <x:c r="G20" s="10" t="str">
        <x:v>Pendiente</x:v>
      </x:c>
      <x:c r="H20" s="10"/>
      <x:c r="I20" s="10"/>
      <x:c r="J20" s="10"/>
      <x:c r="K20" s="10"/>
      <x:c r="L20" s="11"/>
      <x:c r="M20" s="12"/>
      <x:c r="N20" s="10"/>
    </x:row>
    <x:row r="21" ht="25" customHeight="1">
      <x:c r="A21" s="9" t="str">
        <x:v>QA-CFG-004</x:v>
      </x:c>
      <x:c r="B21" s="9" t="str">
        <x:v>CFG</x:v>
      </x:c>
      <x:c r="C21" s="9" t="str">
        <x:v>Autenticación incompleta</x:v>
      </x:c>
      <x:c r="D21" s="9" t="str">
        <x:v>P1</x:v>
      </x:c>
      <x:c r="E21" s="9" t="str">
        <x:v>Negativa</x:v>
      </x:c>
      <x:c r="F21" s="9" t="str">
        <x:v>Navegador + HTTP + persistencia</x:v>
      </x:c>
      <x:c r="G21" s="10" t="str">
        <x:v>Pendiente</x:v>
      </x:c>
      <x:c r="H21" s="10"/>
      <x:c r="I21" s="10"/>
      <x:c r="J21" s="10"/>
      <x:c r="K21" s="10"/>
      <x:c r="L21" s="11"/>
      <x:c r="M21" s="12"/>
      <x:c r="N21" s="10"/>
    </x:row>
    <x:row r="22" ht="25" customHeight="1">
      <x:c r="A22" s="9" t="str">
        <x:v>QA-CFG-005</x:v>
      </x:c>
      <x:c r="B22" s="9" t="str">
        <x:v>CFG</x:v>
      </x:c>
      <x:c r="C22" s="9" t="str">
        <x:v>Timeout de autenticación</x:v>
      </x:c>
      <x:c r="D22" s="9" t="str">
        <x:v>P1</x:v>
      </x:c>
      <x:c r="E22" s="9" t="str">
        <x:v>Negativa</x:v>
      </x:c>
      <x:c r="F22" s="9" t="str">
        <x:v>Navegador + HTTP + persistencia</x:v>
      </x:c>
      <x:c r="G22" s="10" t="str">
        <x:v>Pendiente</x:v>
      </x:c>
      <x:c r="H22" s="10"/>
      <x:c r="I22" s="10"/>
      <x:c r="J22" s="10"/>
      <x:c r="K22" s="10"/>
      <x:c r="L22" s="11"/>
      <x:c r="M22" s="12"/>
      <x:c r="N22" s="10"/>
    </x:row>
    <x:row r="23" ht="25" customHeight="1">
      <x:c r="A23" s="9" t="str">
        <x:v>QA-CFG-006</x:v>
      </x:c>
      <x:c r="B23" s="9" t="str">
        <x:v>CFG</x:v>
      </x:c>
      <x:c r="C23" s="9" t="str">
        <x:v>Campos vacíos conservan secreto</x:v>
      </x:c>
      <x:c r="D23" s="9" t="str">
        <x:v>P1</x:v>
      </x:c>
      <x:c r="E23" s="9" t="str">
        <x:v>Positiva</x:v>
      </x:c>
      <x:c r="F23" s="9" t="str">
        <x:v>Navegador + HTTP + persistencia</x:v>
      </x:c>
      <x:c r="G23" s="10" t="str">
        <x:v>Pendiente</x:v>
      </x:c>
      <x:c r="H23" s="10"/>
      <x:c r="I23" s="10"/>
      <x:c r="J23" s="10"/>
      <x:c r="K23" s="10"/>
      <x:c r="L23" s="11"/>
      <x:c r="M23" s="12"/>
      <x:c r="N23" s="10"/>
    </x:row>
    <x:row r="24" ht="25" customHeight="1">
      <x:c r="A24" s="9" t="str">
        <x:v>QA-CFG-007</x:v>
      </x:c>
      <x:c r="B24" s="9" t="str">
        <x:v>CFG</x:v>
      </x:c>
      <x:c r="C24" s="9" t="str">
        <x:v>Borrado explícito de credenciales</x:v>
      </x:c>
      <x:c r="D24" s="9" t="str">
        <x:v>P1</x:v>
      </x:c>
      <x:c r="E24" s="9" t="str">
        <x:v>Negativa</x:v>
      </x:c>
      <x:c r="F24" s="9" t="str">
        <x:v>Navegador + HTTP + persistencia</x:v>
      </x:c>
      <x:c r="G24" s="10" t="str">
        <x:v>Pendiente</x:v>
      </x:c>
      <x:c r="H24" s="10"/>
      <x:c r="I24" s="10"/>
      <x:c r="J24" s="10"/>
      <x:c r="K24" s="10"/>
      <x:c r="L24" s="11"/>
      <x:c r="M24" s="12"/>
      <x:c r="N24" s="10"/>
    </x:row>
    <x:row r="25" ht="25" customHeight="1">
      <x:c r="A25" s="9" t="str">
        <x:v>QA-CFG-008</x:v>
      </x:c>
      <x:c r="B25" s="9" t="str">
        <x:v>CFG</x:v>
      </x:c>
      <x:c r="C25" s="9" t="str">
        <x:v>Permisos sobre configuración fiscal</x:v>
      </x:c>
      <x:c r="D25" s="9" t="str">
        <x:v>P0</x:v>
      </x:c>
      <x:c r="E25" s="9" t="str">
        <x:v>Seguridad</x:v>
      </x:c>
      <x:c r="F25" s="9" t="str">
        <x:v>Navegador + HTTP + persistencia</x:v>
      </x:c>
      <x:c r="G25" s="10" t="str">
        <x:v>Pendiente</x:v>
      </x:c>
      <x:c r="H25" s="10"/>
      <x:c r="I25" s="10"/>
      <x:c r="J25" s="10"/>
      <x:c r="K25" s="10"/>
      <x:c r="L25" s="11"/>
      <x:c r="M25" s="12"/>
      <x:c r="N25" s="10"/>
    </x:row>
    <x:row r="26" ht="25" customHeight="1">
      <x:c r="A26" s="9" t="str">
        <x:v>QA-CFG-009</x:v>
      </x:c>
      <x:c r="B26" s="9" t="str">
        <x:v>CFG</x:v>
      </x:c>
      <x:c r="C26" s="9" t="str">
        <x:v>El editor general no cambia datos fiscales</x:v>
      </x:c>
      <x:c r="D26" s="9" t="str">
        <x:v>P0</x:v>
      </x:c>
      <x:c r="E26" s="9" t="str">
        <x:v>Negativa</x:v>
      </x:c>
      <x:c r="F26" s="9" t="str">
        <x:v>Navegador + HTTP + persistencia</x:v>
      </x:c>
      <x:c r="G26" s="10" t="str">
        <x:v>Pendiente</x:v>
      </x:c>
      <x:c r="H26" s="10"/>
      <x:c r="I26" s="10"/>
      <x:c r="J26" s="10"/>
      <x:c r="K26" s="10"/>
      <x:c r="L26" s="11"/>
      <x:c r="M26" s="12"/>
      <x:c r="N26" s="10"/>
    </x:row>
    <x:row r="27" ht="25" customHeight="1">
      <x:c r="A27" s="9" t="str">
        <x:v>QA-CFG-010</x:v>
      </x:c>
      <x:c r="B27" s="9" t="str">
        <x:v>CFG</x:v>
      </x:c>
      <x:c r="C27" s="9" t="str">
        <x:v>Ambiente bloqueado después de operar</x:v>
      </x:c>
      <x:c r="D27" s="9" t="str">
        <x:v>P0</x:v>
      </x:c>
      <x:c r="E27" s="9" t="str">
        <x:v>Negativa</x:v>
      </x:c>
      <x:c r="F27" s="9" t="str">
        <x:v>Navegador + HTTP + persistencia</x:v>
      </x:c>
      <x:c r="G27" s="10" t="str">
        <x:v>Pendiente</x:v>
      </x:c>
      <x:c r="H27" s="10"/>
      <x:c r="I27" s="10"/>
      <x:c r="J27" s="10"/>
      <x:c r="K27" s="10"/>
      <x:c r="L27" s="11"/>
      <x:c r="M27" s="12"/>
      <x:c r="N27" s="10"/>
    </x:row>
    <x:row r="28" ht="25" customHeight="1">
      <x:c r="A28" s="9" t="str">
        <x:v>QA-CFG-011</x:v>
      </x:c>
      <x:c r="B28" s="9" t="str">
        <x:v>CFG</x:v>
      </x:c>
      <x:c r="C28" s="9" t="str">
        <x:v>Ambiente enviado por el cliente</x:v>
      </x:c>
      <x:c r="D28" s="9" t="str">
        <x:v>P0</x:v>
      </x:c>
      <x:c r="E28" s="9" t="str">
        <x:v>Seguridad</x:v>
      </x:c>
      <x:c r="F28" s="9" t="str">
        <x:v>Navegador + HTTP + persistencia</x:v>
      </x:c>
      <x:c r="G28" s="10" t="str">
        <x:v>Pendiente</x:v>
      </x:c>
      <x:c r="H28" s="10"/>
      <x:c r="I28" s="10"/>
      <x:c r="J28" s="10"/>
      <x:c r="K28" s="10"/>
      <x:c r="L28" s="11"/>
      <x:c r="M28" s="12"/>
      <x:c r="N28" s="10"/>
    </x:row>
    <x:row r="29" ht="25" customHeight="1">
      <x:c r="A29" s="9" t="str">
        <x:v>QA-CFG-012</x:v>
      </x:c>
      <x:c r="B29" s="9" t="str">
        <x:v>CFG</x:v>
      </x:c>
      <x:c r="C29" s="9" t="str">
        <x:v>Auditoría fiscal sin secretos</x:v>
      </x:c>
      <x:c r="D29" s="9" t="str">
        <x:v>P0</x:v>
      </x:c>
      <x:c r="E29" s="9" t="str">
        <x:v>Seguridad</x:v>
      </x:c>
      <x:c r="F29" s="9" t="str">
        <x:v>Navegador + HTTP + persistencia</x:v>
      </x:c>
      <x:c r="G29" s="10" t="str">
        <x:v>Pendiente</x:v>
      </x:c>
      <x:c r="H29" s="10"/>
      <x:c r="I29" s="10"/>
      <x:c r="J29" s="10"/>
      <x:c r="K29" s="10"/>
      <x:c r="L29" s="11"/>
      <x:c r="M29" s="12"/>
      <x:c r="N29" s="10"/>
    </x:row>
    <x:row r="30" ht="25" customHeight="1">
      <x:c r="A30" s="9" t="str">
        <x:v>QA-CFG-013</x:v>
      </x:c>
      <x:c r="B30" s="9" t="str">
        <x:v>CFG</x:v>
      </x:c>
      <x:c r="C30" s="9" t="str">
        <x:v>IGTF deshabilitado inicialmente</x:v>
      </x:c>
      <x:c r="D30" s="9" t="str">
        <x:v>P1</x:v>
      </x:c>
      <x:c r="E30" s="9" t="str">
        <x:v>Negativa</x:v>
      </x:c>
      <x:c r="F30" s="9" t="str">
        <x:v>Navegador + HTTP + persistencia</x:v>
      </x:c>
      <x:c r="G30" s="10" t="str">
        <x:v>Pendiente</x:v>
      </x:c>
      <x:c r="H30" s="10"/>
      <x:c r="I30" s="10"/>
      <x:c r="J30" s="10"/>
      <x:c r="K30" s="10"/>
      <x:c r="L30" s="11"/>
      <x:c r="M30" s="12"/>
      <x:c r="N30" s="10"/>
    </x:row>
    <x:row r="31" ht="25" customHeight="1">
      <x:c r="A31" s="9" t="str">
        <x:v>QA-CFG-014</x:v>
      </x:c>
      <x:c r="B31" s="9" t="str">
        <x:v>CFG</x:v>
      </x:c>
      <x:c r="C31" s="9" t="str">
        <x:v>Configurar IGTF operativo</x:v>
      </x:c>
      <x:c r="D31" s="9" t="str">
        <x:v>P1</x:v>
      </x:c>
      <x:c r="E31" s="9" t="str">
        <x:v>Positiva</x:v>
      </x:c>
      <x:c r="F31" s="9" t="str">
        <x:v>Navegador + HTTP + persistencia</x:v>
      </x:c>
      <x:c r="G31" s="10" t="str">
        <x:v>Pendiente</x:v>
      </x:c>
      <x:c r="H31" s="10"/>
      <x:c r="I31" s="10"/>
      <x:c r="J31" s="10"/>
      <x:c r="K31" s="10"/>
      <x:c r="L31" s="11"/>
      <x:c r="M31" s="12"/>
      <x:c r="N31" s="10"/>
    </x:row>
    <x:row r="32" ht="25" customHeight="1">
      <x:c r="A32" s="9" t="str">
        <x:v>QA-CFG-015</x:v>
      </x:c>
      <x:c r="B32" s="9" t="str">
        <x:v>CFG</x:v>
      </x:c>
      <x:c r="C32" s="9" t="str">
        <x:v>Rechazar IGTF sin tasa o fuera de rango</x:v>
      </x:c>
      <x:c r="D32" s="9" t="str">
        <x:v>P1</x:v>
      </x:c>
      <x:c r="E32" s="9" t="str">
        <x:v>Negativa</x:v>
      </x:c>
      <x:c r="F32" s="9" t="str">
        <x:v>Navegador + HTTP + persistencia</x:v>
      </x:c>
      <x:c r="G32" s="10" t="str">
        <x:v>Pendiente</x:v>
      </x:c>
      <x:c r="H32" s="10"/>
      <x:c r="I32" s="10"/>
      <x:c r="J32" s="10"/>
      <x:c r="K32" s="10"/>
      <x:c r="L32" s="11"/>
      <x:c r="M32" s="12"/>
      <x:c r="N32" s="10"/>
    </x:row>
    <x:row r="33" ht="25" customHeight="1">
      <x:c r="A33" s="9" t="str">
        <x:v>QA-CFG-016</x:v>
      </x:c>
      <x:c r="B33" s="9" t="str">
        <x:v>CFG</x:v>
      </x:c>
      <x:c r="C33" s="9" t="str">
        <x:v>Catálogos efectivos de facturación</x:v>
      </x:c>
      <x:c r="D33" s="9" t="str">
        <x:v>P1</x:v>
      </x:c>
      <x:c r="E33" s="9" t="str">
        <x:v>Positiva</x:v>
      </x:c>
      <x:c r="F33" s="9" t="str">
        <x:v>Navegador + HTTP + persistencia</x:v>
      </x:c>
      <x:c r="G33" s="10" t="str">
        <x:v>Pendiente</x:v>
      </x:c>
      <x:c r="H33" s="10"/>
      <x:c r="I33" s="10"/>
      <x:c r="J33" s="10"/>
      <x:c r="K33" s="10"/>
      <x:c r="L33" s="11"/>
      <x:c r="M33" s="12"/>
      <x:c r="N33" s="10"/>
    </x:row>
    <x:row r="34" ht="25" customHeight="1">
      <x:c r="A34" s="9" t="str">
        <x:v>QA-CFG-017</x:v>
      </x:c>
      <x:c r="B34" s="9" t="str">
        <x:v>CFG</x:v>
      </x:c>
      <x:c r="C34" s="9" t="str">
        <x:v>Bloqueo de producción digital</x:v>
      </x:c>
      <x:c r="D34" s="9" t="str">
        <x:v>P0</x:v>
      </x:c>
      <x:c r="E34" s="9" t="str">
        <x:v>Negativa</x:v>
      </x:c>
      <x:c r="F34" s="9" t="str">
        <x:v>Navegador + HTTP + persistencia</x:v>
      </x:c>
      <x:c r="G34" s="10" t="str">
        <x:v>Pendiente</x:v>
      </x:c>
      <x:c r="H34" s="10"/>
      <x:c r="I34" s="10"/>
      <x:c r="J34" s="10"/>
      <x:c r="K34" s="10"/>
      <x:c r="L34" s="11"/>
      <x:c r="M34" s="12"/>
      <x:c r="N34" s="10"/>
    </x:row>
    <x:row r="35" ht="25" customHeight="1">
      <x:c r="A35" s="9" t="str">
        <x:v>QA-NUM-001</x:v>
      </x:c>
      <x:c r="B35" s="9" t="str">
        <x:v>NUM</x:v>
      </x:c>
      <x:c r="C35" s="9" t="str">
        <x:v>Series iniciales del tenant digital</x:v>
      </x:c>
      <x:c r="D35" s="9" t="str">
        <x:v>P1</x:v>
      </x:c>
      <x:c r="E35" s="9" t="str">
        <x:v>Positiva</x:v>
      </x:c>
      <x:c r="F35" s="9" t="str">
        <x:v>Navegador + HTTP + persistencia</x:v>
      </x:c>
      <x:c r="G35" s="10" t="str">
        <x:v>Pendiente</x:v>
      </x:c>
      <x:c r="H35" s="10"/>
      <x:c r="I35" s="10"/>
      <x:c r="J35" s="10"/>
      <x:c r="K35" s="10"/>
      <x:c r="L35" s="11"/>
      <x:c r="M35" s="12"/>
      <x:c r="N35" s="10"/>
    </x:row>
    <x:row r="36" ht="25" customHeight="1">
      <x:c r="A36" s="9" t="str">
        <x:v>QA-NUM-002</x:v>
      </x:c>
      <x:c r="B36" s="9" t="str">
        <x:v>NUM</x:v>
      </x:c>
      <x:c r="C36" s="9" t="str">
        <x:v>Crear serie vacía</x:v>
      </x:c>
      <x:c r="D36" s="9" t="str">
        <x:v>P1</x:v>
      </x:c>
      <x:c r="E36" s="9" t="str">
        <x:v>Positiva</x:v>
      </x:c>
      <x:c r="F36" s="9" t="str">
        <x:v>Navegador + HTTP + persistencia</x:v>
      </x:c>
      <x:c r="G36" s="10" t="str">
        <x:v>Pendiente</x:v>
      </x:c>
      <x:c r="H36" s="10"/>
      <x:c r="I36" s="10"/>
      <x:c r="J36" s="10"/>
      <x:c r="K36" s="10"/>
      <x:c r="L36" s="11"/>
      <x:c r="M36" s="12"/>
      <x:c r="N36" s="10"/>
    </x:row>
    <x:row r="37" ht="25" customHeight="1">
      <x:c r="A37" s="9" t="str">
        <x:v>QA-NUM-003</x:v>
      </x:c>
      <x:c r="B37" s="9" t="str">
        <x:v>NUM</x:v>
      </x:c>
      <x:c r="C37" s="9" t="str">
        <x:v>Normalizar serie con guiones</x:v>
      </x:c>
      <x:c r="D37" s="9" t="str">
        <x:v>P1</x:v>
      </x:c>
      <x:c r="E37" s="9" t="str">
        <x:v>Positiva</x:v>
      </x:c>
      <x:c r="F37" s="9" t="str">
        <x:v>Navegador + HTTP + persistencia</x:v>
      </x:c>
      <x:c r="G37" s="10" t="str">
        <x:v>Pendiente</x:v>
      </x:c>
      <x:c r="H37" s="10"/>
      <x:c r="I37" s="10"/>
      <x:c r="J37" s="10"/>
      <x:c r="K37" s="10"/>
      <x:c r="L37" s="11"/>
      <x:c r="M37" s="12"/>
      <x:c r="N37" s="10"/>
    </x:row>
    <x:row r="38" ht="25" customHeight="1">
      <x:c r="A38" s="9" t="str">
        <x:v>QA-NUM-004</x:v>
      </x:c>
      <x:c r="B38" s="9" t="str">
        <x:v>NUM</x:v>
      </x:c>
      <x:c r="C38" s="9" t="str">
        <x:v>Longitud y caracteres de serie</x:v>
      </x:c>
      <x:c r="D38" s="9" t="str">
        <x:v>P1</x:v>
      </x:c>
      <x:c r="E38" s="9" t="str">
        <x:v>Negativa</x:v>
      </x:c>
      <x:c r="F38" s="9" t="str">
        <x:v>Navegador + HTTP + persistencia</x:v>
      </x:c>
      <x:c r="G38" s="10" t="str">
        <x:v>Pendiente</x:v>
      </x:c>
      <x:c r="H38" s="10"/>
      <x:c r="I38" s="10"/>
      <x:c r="J38" s="10"/>
      <x:c r="K38" s="10"/>
      <x:c r="L38" s="11"/>
      <x:c r="M38" s="12"/>
      <x:c r="N38" s="10"/>
    </x:row>
    <x:row r="39" ht="25" customHeight="1">
      <x:c r="A39" s="9" t="str">
        <x:v>QA-NUM-005</x:v>
      </x:c>
      <x:c r="B39" s="9" t="str">
        <x:v>NUM</x:v>
      </x:c>
      <x:c r="C39" s="9" t="str">
        <x:v>Prefijo libre en tipo vigente</x:v>
      </x:c>
      <x:c r="D39" s="9" t="str">
        <x:v>P1</x:v>
      </x:c>
      <x:c r="E39" s="9" t="str">
        <x:v>Positiva</x:v>
      </x:c>
      <x:c r="F39" s="9" t="str">
        <x:v>Navegador + HTTP + persistencia</x:v>
      </x:c>
      <x:c r="G39" s="10" t="str">
        <x:v>Pendiente</x:v>
      </x:c>
      <x:c r="H39" s="10"/>
      <x:c r="I39" s="10"/>
      <x:c r="J39" s="10"/>
      <x:c r="K39" s="10"/>
      <x:c r="L39" s="11"/>
      <x:c r="M39" s="12"/>
      <x:c r="N39" s="10"/>
    </x:row>
    <x:row r="40" ht="25" customHeight="1">
      <x:c r="A40" s="9" t="str">
        <x:v>QA-NUM-006</x:v>
      </x:c>
      <x:c r="B40" s="9" t="str">
        <x:v>NUM</x:v>
      </x:c>
      <x:c r="C40" s="9" t="str">
        <x:v>Inicio configurado 100</x:v>
      </x:c>
      <x:c r="D40" s="9" t="str">
        <x:v>P0</x:v>
      </x:c>
      <x:c r="E40" s="9" t="str">
        <x:v>Positiva</x:v>
      </x:c>
      <x:c r="F40" s="9" t="str">
        <x:v>Navegador + HTTP + persistencia</x:v>
      </x:c>
      <x:c r="G40" s="10" t="str">
        <x:v>Pendiente</x:v>
      </x:c>
      <x:c r="H40" s="10"/>
      <x:c r="I40" s="10"/>
      <x:c r="J40" s="10"/>
      <x:c r="K40" s="10"/>
      <x:c r="L40" s="11"/>
      <x:c r="M40" s="12"/>
      <x:c r="N40" s="10"/>
    </x:row>
    <x:row r="41" ht="25" customHeight="1">
      <x:c r="A41" s="9" t="str">
        <x:v>QA-NUM-007</x:v>
      </x:c>
      <x:c r="B41" s="9" t="str">
        <x:v>NUM</x:v>
      </x:c>
      <x:c r="C41" s="9" t="str">
        <x:v>Rollback no consume uso ni factura</x:v>
      </x:c>
      <x:c r="D41" s="9" t="str">
        <x:v>P0</x:v>
      </x:c>
      <x:c r="E41" s="9" t="str">
        <x:v>Transaccional</x:v>
      </x:c>
      <x:c r="F41" s="9" t="str">
        <x:v>Navegador + HTTP + persistencia</x:v>
      </x:c>
      <x:c r="G41" s="10" t="str">
        <x:v>Pendiente</x:v>
      </x:c>
      <x:c r="H41" s="10"/>
      <x:c r="I41" s="10"/>
      <x:c r="J41" s="10"/>
      <x:c r="K41" s="10"/>
      <x:c r="L41" s="11"/>
      <x:c r="M41" s="12"/>
      <x:c r="N41" s="10"/>
    </x:row>
    <x:row r="42" ht="25" customHeight="1">
      <x:c r="A42" s="9" t="str">
        <x:v>QA-NUM-008</x:v>
      </x:c>
      <x:c r="B42" s="9" t="str">
        <x:v>NUM</x:v>
      </x:c>
      <x:c r="C42" s="9" t="str">
        <x:v>Serie utilizada no se modifica ni elimina</x:v>
      </x:c>
      <x:c r="D42" s="9" t="str">
        <x:v>P0</x:v>
      </x:c>
      <x:c r="E42" s="9" t="str">
        <x:v>Negativa</x:v>
      </x:c>
      <x:c r="F42" s="9" t="str">
        <x:v>Navegador + HTTP + persistencia</x:v>
      </x:c>
      <x:c r="G42" s="10" t="str">
        <x:v>Pendiente</x:v>
      </x:c>
      <x:c r="H42" s="10"/>
      <x:c r="I42" s="10"/>
      <x:c r="J42" s="10"/>
      <x:c r="K42" s="10"/>
      <x:c r="L42" s="11"/>
      <x:c r="M42" s="12"/>
      <x:c r="N42" s="10"/>
    </x:row>
    <x:row r="43" ht="25" customHeight="1">
      <x:c r="A43" s="9" t="str">
        <x:v>QA-NUM-009</x:v>
      </x:c>
      <x:c r="B43" s="9" t="str">
        <x:v>NUM</x:v>
      </x:c>
      <x:c r="C43" s="9" t="str">
        <x:v>Unicidad de serie vacía por sucursal y tipo</x:v>
      </x:c>
      <x:c r="D43" s="9" t="str">
        <x:v>P1</x:v>
      </x:c>
      <x:c r="E43" s="9" t="str">
        <x:v>Negativa</x:v>
      </x:c>
      <x:c r="F43" s="9" t="str">
        <x:v>Navegador + HTTP + persistencia</x:v>
      </x:c>
      <x:c r="G43" s="10" t="str">
        <x:v>Pendiente</x:v>
      </x:c>
      <x:c r="H43" s="10"/>
      <x:c r="I43" s="10"/>
      <x:c r="J43" s="10"/>
      <x:c r="K43" s="10"/>
      <x:c r="L43" s="11"/>
      <x:c r="M43" s="12"/>
      <x:c r="N43" s="10"/>
    </x:row>
    <x:row r="44" ht="25" customHeight="1">
      <x:c r="A44" s="9" t="str">
        <x:v>QA-NUM-010</x:v>
      </x:c>
      <x:c r="B44" s="9" t="str">
        <x:v>NUM</x:v>
      </x:c>
      <x:c r="C44" s="9" t="str">
        <x:v>Código con contenido duplicado entre sucursales</x:v>
      </x:c>
      <x:c r="D44" s="9" t="str">
        <x:v>P0</x:v>
      </x:c>
      <x:c r="E44" s="9" t="str">
        <x:v>Concurrencia</x:v>
      </x:c>
      <x:c r="F44" s="9" t="str">
        <x:v>Navegador + HTTP + persistencia</x:v>
      </x:c>
      <x:c r="G44" s="10" t="str">
        <x:v>Pendiente</x:v>
      </x:c>
      <x:c r="H44" s="10"/>
      <x:c r="I44" s="10"/>
      <x:c r="J44" s="10"/>
      <x:c r="K44" s="10"/>
      <x:c r="L44" s="11"/>
      <x:c r="M44" s="12"/>
      <x:c r="N44" s="10"/>
    </x:row>
    <x:row r="45" ht="25" customHeight="1">
      <x:c r="A45" s="9" t="str">
        <x:v>QA-NUM-011</x:v>
      </x:c>
      <x:c r="B45" s="9" t="str">
        <x:v>NUM</x:v>
      </x:c>
      <x:c r="C45" s="9" t="str">
        <x:v>Concurrencia del correlativo</x:v>
      </x:c>
      <x:c r="D45" s="9" t="str">
        <x:v>P0</x:v>
      </x:c>
      <x:c r="E45" s="9" t="str">
        <x:v>Concurrencia</x:v>
      </x:c>
      <x:c r="F45" s="9" t="str">
        <x:v>Navegador + HTTP + persistencia</x:v>
      </x:c>
      <x:c r="G45" s="10" t="str">
        <x:v>Pendiente</x:v>
      </x:c>
      <x:c r="H45" s="10"/>
      <x:c r="I45" s="10"/>
      <x:c r="J45" s="10"/>
      <x:c r="K45" s="10"/>
      <x:c r="L45" s="11"/>
      <x:c r="M45" s="12"/>
      <x:c r="N45" s="10"/>
    </x:row>
    <x:row r="46" ht="25" customHeight="1">
      <x:c r="A46" s="9" t="str">
        <x:v>QA-NUM-012</x:v>
      </x:c>
      <x:c r="B46" s="9" t="str">
        <x:v>NUM</x:v>
      </x:c>
      <x:c r="C46" s="9" t="str">
        <x:v>Número explícito duplicado</x:v>
      </x:c>
      <x:c r="D46" s="9" t="str">
        <x:v>P0</x:v>
      </x:c>
      <x:c r="E46" s="9" t="str">
        <x:v>Negativa</x:v>
      </x:c>
      <x:c r="F46" s="9" t="str">
        <x:v>Navegador + HTTP + persistencia</x:v>
      </x:c>
      <x:c r="G46" s="10" t="str">
        <x:v>Pendiente</x:v>
      </x:c>
      <x:c r="H46" s="10"/>
      <x:c r="I46" s="10"/>
      <x:c r="J46" s="10"/>
      <x:c r="K46" s="10"/>
      <x:c r="L46" s="11"/>
      <x:c r="M46" s="12"/>
      <x:c r="N46" s="10"/>
    </x:row>
    <x:row r="47" ht="25" customHeight="1">
      <x:c r="A47" s="9" t="str">
        <x:v>QA-NUM-013</x:v>
      </x:c>
      <x:c r="B47" s="9" t="str">
        <x:v>NUM</x:v>
      </x:c>
      <x:c r="C47" s="9" t="str">
        <x:v>Grupo dedicado del dispositivo</x:v>
      </x:c>
      <x:c r="D47" s="9" t="str">
        <x:v>P0</x:v>
      </x:c>
      <x:c r="E47" s="9" t="str">
        <x:v>Seguridad</x:v>
      </x:c>
      <x:c r="F47" s="9" t="str">
        <x:v>Navegador + HTTP + persistencia</x:v>
      </x:c>
      <x:c r="G47" s="10" t="str">
        <x:v>Pendiente</x:v>
      </x:c>
      <x:c r="H47" s="10"/>
      <x:c r="I47" s="10"/>
      <x:c r="J47" s="10"/>
      <x:c r="K47" s="10"/>
      <x:c r="L47" s="11"/>
      <x:c r="M47" s="12"/>
      <x:c r="N47" s="10"/>
    </x:row>
    <x:row r="48" ht="25" customHeight="1">
      <x:c r="A48" s="9" t="str">
        <x:v>QA-NUM-014</x:v>
      </x:c>
      <x:c r="B48" s="9" t="str">
        <x:v>NUM</x:v>
      </x:c>
      <x:c r="C48" s="9" t="str">
        <x:v>Equipo sin grupo</x:v>
      </x:c>
      <x:c r="D48" s="9" t="str">
        <x:v>P0</x:v>
      </x:c>
      <x:c r="E48" s="9" t="str">
        <x:v>Negativa</x:v>
      </x:c>
      <x:c r="F48" s="9" t="str">
        <x:v>Navegador + HTTP + persistencia</x:v>
      </x:c>
      <x:c r="G48" s="10" t="str">
        <x:v>Pendiente</x:v>
      </x:c>
      <x:c r="H48" s="10"/>
      <x:c r="I48" s="10"/>
      <x:c r="J48" s="10"/>
      <x:c r="K48" s="10"/>
      <x:c r="L48" s="11"/>
      <x:c r="M48" s="12"/>
      <x:c r="N48" s="10"/>
    </x:row>
    <x:row r="49" ht="25" customHeight="1">
      <x:c r="A49" s="9" t="str">
        <x:v>QA-NUM-015</x:v>
      </x:c>
      <x:c r="B49" s="9" t="str">
        <x:v>NUM</x:v>
      </x:c>
      <x:c r="C49" s="9" t="str">
        <x:v>Desvincular y recuperar equipo</x:v>
      </x:c>
      <x:c r="D49" s="9" t="str">
        <x:v>P1</x:v>
      </x:c>
      <x:c r="E49" s="9" t="str">
        <x:v>Positiva</x:v>
      </x:c>
      <x:c r="F49" s="9" t="str">
        <x:v>Navegador + HTTP + persistencia</x:v>
      </x:c>
      <x:c r="G49" s="10" t="str">
        <x:v>Pendiente</x:v>
      </x:c>
      <x:c r="H49" s="10"/>
      <x:c r="I49" s="10"/>
      <x:c r="J49" s="10"/>
      <x:c r="K49" s="10"/>
      <x:c r="L49" s="11"/>
      <x:c r="M49" s="12"/>
      <x:c r="N49" s="10"/>
    </x:row>
    <x:row r="50" ht="25" customHeight="1">
      <x:c r="A50" s="9" t="str">
        <x:v>QA-NUM-016</x:v>
      </x:c>
      <x:c r="B50" s="9" t="str">
        <x:v>NUM</x:v>
      </x:c>
      <x:c r="C50" s="9" t="str">
        <x:v>Todas las pestañas de numeración</x:v>
      </x:c>
      <x:c r="D50" s="9" t="str">
        <x:v>P1</x:v>
      </x:c>
      <x:c r="E50" s="9" t="str">
        <x:v>Positiva</x:v>
      </x:c>
      <x:c r="F50" s="9" t="str">
        <x:v>Navegador + HTTP + persistencia</x:v>
      </x:c>
      <x:c r="G50" s="10" t="str">
        <x:v>Pendiente</x:v>
      </x:c>
      <x:c r="H50" s="10"/>
      <x:c r="I50" s="10"/>
      <x:c r="J50" s="10"/>
      <x:c r="K50" s="10"/>
      <x:c r="L50" s="11"/>
      <x:c r="M50" s="12"/>
      <x:c r="N50" s="10"/>
    </x:row>
    <x:row r="51" ht="25" customHeight="1">
      <x:c r="A51" s="9" t="str">
        <x:v>QA-NUM-017</x:v>
      </x:c>
      <x:c r="B51" s="9" t="str">
        <x:v>NUM</x:v>
      </x:c>
      <x:c r="C51" s="9" t="str">
        <x:v>Permiso de administrar series</x:v>
      </x:c>
      <x:c r="D51" s="9" t="str">
        <x:v>P0</x:v>
      </x:c>
      <x:c r="E51" s="9" t="str">
        <x:v>Seguridad</x:v>
      </x:c>
      <x:c r="F51" s="9" t="str">
        <x:v>Navegador + HTTP + persistencia</x:v>
      </x:c>
      <x:c r="G51" s="10" t="str">
        <x:v>Pendiente</x:v>
      </x:c>
      <x:c r="H51" s="10"/>
      <x:c r="I51" s="10"/>
      <x:c r="J51" s="10"/>
      <x:c r="K51" s="10"/>
      <x:c r="L51" s="11"/>
      <x:c r="M51" s="12"/>
      <x:c r="N51" s="10"/>
    </x:row>
    <x:row r="52" ht="25" customHeight="1">
      <x:c r="A52" s="9" t="str">
        <x:v>QA-NUM-018</x:v>
      </x:c>
      <x:c r="B52" s="9" t="str">
        <x:v>NUM</x:v>
      </x:c>
      <x:c r="C52" s="9" t="str">
        <x:v>Ocho dígitos y números largos</x:v>
      </x:c>
      <x:c r="D52" s="9" t="str">
        <x:v>P1</x:v>
      </x:c>
      <x:c r="E52" s="9" t="str">
        <x:v>Positiva</x:v>
      </x:c>
      <x:c r="F52" s="9" t="str">
        <x:v>Navegador + HTTP + persistencia</x:v>
      </x:c>
      <x:c r="G52" s="10" t="str">
        <x:v>Pendiente</x:v>
      </x:c>
      <x:c r="H52" s="10"/>
      <x:c r="I52" s="10"/>
      <x:c r="J52" s="10"/>
      <x:c r="K52" s="10"/>
      <x:c r="L52" s="11"/>
      <x:c r="M52" s="12"/>
      <x:c r="N52" s="10"/>
    </x:row>
    <x:row r="53" ht="25" customHeight="1">
      <x:c r="A53" s="9" t="str">
        <x:v>QA-NUM-019</x:v>
      </x:c>
      <x:c r="B53" s="9" t="str">
        <x:v>NUM</x:v>
      </x:c>
      <x:c r="C53" s="9" t="str">
        <x:v>Dos sucursales sin serie y mismo número</x:v>
      </x:c>
      <x:c r="D53" s="9" t="str">
        <x:v>P0</x:v>
      </x:c>
      <x:c r="E53" s="9" t="str">
        <x:v>Negativa</x:v>
      </x:c>
      <x:c r="F53" s="9" t="str">
        <x:v>Navegador + HTTP + persistencia</x:v>
      </x:c>
      <x:c r="G53" s="10" t="str">
        <x:v>Pendiente</x:v>
      </x:c>
      <x:c r="H53" s="10"/>
      <x:c r="I53" s="10"/>
      <x:c r="J53" s="10"/>
      <x:c r="K53" s="10"/>
      <x:c r="L53" s="11"/>
      <x:c r="M53" s="12"/>
      <x:c r="N53" s="10"/>
    </x:row>
    <x:row r="54" ht="25" customHeight="1">
      <x:c r="A54" s="9" t="str">
        <x:v>QA-NUM-020</x:v>
      </x:c>
      <x:c r="B54" s="9" t="str">
        <x:v>NUM</x:v>
      </x:c>
      <x:c r="C54" s="9" t="str">
        <x:v>Filtro de serie vacía</x:v>
      </x:c>
      <x:c r="D54" s="9" t="str">
        <x:v>P1</x:v>
      </x:c>
      <x:c r="E54" s="9" t="str">
        <x:v>Positiva</x:v>
      </x:c>
      <x:c r="F54" s="9" t="str">
        <x:v>Navegador + HTTP + persistencia</x:v>
      </x:c>
      <x:c r="G54" s="10" t="str">
        <x:v>Pendiente</x:v>
      </x:c>
      <x:c r="H54" s="10"/>
      <x:c r="I54" s="10"/>
      <x:c r="J54" s="10"/>
      <x:c r="K54" s="10"/>
      <x:c r="L54" s="11"/>
      <x:c r="M54" s="12"/>
      <x:c r="N54" s="10"/>
    </x:row>
    <x:row r="55" ht="25" customHeight="1">
      <x:c r="A55" s="9" t="str">
        <x:v>QA-NUM-021</x:v>
      </x:c>
      <x:c r="B55" s="9" t="str">
        <x:v>NUM</x:v>
      </x:c>
      <x:c r="C55" s="9" t="str">
        <x:v>Número de control independiente</x:v>
      </x:c>
      <x:c r="D55" s="9" t="str">
        <x:v>P0</x:v>
      </x:c>
      <x:c r="E55" s="9" t="str">
        <x:v>Negativa</x:v>
      </x:c>
      <x:c r="F55" s="9" t="str">
        <x:v>Navegador + HTTP + persistencia</x:v>
      </x:c>
      <x:c r="G55" s="10" t="str">
        <x:v>Pendiente</x:v>
      </x:c>
      <x:c r="H55" s="10"/>
      <x:c r="I55" s="10"/>
      <x:c r="J55" s="10"/>
      <x:c r="K55" s="10"/>
      <x:c r="L55" s="11"/>
      <x:c r="M55" s="12"/>
      <x:c r="N55" s="10"/>
    </x:row>
    <x:row r="56" ht="25" customHeight="1">
      <x:c r="A56" s="9" t="str">
        <x:v>QA-CLI-001</x:v>
      </x:c>
      <x:c r="B56" s="9" t="str">
        <x:v>CLI</x:v>
      </x:c>
      <x:c r="C56" s="9" t="str">
        <x:v>Buscar por nombre y número</x:v>
      </x:c>
      <x:c r="D56" s="9" t="str">
        <x:v>P1</x:v>
      </x:c>
      <x:c r="E56" s="9" t="str">
        <x:v>Positiva</x:v>
      </x:c>
      <x:c r="F56" s="9" t="str">
        <x:v>Navegador + HTTP + persistencia</x:v>
      </x:c>
      <x:c r="G56" s="10" t="str">
        <x:v>Pendiente</x:v>
      </x:c>
      <x:c r="H56" s="10"/>
      <x:c r="I56" s="10"/>
      <x:c r="J56" s="10"/>
      <x:c r="K56" s="10"/>
      <x:c r="L56" s="11"/>
      <x:c r="M56" s="12"/>
      <x:c r="N56" s="10"/>
    </x:row>
    <x:row r="57" ht="25" customHeight="1">
      <x:c r="A57" s="9" t="str">
        <x:v>QA-CLI-002</x:v>
      </x:c>
      <x:c r="B57" s="9" t="str">
        <x:v>CLI</x:v>
      </x:c>
      <x:c r="C57" s="9" t="str">
        <x:v>Crear comprador desde formulario</x:v>
      </x:c>
      <x:c r="D57" s="9" t="str">
        <x:v>P1</x:v>
      </x:c>
      <x:c r="E57" s="9" t="str">
        <x:v>Positiva</x:v>
      </x:c>
      <x:c r="F57" s="9" t="str">
        <x:v>Navegador + HTTP + persistencia</x:v>
      </x:c>
      <x:c r="G57" s="10" t="str">
        <x:v>Pendiente</x:v>
      </x:c>
      <x:c r="H57" s="10"/>
      <x:c r="I57" s="10"/>
      <x:c r="J57" s="10"/>
      <x:c r="K57" s="10"/>
      <x:c r="L57" s="11"/>
      <x:c r="M57" s="12"/>
      <x:c r="N57" s="10"/>
    </x:row>
    <x:row r="58" ht="25" customHeight="1">
      <x:c r="A58" s="9" t="str">
        <x:v>QA-CLI-003</x:v>
      </x:c>
      <x:c r="B58" s="9" t="str">
        <x:v>CLI</x:v>
      </x:c>
      <x:c r="C58" s="9" t="str">
        <x:v>Editar comprador y cancelar</x:v>
      </x:c>
      <x:c r="D58" s="9" t="str">
        <x:v>P1</x:v>
      </x:c>
      <x:c r="E58" s="9" t="str">
        <x:v>Positiva</x:v>
      </x:c>
      <x:c r="F58" s="9" t="str">
        <x:v>Navegador + HTTP + persistencia</x:v>
      </x:c>
      <x:c r="G58" s="10" t="str">
        <x:v>Pendiente</x:v>
      </x:c>
      <x:c r="H58" s="10"/>
      <x:c r="I58" s="10"/>
      <x:c r="J58" s="10"/>
      <x:c r="K58" s="10"/>
      <x:c r="L58" s="11"/>
      <x:c r="M58" s="12"/>
      <x:c r="N58" s="10"/>
    </x:row>
    <x:row r="59" ht="25" customHeight="1">
      <x:c r="A59" s="9" t="str">
        <x:v>QA-CLI-004</x:v>
      </x:c>
      <x:c r="B59" s="9" t="str">
        <x:v>CLI</x:v>
      </x:c>
      <x:c r="C59" s="9" t="str">
        <x:v>Cambiar comprador con varias direcciones</x:v>
      </x:c>
      <x:c r="D59" s="9" t="str">
        <x:v>P0</x:v>
      </x:c>
      <x:c r="E59" s="9" t="str">
        <x:v>Negativa</x:v>
      </x:c>
      <x:c r="F59" s="9" t="str">
        <x:v>Navegador + HTTP + persistencia</x:v>
      </x:c>
      <x:c r="G59" s="10" t="str">
        <x:v>Pendiente</x:v>
      </x:c>
      <x:c r="H59" s="10"/>
      <x:c r="I59" s="10"/>
      <x:c r="J59" s="10"/>
      <x:c r="K59" s="10"/>
      <x:c r="L59" s="11"/>
      <x:c r="M59" s="12"/>
      <x:c r="N59" s="10"/>
    </x:row>
    <x:row r="60" ht="25" customHeight="1">
      <x:c r="A60" s="9" t="str">
        <x:v>QA-CLI-005</x:v>
      </x:c>
      <x:c r="B60" s="9" t="str">
        <x:v>CLI</x:v>
      </x:c>
      <x:c r="C60" s="9" t="str">
        <x:v>Clientes de identidad desactivada</x:v>
      </x:c>
      <x:c r="D60" s="9" t="str">
        <x:v>P0</x:v>
      </x:c>
      <x:c r="E60" s="9" t="str">
        <x:v>Negativa</x:v>
      </x:c>
      <x:c r="F60" s="9" t="str">
        <x:v>Navegador + HTTP + persistencia</x:v>
      </x:c>
      <x:c r="G60" s="10" t="str">
        <x:v>Pendiente</x:v>
      </x:c>
      <x:c r="H60" s="10"/>
      <x:c r="I60" s="10"/>
      <x:c r="J60" s="10"/>
      <x:c r="K60" s="10"/>
      <x:c r="L60" s="11"/>
      <x:c r="M60" s="12"/>
      <x:c r="N60" s="10"/>
    </x:row>
    <x:row r="61" ht="25" customHeight="1">
      <x:c r="A61" s="9" t="str">
        <x:v>QA-CLI-006</x:v>
      </x:c>
      <x:c r="B61" s="9" t="str">
        <x:v>CLI</x:v>
      </x:c>
      <x:c r="C61" s="9" t="str">
        <x:v>ND excluido de venta interna</x:v>
      </x:c>
      <x:c r="D61" s="9" t="str">
        <x:v>P0</x:v>
      </x:c>
      <x:c r="E61" s="9" t="str">
        <x:v>Negativa</x:v>
      </x:c>
      <x:c r="F61" s="9" t="str">
        <x:v>Navegador + HTTP + persistencia</x:v>
      </x:c>
      <x:c r="G61" s="10" t="str">
        <x:v>Pendiente</x:v>
      </x:c>
      <x:c r="H61" s="10"/>
      <x:c r="I61" s="10"/>
      <x:c r="J61" s="10"/>
      <x:c r="K61" s="10"/>
      <x:c r="L61" s="11"/>
      <x:c r="M61" s="12"/>
      <x:c r="N61" s="10"/>
    </x:row>
    <x:row r="62" ht="25" customHeight="1">
      <x:c r="A62" s="9" t="str">
        <x:v>QA-CLI-007</x:v>
      </x:c>
      <x:c r="B62" s="9" t="str">
        <x:v>CLI</x:v>
      </x:c>
      <x:c r="C62" s="9" t="str">
        <x:v>Identidad sin letras en número doméstico</x:v>
      </x:c>
      <x:c r="D62" s="9" t="str">
        <x:v>P1</x:v>
      </x:c>
      <x:c r="E62" s="9" t="str">
        <x:v>Positiva</x:v>
      </x:c>
      <x:c r="F62" s="9" t="str">
        <x:v>Navegador + HTTP + persistencia</x:v>
      </x:c>
      <x:c r="G62" s="10" t="str">
        <x:v>Pendiente</x:v>
      </x:c>
      <x:c r="H62" s="10"/>
      <x:c r="I62" s="10"/>
      <x:c r="J62" s="10"/>
      <x:c r="K62" s="10"/>
      <x:c r="L62" s="11"/>
      <x:c r="M62" s="12"/>
      <x:c r="N62" s="10"/>
    </x:row>
    <x:row r="63" ht="25" customHeight="1">
      <x:c r="A63" s="9" t="str">
        <x:v>QA-CLI-008</x:v>
      </x:c>
      <x:c r="B63" s="9" t="str">
        <x:v>CLI</x:v>
      </x:c>
      <x:c r="C63" s="9" t="str">
        <x:v>Extranjero y pasaporte sin territorio VE</x:v>
      </x:c>
      <x:c r="D63" s="9" t="str">
        <x:v>P1</x:v>
      </x:c>
      <x:c r="E63" s="9" t="str">
        <x:v>Positiva</x:v>
      </x:c>
      <x:c r="F63" s="9" t="str">
        <x:v>Navegador + HTTP + persistencia</x:v>
      </x:c>
      <x:c r="G63" s="10" t="str">
        <x:v>Pendiente</x:v>
      </x:c>
      <x:c r="H63" s="10"/>
      <x:c r="I63" s="10"/>
      <x:c r="J63" s="10"/>
      <x:c r="K63" s="10"/>
      <x:c r="L63" s="11"/>
      <x:c r="M63" s="12"/>
      <x:c r="N63" s="10"/>
    </x:row>
    <x:row r="64" ht="25" customHeight="1">
      <x:c r="A64" s="9" t="str">
        <x:v>QA-CLI-009</x:v>
      </x:c>
      <x:c r="B64" s="9" t="str">
        <x:v>CLI</x:v>
      </x:c>
      <x:c r="C64" s="9" t="str">
        <x:v>Formato de identidad en documentos</x:v>
      </x:c>
      <x:c r="D64" s="9" t="str">
        <x:v>P1</x:v>
      </x:c>
      <x:c r="E64" s="9" t="str">
        <x:v>Positiva</x:v>
      </x:c>
      <x:c r="F64" s="9" t="str">
        <x:v>Navegador + HTTP + persistencia</x:v>
      </x:c>
      <x:c r="G64" s="10" t="str">
        <x:v>Pendiente</x:v>
      </x:c>
      <x:c r="H64" s="10"/>
      <x:c r="I64" s="10"/>
      <x:c r="J64" s="10"/>
      <x:c r="K64" s="10"/>
      <x:c r="L64" s="11"/>
      <x:c r="M64" s="12"/>
      <x:c r="N64" s="10"/>
    </x:row>
    <x:row r="65" ht="25" customHeight="1">
      <x:c r="A65" s="9" t="str">
        <x:v>QA-CLI-010</x:v>
      </x:c>
      <x:c r="B65" s="9" t="str">
        <x:v>CLI</x:v>
      </x:c>
      <x:c r="C65" s="9" t="str">
        <x:v>Cliente sin contacto</x:v>
      </x:c>
      <x:c r="D65" s="9" t="str">
        <x:v>P1</x:v>
      </x:c>
      <x:c r="E65" s="9" t="str">
        <x:v>Positiva</x:v>
      </x:c>
      <x:c r="F65" s="9" t="str">
        <x:v>Navegador + HTTP + persistencia</x:v>
      </x:c>
      <x:c r="G65" s="10" t="str">
        <x:v>Pendiente</x:v>
      </x:c>
      <x:c r="H65" s="10"/>
      <x:c r="I65" s="10"/>
      <x:c r="J65" s="10"/>
      <x:c r="K65" s="10"/>
      <x:c r="L65" s="11"/>
      <x:c r="M65" s="12"/>
      <x:c r="N65" s="10"/>
    </x:row>
    <x:row r="66" ht="25" customHeight="1">
      <x:c r="A66" s="9" t="str">
        <x:v>QA-CLI-011</x:v>
      </x:c>
      <x:c r="B66" s="9" t="str">
        <x:v>CLI</x:v>
      </x:c>
      <x:c r="C66" s="9" t="str">
        <x:v>Snapshot del comprador</x:v>
      </x:c>
      <x:c r="D66" s="9" t="str">
        <x:v>P0</x:v>
      </x:c>
      <x:c r="E66" s="9" t="str">
        <x:v>Positiva</x:v>
      </x:c>
      <x:c r="F66" s="9" t="str">
        <x:v>Navegador + HTTP + persistencia</x:v>
      </x:c>
      <x:c r="G66" s="10" t="str">
        <x:v>Pendiente</x:v>
      </x:c>
      <x:c r="H66" s="10"/>
      <x:c r="I66" s="10"/>
      <x:c r="J66" s="10"/>
      <x:c r="K66" s="10"/>
      <x:c r="L66" s="11"/>
      <x:c r="M66" s="12"/>
      <x:c r="N66" s="10"/>
    </x:row>
    <x:row r="67" ht="25" customHeight="1">
      <x:c r="A67" s="9" t="str">
        <x:v>QA-CLI-012</x:v>
      </x:c>
      <x:c r="B67" s="9" t="str">
        <x:v>CLI</x:v>
      </x:c>
      <x:c r="C67" s="9" t="str">
        <x:v>Vendedor y asignación de clientes</x:v>
      </x:c>
      <x:c r="D67" s="9" t="str">
        <x:v>P0</x:v>
      </x:c>
      <x:c r="E67" s="9" t="str">
        <x:v>Seguridad</x:v>
      </x:c>
      <x:c r="F67" s="9" t="str">
        <x:v>Navegador + HTTP + persistencia</x:v>
      </x:c>
      <x:c r="G67" s="10" t="str">
        <x:v>Pendiente</x:v>
      </x:c>
      <x:c r="H67" s="10"/>
      <x:c r="I67" s="10"/>
      <x:c r="J67" s="10"/>
      <x:c r="K67" s="10"/>
      <x:c r="L67" s="11"/>
      <x:c r="M67" s="12"/>
      <x:c r="N67" s="10"/>
    </x:row>
    <x:row r="68" ht="25" customHeight="1">
      <x:c r="A68" s="9" t="str">
        <x:v>QA-CLI-013</x:v>
      </x:c>
      <x:c r="B68" s="9" t="str">
        <x:v>CLI</x:v>
      </x:c>
      <x:c r="C68" s="9" t="str">
        <x:v>Fecha de emisión y vencimiento</x:v>
      </x:c>
      <x:c r="D68" s="9" t="str">
        <x:v>P1</x:v>
      </x:c>
      <x:c r="E68" s="9" t="str">
        <x:v>Negativa</x:v>
      </x:c>
      <x:c r="F68" s="9" t="str">
        <x:v>Navegador + HTTP + persistencia</x:v>
      </x:c>
      <x:c r="G68" s="10" t="str">
        <x:v>Pendiente</x:v>
      </x:c>
      <x:c r="H68" s="10"/>
      <x:c r="I68" s="10"/>
      <x:c r="J68" s="10"/>
      <x:c r="K68" s="10"/>
      <x:c r="L68" s="11"/>
      <x:c r="M68" s="12"/>
      <x:c r="N68" s="10"/>
    </x:row>
    <x:row r="69" ht="25" customHeight="1">
      <x:c r="A69" s="9" t="str">
        <x:v>QA-CLI-014</x:v>
      </x:c>
      <x:c r="B69" s="9" t="str">
        <x:v>CLI</x:v>
      </x:c>
      <x:c r="C69" s="9" t="str">
        <x:v>Orden de compra y observaciones</x:v>
      </x:c>
      <x:c r="D69" s="9" t="str">
        <x:v>P1</x:v>
      </x:c>
      <x:c r="E69" s="9" t="str">
        <x:v>Positiva</x:v>
      </x:c>
      <x:c r="F69" s="9" t="str">
        <x:v>Navegador + HTTP + persistencia</x:v>
      </x:c>
      <x:c r="G69" s="10" t="str">
        <x:v>Pendiente</x:v>
      </x:c>
      <x:c r="H69" s="10"/>
      <x:c r="I69" s="10"/>
      <x:c r="J69" s="10"/>
      <x:c r="K69" s="10"/>
      <x:c r="L69" s="11"/>
      <x:c r="M69" s="12"/>
      <x:c r="N69" s="10"/>
    </x:row>
    <x:row r="70" ht="25" customHeight="1">
      <x:c r="A70" s="9" t="str">
        <x:v>QA-CLI-015</x:v>
      </x:c>
      <x:c r="B70" s="9" t="str">
        <x:v>CLI</x:v>
      </x:c>
      <x:c r="C70" s="9" t="str">
        <x:v>Consignado, vendedor y placa</x:v>
      </x:c>
      <x:c r="D70" s="9" t="str">
        <x:v>P1</x:v>
      </x:c>
      <x:c r="E70" s="9" t="str">
        <x:v>Positiva</x:v>
      </x:c>
      <x:c r="F70" s="9" t="str">
        <x:v>Navegador + HTTP + persistencia</x:v>
      </x:c>
      <x:c r="G70" s="10" t="str">
        <x:v>Pendiente</x:v>
      </x:c>
      <x:c r="H70" s="10"/>
      <x:c r="I70" s="10"/>
      <x:c r="J70" s="10"/>
      <x:c r="K70" s="10"/>
      <x:c r="L70" s="11"/>
      <x:c r="M70" s="12"/>
      <x:c r="N70" s="10"/>
    </x:row>
    <x:row r="71" ht="25" customHeight="1">
      <x:c r="A71" s="9" t="str">
        <x:v>QA-CLI-016</x:v>
      </x:c>
      <x:c r="B71" s="9" t="str">
        <x:v>CLI</x:v>
      </x:c>
      <x:c r="C71" s="9" t="str">
        <x:v>Venta itinerante</x:v>
      </x:c>
      <x:c r="D71" s="9" t="str">
        <x:v>P1</x:v>
      </x:c>
      <x:c r="E71" s="9" t="str">
        <x:v>Positiva</x:v>
      </x:c>
      <x:c r="F71" s="9" t="str">
        <x:v>Navegador + HTTP + persistencia</x:v>
      </x:c>
      <x:c r="G71" s="10" t="str">
        <x:v>Pendiente</x:v>
      </x:c>
      <x:c r="H71" s="10"/>
      <x:c r="I71" s="10"/>
      <x:c r="J71" s="10"/>
      <x:c r="K71" s="10"/>
      <x:c r="L71" s="11"/>
      <x:c r="M71" s="12"/>
      <x:c r="N71" s="10"/>
    </x:row>
    <x:row r="72" ht="25" customHeight="1">
      <x:c r="A72" s="9" t="str">
        <x:v>QA-CLI-017</x:v>
      </x:c>
      <x:c r="B72" s="9" t="str">
        <x:v>CLI</x:v>
      </x:c>
      <x:c r="C72" s="9" t="str">
        <x:v>Personalizar formulario</x:v>
      </x:c>
      <x:c r="D72" s="9" t="str">
        <x:v>P1</x:v>
      </x:c>
      <x:c r="E72" s="9" t="str">
        <x:v>Positiva</x:v>
      </x:c>
      <x:c r="F72" s="9" t="str">
        <x:v>Navegador + HTTP + persistencia</x:v>
      </x:c>
      <x:c r="G72" s="10" t="str">
        <x:v>Pendiente</x:v>
      </x:c>
      <x:c r="H72" s="10"/>
      <x:c r="I72" s="10"/>
      <x:c r="J72" s="10"/>
      <x:c r="K72" s="10"/>
      <x:c r="L72" s="11"/>
      <x:c r="M72" s="12"/>
      <x:c r="N72" s="10"/>
    </x:row>
    <x:row r="73" ht="25" customHeight="1">
      <x:c r="A73" s="9" t="str">
        <x:v>QA-CLI-018</x:v>
      </x:c>
      <x:c r="B73" s="9" t="str">
        <x:v>CLI</x:v>
      </x:c>
      <x:c r="C73" s="9" t="str">
        <x:v>Información adicional y barra fijada</x:v>
      </x:c>
      <x:c r="D73" s="9" t="str">
        <x:v>P1</x:v>
      </x:c>
      <x:c r="E73" s="9" t="str">
        <x:v>Positiva</x:v>
      </x:c>
      <x:c r="F73" s="9" t="str">
        <x:v>Navegador + HTTP + persistencia</x:v>
      </x:c>
      <x:c r="G73" s="10" t="str">
        <x:v>Pendiente</x:v>
      </x:c>
      <x:c r="H73" s="10"/>
      <x:c r="I73" s="10"/>
      <x:c r="J73" s="10"/>
      <x:c r="K73" s="10"/>
      <x:c r="L73" s="11"/>
      <x:c r="M73" s="12"/>
      <x:c r="N73" s="10"/>
    </x:row>
    <x:row r="74" ht="25" customHeight="1">
      <x:c r="A74" s="9" t="str">
        <x:v>QA-ITM-001</x:v>
      </x:c>
      <x:c r="B74" s="9" t="str">
        <x:v>ITM</x:v>
      </x:c>
      <x:c r="C74" s="9" t="str">
        <x:v>Agregar producto gravado</x:v>
      </x:c>
      <x:c r="D74" s="9" t="str">
        <x:v>P0</x:v>
      </x:c>
      <x:c r="E74" s="9" t="str">
        <x:v>Positiva</x:v>
      </x:c>
      <x:c r="F74" s="9" t="str">
        <x:v>Navegador + HTTP + persistencia</x:v>
      </x:c>
      <x:c r="G74" s="10" t="str">
        <x:v>Pendiente</x:v>
      </x:c>
      <x:c r="H74" s="10"/>
      <x:c r="I74" s="10"/>
      <x:c r="J74" s="10"/>
      <x:c r="K74" s="10"/>
      <x:c r="L74" s="11"/>
      <x:c r="M74" s="12"/>
      <x:c r="N74" s="10"/>
    </x:row>
    <x:row r="75" ht="25" customHeight="1">
      <x:c r="A75" s="9" t="str">
        <x:v>QA-ITM-002</x:v>
      </x:c>
      <x:c r="B75" s="9" t="str">
        <x:v>ITM</x:v>
      </x:c>
      <x:c r="C75" s="9" t="str">
        <x:v>Agregar exento</x:v>
      </x:c>
      <x:c r="D75" s="9" t="str">
        <x:v>P1</x:v>
      </x:c>
      <x:c r="E75" s="9" t="str">
        <x:v>Positiva</x:v>
      </x:c>
      <x:c r="F75" s="9" t="str">
        <x:v>Navegador + HTTP + persistencia</x:v>
      </x:c>
      <x:c r="G75" s="10" t="str">
        <x:v>Pendiente</x:v>
      </x:c>
      <x:c r="H75" s="10"/>
      <x:c r="I75" s="10"/>
      <x:c r="J75" s="10"/>
      <x:c r="K75" s="10"/>
      <x:c r="L75" s="11"/>
      <x:c r="M75" s="12"/>
      <x:c r="N75" s="10"/>
    </x:row>
    <x:row r="76" ht="25" customHeight="1">
      <x:c r="A76" s="9" t="str">
        <x:v>QA-ITM-003</x:v>
      </x:c>
      <x:c r="B76" s="9" t="str">
        <x:v>ITM</x:v>
      </x:c>
      <x:c r="C76" s="9" t="str">
        <x:v>Agregar servicio</x:v>
      </x:c>
      <x:c r="D76" s="9" t="str">
        <x:v>P0</x:v>
      </x:c>
      <x:c r="E76" s="9" t="str">
        <x:v>Positiva</x:v>
      </x:c>
      <x:c r="F76" s="9" t="str">
        <x:v>Navegador + HTTP + persistencia</x:v>
      </x:c>
      <x:c r="G76" s="10" t="str">
        <x:v>Pendiente</x:v>
      </x:c>
      <x:c r="H76" s="10"/>
      <x:c r="I76" s="10"/>
      <x:c r="J76" s="10"/>
      <x:c r="K76" s="10"/>
      <x:c r="L76" s="11"/>
      <x:c r="M76" s="12"/>
      <x:c r="N76" s="10"/>
    </x:row>
    <x:row r="77" ht="25" customHeight="1">
      <x:c r="A77" s="9" t="str">
        <x:v>QA-ITM-004</x:v>
      </x:c>
      <x:c r="B77" s="9" t="str">
        <x:v>ITM</x:v>
      </x:c>
      <x:c r="C77" s="9" t="str">
        <x:v>Factura mixta de producto y servicio</x:v>
      </x:c>
      <x:c r="D77" s="9" t="str">
        <x:v>P0</x:v>
      </x:c>
      <x:c r="E77" s="9" t="str">
        <x:v>Positiva</x:v>
      </x:c>
      <x:c r="F77" s="9" t="str">
        <x:v>Navegador + HTTP + persistencia</x:v>
      </x:c>
      <x:c r="G77" s="10" t="str">
        <x:v>Pendiente</x:v>
      </x:c>
      <x:c r="H77" s="10"/>
      <x:c r="I77" s="10"/>
      <x:c r="J77" s="10"/>
      <x:c r="K77" s="10"/>
      <x:c r="L77" s="11"/>
      <x:c r="M77" s="12"/>
      <x:c r="N77" s="10"/>
    </x:row>
    <x:row r="78" ht="25" customHeight="1">
      <x:c r="A78" s="9" t="str">
        <x:v>QA-ITM-005</x:v>
      </x:c>
      <x:c r="B78" s="9" t="str">
        <x:v>ITM</x:v>
      </x:c>
      <x:c r="C78" s="9" t="str">
        <x:v>Buscar por código y código de barras</x:v>
      </x:c>
      <x:c r="D78" s="9" t="str">
        <x:v>P1</x:v>
      </x:c>
      <x:c r="E78" s="9" t="str">
        <x:v>Positiva</x:v>
      </x:c>
      <x:c r="F78" s="9" t="str">
        <x:v>Navegador + HTTP + persistencia</x:v>
      </x:c>
      <x:c r="G78" s="10" t="str">
        <x:v>Pendiente</x:v>
      </x:c>
      <x:c r="H78" s="10"/>
      <x:c r="I78" s="10"/>
      <x:c r="J78" s="10"/>
      <x:c r="K78" s="10"/>
      <x:c r="L78" s="11"/>
      <x:c r="M78" s="12"/>
      <x:c r="N78" s="10"/>
    </x:row>
    <x:row r="79" ht="25" customHeight="1">
      <x:c r="A79" s="9" t="str">
        <x:v>QA-ITM-006</x:v>
      </x:c>
      <x:c r="B79" s="9" t="str">
        <x:v>ITM</x:v>
      </x:c>
      <x:c r="C79" s="9" t="str">
        <x:v>Producto variable</x:v>
      </x:c>
      <x:c r="D79" s="9" t="str">
        <x:v>P0</x:v>
      </x:c>
      <x:c r="E79" s="9" t="str">
        <x:v>Positiva</x:v>
      </x:c>
      <x:c r="F79" s="9" t="str">
        <x:v>Navegador + HTTP + persistencia</x:v>
      </x:c>
      <x:c r="G79" s="10" t="str">
        <x:v>Pendiente</x:v>
      </x:c>
      <x:c r="H79" s="10"/>
      <x:c r="I79" s="10"/>
      <x:c r="J79" s="10"/>
      <x:c r="K79" s="10"/>
      <x:c r="L79" s="11"/>
      <x:c r="M79" s="12"/>
      <x:c r="N79" s="10"/>
    </x:row>
    <x:row r="80" ht="25" customHeight="1">
      <x:c r="A80" s="9" t="str">
        <x:v>QA-ITM-007</x:v>
      </x:c>
      <x:c r="B80" s="9" t="str">
        <x:v>ITM</x:v>
      </x:c>
      <x:c r="C80" s="9" t="str">
        <x:v>Variación sin stock</x:v>
      </x:c>
      <x:c r="D80" s="9" t="str">
        <x:v>P1</x:v>
      </x:c>
      <x:c r="E80" s="9" t="str">
        <x:v>Negativa</x:v>
      </x:c>
      <x:c r="F80" s="9" t="str">
        <x:v>Navegador + HTTP + persistencia</x:v>
      </x:c>
      <x:c r="G80" s="10" t="str">
        <x:v>Pendiente</x:v>
      </x:c>
      <x:c r="H80" s="10"/>
      <x:c r="I80" s="10"/>
      <x:c r="J80" s="10"/>
      <x:c r="K80" s="10"/>
      <x:c r="L80" s="11"/>
      <x:c r="M80" s="12"/>
      <x:c r="N80" s="10"/>
    </x:row>
    <x:row r="81" ht="25" customHeight="1">
      <x:c r="A81" s="9" t="str">
        <x:v>QA-ITM-008</x:v>
      </x:c>
      <x:c r="B81" s="9" t="str">
        <x:v>ITM</x:v>
      </x:c>
      <x:c r="C81" s="9" t="str">
        <x:v>Presentación y unidad alternativa</x:v>
      </x:c>
      <x:c r="D81" s="9" t="str">
        <x:v>P1</x:v>
      </x:c>
      <x:c r="E81" s="9" t="str">
        <x:v>Positiva</x:v>
      </x:c>
      <x:c r="F81" s="9" t="str">
        <x:v>Navegador + HTTP + persistencia</x:v>
      </x:c>
      <x:c r="G81" s="10" t="str">
        <x:v>Pendiente</x:v>
      </x:c>
      <x:c r="H81" s="10"/>
      <x:c r="I81" s="10"/>
      <x:c r="J81" s="10"/>
      <x:c r="K81" s="10"/>
      <x:c r="L81" s="11"/>
      <x:c r="M81" s="12"/>
      <x:c r="N81" s="10"/>
    </x:row>
    <x:row r="82" ht="25" customHeight="1">
      <x:c r="A82" s="9" t="str">
        <x:v>QA-ITM-009</x:v>
      </x:c>
      <x:c r="B82" s="9" t="str">
        <x:v>ITM</x:v>
      </x:c>
      <x:c r="C82" s="9" t="str">
        <x:v>Precios múltiples y último precio</x:v>
      </x:c>
      <x:c r="D82" s="9" t="str">
        <x:v>P1</x:v>
      </x:c>
      <x:c r="E82" s="9" t="str">
        <x:v>Positiva</x:v>
      </x:c>
      <x:c r="F82" s="9" t="str">
        <x:v>Navegador + HTTP + persistencia</x:v>
      </x:c>
      <x:c r="G82" s="10" t="str">
        <x:v>Pendiente</x:v>
      </x:c>
      <x:c r="H82" s="10"/>
      <x:c r="I82" s="10"/>
      <x:c r="J82" s="10"/>
      <x:c r="K82" s="10"/>
      <x:c r="L82" s="11"/>
      <x:c r="M82" s="12"/>
      <x:c r="N82" s="10"/>
    </x:row>
    <x:row r="83" ht="25" customHeight="1">
      <x:c r="A83" s="9" t="str">
        <x:v>QA-ITM-010</x:v>
      </x:c>
      <x:c r="B83" s="9" t="str">
        <x:v>ITM</x:v>
      </x:c>
      <x:c r="C83" s="9" t="str">
        <x:v>Conversión de moneda del artículo</x:v>
      </x:c>
      <x:c r="D83" s="9" t="str">
        <x:v>P1</x:v>
      </x:c>
      <x:c r="E83" s="9" t="str">
        <x:v>Positiva</x:v>
      </x:c>
      <x:c r="F83" s="9" t="str">
        <x:v>Navegador + HTTP + persistencia</x:v>
      </x:c>
      <x:c r="G83" s="10" t="str">
        <x:v>Pendiente</x:v>
      </x:c>
      <x:c r="H83" s="10"/>
      <x:c r="I83" s="10"/>
      <x:c r="J83" s="10"/>
      <x:c r="K83" s="10"/>
      <x:c r="L83" s="11"/>
      <x:c r="M83" s="12"/>
      <x:c r="N83" s="10"/>
    </x:row>
    <x:row r="84" ht="25" customHeight="1">
      <x:c r="A84" s="9" t="str">
        <x:v>QA-ITM-011</x:v>
      </x:c>
      <x:c r="B84" s="9" t="str">
        <x:v>ITM</x:v>
      </x:c>
      <x:c r="C84" s="9" t="str">
        <x:v>Pack o conjunto</x:v>
      </x:c>
      <x:c r="D84" s="9" t="str">
        <x:v>P1</x:v>
      </x:c>
      <x:c r="E84" s="9" t="str">
        <x:v>Positiva</x:v>
      </x:c>
      <x:c r="F84" s="9" t="str">
        <x:v>Navegador + HTTP + persistencia</x:v>
      </x:c>
      <x:c r="G84" s="10" t="str">
        <x:v>Pendiente</x:v>
      </x:c>
      <x:c r="H84" s="10"/>
      <x:c r="I84" s="10"/>
      <x:c r="J84" s="10"/>
      <x:c r="K84" s="10"/>
      <x:c r="L84" s="11"/>
      <x:c r="M84" s="12"/>
      <x:c r="N84" s="10"/>
    </x:row>
    <x:row r="85" ht="25" customHeight="1">
      <x:c r="A85" s="9" t="str">
        <x:v>QA-ITM-012</x:v>
      </x:c>
      <x:c r="B85" s="9" t="str">
        <x:v>ITM</x:v>
      </x:c>
      <x:c r="C85" s="9" t="str">
        <x:v>Selección de lotes obligatoria</x:v>
      </x:c>
      <x:c r="D85" s="9" t="str">
        <x:v>P0</x:v>
      </x:c>
      <x:c r="E85" s="9" t="str">
        <x:v>Negativa</x:v>
      </x:c>
      <x:c r="F85" s="9" t="str">
        <x:v>Navegador + HTTP + persistencia</x:v>
      </x:c>
      <x:c r="G85" s="10" t="str">
        <x:v>Pendiente</x:v>
      </x:c>
      <x:c r="H85" s="10"/>
      <x:c r="I85" s="10"/>
      <x:c r="J85" s="10"/>
      <x:c r="K85" s="10"/>
      <x:c r="L85" s="11"/>
      <x:c r="M85" s="12"/>
      <x:c r="N85" s="10"/>
    </x:row>
    <x:row r="86" ht="25" customHeight="1">
      <x:c r="A86" s="9" t="str">
        <x:v>QA-ITM-013</x:v>
      </x:c>
      <x:c r="B86" s="9" t="str">
        <x:v>ITM</x:v>
      </x:c>
      <x:c r="C86" s="9" t="str">
        <x:v>Distribuir cantidad en lotes</x:v>
      </x:c>
      <x:c r="D86" s="9" t="str">
        <x:v>P0</x:v>
      </x:c>
      <x:c r="E86" s="9" t="str">
        <x:v>Positiva</x:v>
      </x:c>
      <x:c r="F86" s="9" t="str">
        <x:v>Navegador + HTTP + persistencia</x:v>
      </x:c>
      <x:c r="G86" s="10" t="str">
        <x:v>Pendiente</x:v>
      </x:c>
      <x:c r="H86" s="10"/>
      <x:c r="I86" s="10"/>
      <x:c r="J86" s="10"/>
      <x:c r="K86" s="10"/>
      <x:c r="L86" s="11"/>
      <x:c r="M86" s="12"/>
      <x:c r="N86" s="10"/>
    </x:row>
    <x:row r="87" ht="25" customHeight="1">
      <x:c r="A87" s="9" t="str">
        <x:v>QA-ITM-014</x:v>
      </x:c>
      <x:c r="B87" s="9" t="str">
        <x:v>ITM</x:v>
      </x:c>
      <x:c r="C87" s="9" t="str">
        <x:v>Lotes inválidos o suma distinta</x:v>
      </x:c>
      <x:c r="D87" s="9" t="str">
        <x:v>P0</x:v>
      </x:c>
      <x:c r="E87" s="9" t="str">
        <x:v>Negativa</x:v>
      </x:c>
      <x:c r="F87" s="9" t="str">
        <x:v>Navegador + HTTP + persistencia</x:v>
      </x:c>
      <x:c r="G87" s="10" t="str">
        <x:v>Pendiente</x:v>
      </x:c>
      <x:c r="H87" s="10"/>
      <x:c r="I87" s="10"/>
      <x:c r="J87" s="10"/>
      <x:c r="K87" s="10"/>
      <x:c r="L87" s="11"/>
      <x:c r="M87" s="12"/>
      <x:c r="N87" s="10"/>
    </x:row>
    <x:row r="88" ht="25" customHeight="1">
      <x:c r="A88" s="9" t="str">
        <x:v>QA-ITM-015</x:v>
      </x:c>
      <x:c r="B88" s="9" t="str">
        <x:v>ITM</x:v>
      </x:c>
      <x:c r="C88" s="9" t="str">
        <x:v>Seriales únicos</x:v>
      </x:c>
      <x:c r="D88" s="9" t="str">
        <x:v>P0</x:v>
      </x:c>
      <x:c r="E88" s="9" t="str">
        <x:v>Negativa</x:v>
      </x:c>
      <x:c r="F88" s="9" t="str">
        <x:v>Navegador + HTTP + persistencia</x:v>
      </x:c>
      <x:c r="G88" s="10" t="str">
        <x:v>Pendiente</x:v>
      </x:c>
      <x:c r="H88" s="10"/>
      <x:c r="I88" s="10"/>
      <x:c r="J88" s="10"/>
      <x:c r="K88" s="10"/>
      <x:c r="L88" s="11"/>
      <x:c r="M88" s="12"/>
      <x:c r="N88" s="10"/>
    </x:row>
    <x:row r="89" ht="25" customHeight="1">
      <x:c r="A89" s="9" t="str">
        <x:v>QA-ITM-016</x:v>
      </x:c>
      <x:c r="B89" s="9" t="str">
        <x:v>ITM</x:v>
      </x:c>
      <x:c r="C89" s="9" t="str">
        <x:v>Elegir almacén</x:v>
      </x:c>
      <x:c r="D89" s="9" t="str">
        <x:v>P0</x:v>
      </x:c>
      <x:c r="E89" s="9" t="str">
        <x:v>Seguridad</x:v>
      </x:c>
      <x:c r="F89" s="9" t="str">
        <x:v>Navegador + HTTP + persistencia</x:v>
      </x:c>
      <x:c r="G89" s="10" t="str">
        <x:v>Pendiente</x:v>
      </x:c>
      <x:c r="H89" s="10"/>
      <x:c r="I89" s="10"/>
      <x:c r="J89" s="10"/>
      <x:c r="K89" s="10"/>
      <x:c r="L89" s="11"/>
      <x:c r="M89" s="12"/>
      <x:c r="N89" s="10"/>
    </x:row>
    <x:row r="90" ht="25" customHeight="1">
      <x:c r="A90" s="9" t="str">
        <x:v>QA-ITM-017</x:v>
      </x:c>
      <x:c r="B90" s="9" t="str">
        <x:v>ITM</x:v>
      </x:c>
      <x:c r="C90" s="9" t="str">
        <x:v>Cantidad decimal y precisión</x:v>
      </x:c>
      <x:c r="D90" s="9" t="str">
        <x:v>P1</x:v>
      </x:c>
      <x:c r="E90" s="9" t="str">
        <x:v>Positiva</x:v>
      </x:c>
      <x:c r="F90" s="9" t="str">
        <x:v>Navegador + HTTP + persistencia</x:v>
      </x:c>
      <x:c r="G90" s="10" t="str">
        <x:v>Pendiente</x:v>
      </x:c>
      <x:c r="H90" s="10"/>
      <x:c r="I90" s="10"/>
      <x:c r="J90" s="10"/>
      <x:c r="K90" s="10"/>
      <x:c r="L90" s="11"/>
      <x:c r="M90" s="12"/>
      <x:c r="N90" s="10"/>
    </x:row>
    <x:row r="91" ht="25" customHeight="1">
      <x:c r="A91" s="9" t="str">
        <x:v>QA-ITM-018</x:v>
      </x:c>
      <x:c r="B91" s="9" t="str">
        <x:v>ITM</x:v>
      </x:c>
      <x:c r="C91" s="9" t="str">
        <x:v>Cantidad inválida</x:v>
      </x:c>
      <x:c r="D91" s="9" t="str">
        <x:v>P0</x:v>
      </x:c>
      <x:c r="E91" s="9" t="str">
        <x:v>Negativa</x:v>
      </x:c>
      <x:c r="F91" s="9" t="str">
        <x:v>Navegador + HTTP + persistencia</x:v>
      </x:c>
      <x:c r="G91" s="10" t="str">
        <x:v>Pendiente</x:v>
      </x:c>
      <x:c r="H91" s="10"/>
      <x:c r="I91" s="10"/>
      <x:c r="J91" s="10"/>
      <x:c r="K91" s="10"/>
      <x:c r="L91" s="11"/>
      <x:c r="M91" s="12"/>
      <x:c r="N91" s="10"/>
    </x:row>
    <x:row r="92" ht="25" customHeight="1">
      <x:c r="A92" s="9" t="str">
        <x:v>QA-ITM-019</x:v>
      </x:c>
      <x:c r="B92" s="9" t="str">
        <x:v>ITM</x:v>
      </x:c>
      <x:c r="C92" s="9" t="str">
        <x:v>Precio cero y precio negativo</x:v>
      </x:c>
      <x:c r="D92" s="9" t="str">
        <x:v>P1</x:v>
      </x:c>
      <x:c r="E92" s="9" t="str">
        <x:v>Negativa</x:v>
      </x:c>
      <x:c r="F92" s="9" t="str">
        <x:v>Navegador + HTTP + persistencia</x:v>
      </x:c>
      <x:c r="G92" s="10" t="str">
        <x:v>Pendiente</x:v>
      </x:c>
      <x:c r="H92" s="10"/>
      <x:c r="I92" s="10"/>
      <x:c r="J92" s="10"/>
      <x:c r="K92" s="10"/>
      <x:c r="L92" s="11"/>
      <x:c r="M92" s="12"/>
      <x:c r="N92" s="10"/>
    </x:row>
    <x:row r="93" ht="25" customHeight="1">
      <x:c r="A93" s="9" t="str">
        <x:v>QA-ITM-020</x:v>
      </x:c>
      <x:c r="B93" s="9" t="str">
        <x:v>ITM</x:v>
      </x:c>
      <x:c r="C93" s="9" t="str">
        <x:v>Editar y eliminar línea</x:v>
      </x:c>
      <x:c r="D93" s="9" t="str">
        <x:v>P1</x:v>
      </x:c>
      <x:c r="E93" s="9" t="str">
        <x:v>Positiva</x:v>
      </x:c>
      <x:c r="F93" s="9" t="str">
        <x:v>Navegador + HTTP + persistencia</x:v>
      </x:c>
      <x:c r="G93" s="10" t="str">
        <x:v>Pendiente</x:v>
      </x:c>
      <x:c r="H93" s="10"/>
      <x:c r="I93" s="10"/>
      <x:c r="J93" s="10"/>
      <x:c r="K93" s="10"/>
      <x:c r="L93" s="11"/>
      <x:c r="M93" s="12"/>
      <x:c r="N93" s="10"/>
    </x:row>
    <x:row r="94" ht="25" customHeight="1">
      <x:c r="A94" s="9" t="str">
        <x:v>QA-ITM-021</x:v>
      </x:c>
      <x:c r="B94" s="9" t="str">
        <x:v>ITM</x:v>
      </x:c>
      <x:c r="C94" s="9" t="str">
        <x:v>Descripción comercial para PDF</x:v>
      </x:c>
      <x:c r="D94" s="9" t="str">
        <x:v>P1</x:v>
      </x:c>
      <x:c r="E94" s="9" t="str">
        <x:v>Positiva</x:v>
      </x:c>
      <x:c r="F94" s="9" t="str">
        <x:v>Navegador + HTTP + persistencia</x:v>
      </x:c>
      <x:c r="G94" s="10" t="str">
        <x:v>Pendiente</x:v>
      </x:c>
      <x:c r="H94" s="10"/>
      <x:c r="I94" s="10"/>
      <x:c r="J94" s="10"/>
      <x:c r="K94" s="10"/>
      <x:c r="L94" s="11"/>
      <x:c r="M94" s="12"/>
      <x:c r="N94" s="10"/>
    </x:row>
    <x:row r="95" ht="25" customHeight="1">
      <x:c r="A95" s="9" t="str">
        <x:v>QA-ITM-022</x:v>
      </x:c>
      <x:c r="B95" s="9" t="str">
        <x:v>ITM</x:v>
      </x:c>
      <x:c r="C95" s="9" t="str">
        <x:v>Atributos especiales de línea</x:v>
      </x:c>
      <x:c r="D95" s="9" t="str">
        <x:v>P1</x:v>
      </x:c>
      <x:c r="E95" s="9" t="str">
        <x:v>Positiva</x:v>
      </x:c>
      <x:c r="F95" s="9" t="str">
        <x:v>Navegador + HTTP + persistencia</x:v>
      </x:c>
      <x:c r="G95" s="10" t="str">
        <x:v>Pendiente</x:v>
      </x:c>
      <x:c r="H95" s="10"/>
      <x:c r="I95" s="10"/>
      <x:c r="J95" s="10"/>
      <x:c r="K95" s="10"/>
      <x:c r="L95" s="11"/>
      <x:c r="M95" s="12"/>
      <x:c r="N95" s="10"/>
    </x:row>
    <x:row r="96" ht="25" customHeight="1">
      <x:c r="A96" s="9" t="str">
        <x:v>QA-ITM-023</x:v>
      </x:c>
      <x:c r="B96" s="9" t="str">
        <x:v>ITM</x:v>
      </x:c>
      <x:c r="C96" s="9" t="str">
        <x:v>Producto restringido por comprobante</x:v>
      </x:c>
      <x:c r="D96" s="9" t="str">
        <x:v>P1</x:v>
      </x:c>
      <x:c r="E96" s="9" t="str">
        <x:v>Negativa</x:v>
      </x:c>
      <x:c r="F96" s="9" t="str">
        <x:v>Navegador + HTTP + persistencia</x:v>
      </x:c>
      <x:c r="G96" s="10" t="str">
        <x:v>Pendiente</x:v>
      </x:c>
      <x:c r="H96" s="10"/>
      <x:c r="I96" s="10"/>
      <x:c r="J96" s="10"/>
      <x:c r="K96" s="10"/>
      <x:c r="L96" s="11"/>
      <x:c r="M96" s="12"/>
      <x:c r="N96" s="10"/>
    </x:row>
    <x:row r="97" ht="25" customHeight="1">
      <x:c r="A97" s="9" t="str">
        <x:v>QA-ITM-024</x:v>
      </x:c>
      <x:c r="B97" s="9" t="str">
        <x:v>ITM</x:v>
      </x:c>
      <x:c r="C97" s="9" t="str">
        <x:v>Unidad inactiva o sin equivalencia HKA</x:v>
      </x:c>
      <x:c r="D97" s="9" t="str">
        <x:v>P1</x:v>
      </x:c>
      <x:c r="E97" s="9" t="str">
        <x:v>Negativa</x:v>
      </x:c>
      <x:c r="F97" s="9" t="str">
        <x:v>Navegador + HTTP + persistencia</x:v>
      </x:c>
      <x:c r="G97" s="10" t="str">
        <x:v>Pendiente</x:v>
      </x:c>
      <x:c r="H97" s="10"/>
      <x:c r="I97" s="10"/>
      <x:c r="J97" s="10"/>
      <x:c r="K97" s="10"/>
      <x:c r="L97" s="11"/>
      <x:c r="M97" s="12"/>
      <x:c r="N97" s="10"/>
    </x:row>
    <x:row r="98" ht="25" customHeight="1">
      <x:c r="A98" s="9" t="str">
        <x:v>QA-ITM-025</x:v>
      </x:c>
      <x:c r="B98" s="9" t="str">
        <x:v>ITM</x:v>
      </x:c>
      <x:c r="C98" s="9" t="str">
        <x:v>Producto inexistente o deshabilitado</x:v>
      </x:c>
      <x:c r="D98" s="9" t="str">
        <x:v>P0</x:v>
      </x:c>
      <x:c r="E98" s="9" t="str">
        <x:v>Seguridad</x:v>
      </x:c>
      <x:c r="F98" s="9" t="str">
        <x:v>Navegador + HTTP + persistencia</x:v>
      </x:c>
      <x:c r="G98" s="10" t="str">
        <x:v>Pendiente</x:v>
      </x:c>
      <x:c r="H98" s="10"/>
      <x:c r="I98" s="10"/>
      <x:c r="J98" s="10"/>
      <x:c r="K98" s="10"/>
      <x:c r="L98" s="11"/>
      <x:c r="M98" s="12"/>
      <x:c r="N98" s="10"/>
    </x:row>
    <x:row r="99" ht="25" customHeight="1">
      <x:c r="A99" s="9" t="str">
        <x:v>QA-CAL-001</x:v>
      </x:c>
      <x:c r="B99" s="9" t="str">
        <x:v>CAL</x:v>
      </x:c>
      <x:c r="C99" s="9" t="str">
        <x:v>IVA incluido y no incluido en alta de producto</x:v>
      </x:c>
      <x:c r="D99" s="9" t="str">
        <x:v>P0</x:v>
      </x:c>
      <x:c r="E99" s="9" t="str">
        <x:v>Positiva</x:v>
      </x:c>
      <x:c r="F99" s="9" t="str">
        <x:v>Navegador + HTTP + persistencia</x:v>
      </x:c>
      <x:c r="G99" s="10" t="str">
        <x:v>Pendiente</x:v>
      </x:c>
      <x:c r="H99" s="10"/>
      <x:c r="I99" s="10"/>
      <x:c r="J99" s="10"/>
      <x:c r="K99" s="10"/>
      <x:c r="L99" s="11"/>
      <x:c r="M99" s="12"/>
      <x:c r="N99" s="10"/>
    </x:row>
    <x:row r="100" ht="25" customHeight="1">
      <x:c r="A100" s="9" t="str">
        <x:v>QA-CAL-002</x:v>
      </x:c>
      <x:c r="B100" s="9" t="str">
        <x:v>CAL</x:v>
      </x:c>
      <x:c r="C100" s="9" t="str">
        <x:v>Recalcular totales manipulados</x:v>
      </x:c>
      <x:c r="D100" s="9" t="str">
        <x:v>P0</x:v>
      </x:c>
      <x:c r="E100" s="9" t="str">
        <x:v>Seguridad</x:v>
      </x:c>
      <x:c r="F100" s="9" t="str">
        <x:v>Navegador + HTTP + persistencia</x:v>
      </x:c>
      <x:c r="G100" s="10" t="str">
        <x:v>Pendiente</x:v>
      </x:c>
      <x:c r="H100" s="10"/>
      <x:c r="I100" s="10"/>
      <x:c r="J100" s="10"/>
      <x:c r="K100" s="10"/>
      <x:c r="L100" s="11"/>
      <x:c r="M100" s="12"/>
      <x:c r="N100" s="10"/>
    </x:row>
    <x:row r="101" ht="25" customHeight="1">
      <x:c r="A101" s="9" t="str">
        <x:v>QA-CAL-003</x:v>
      </x:c>
      <x:c r="B101" s="9" t="str">
        <x:v>CAL</x:v>
      </x:c>
      <x:c r="C101" s="9" t="str">
        <x:v>IVA configurado distinto al defecto</x:v>
      </x:c>
      <x:c r="D101" s="9" t="str">
        <x:v>P1</x:v>
      </x:c>
      <x:c r="E101" s="9" t="str">
        <x:v>Positiva</x:v>
      </x:c>
      <x:c r="F101" s="9" t="str">
        <x:v>Navegador + HTTP + persistencia</x:v>
      </x:c>
      <x:c r="G101" s="10" t="str">
        <x:v>Pendiente</x:v>
      </x:c>
      <x:c r="H101" s="10"/>
      <x:c r="I101" s="10"/>
      <x:c r="J101" s="10"/>
      <x:c r="K101" s="10"/>
      <x:c r="L101" s="11"/>
      <x:c r="M101" s="12"/>
      <x:c r="N101" s="10"/>
    </x:row>
    <x:row r="102" ht="25" customHeight="1">
      <x:c r="A102" s="9" t="str">
        <x:v>QA-CAL-004</x:v>
      </x:c>
      <x:c r="B102" s="9" t="str">
        <x:v>CAL</x:v>
      </x:c>
      <x:c r="C102" s="9" t="str">
        <x:v>Exento permanece a cero</x:v>
      </x:c>
      <x:c r="D102" s="9" t="str">
        <x:v>P1</x:v>
      </x:c>
      <x:c r="E102" s="9" t="str">
        <x:v>Positiva</x:v>
      </x:c>
      <x:c r="F102" s="9" t="str">
        <x:v>Navegador + HTTP + persistencia</x:v>
      </x:c>
      <x:c r="G102" s="10" t="str">
        <x:v>Pendiente</x:v>
      </x:c>
      <x:c r="H102" s="10"/>
      <x:c r="I102" s="10"/>
      <x:c r="J102" s="10"/>
      <x:c r="K102" s="10"/>
      <x:c r="L102" s="11"/>
      <x:c r="M102" s="12"/>
      <x:c r="N102" s="10"/>
    </x:row>
    <x:row r="103" ht="25" customHeight="1">
      <x:c r="A103" s="9" t="str">
        <x:v>QA-CAL-005</x:v>
      </x:c>
      <x:c r="B103" s="9" t="str">
        <x:v>CAL</x:v>
      </x:c>
      <x:c r="C103" s="9" t="str">
        <x:v>Afectaciones retiradas</x:v>
      </x:c>
      <x:c r="D103" s="9" t="str">
        <x:v>P0</x:v>
      </x:c>
      <x:c r="E103" s="9" t="str">
        <x:v>Negativa</x:v>
      </x:c>
      <x:c r="F103" s="9" t="str">
        <x:v>Navegador + HTTP + persistencia</x:v>
      </x:c>
      <x:c r="G103" s="10" t="str">
        <x:v>Pendiente</x:v>
      </x:c>
      <x:c r="H103" s="10"/>
      <x:c r="I103" s="10"/>
      <x:c r="J103" s="10"/>
      <x:c r="K103" s="10"/>
      <x:c r="L103" s="11"/>
      <x:c r="M103" s="12"/>
      <x:c r="N103" s="10"/>
    </x:row>
    <x:row r="104" ht="25" customHeight="1">
      <x:c r="A104" s="9" t="str">
        <x:v>QA-CAL-006</x:v>
      </x:c>
      <x:c r="B104" s="9" t="str">
        <x:v>CAL</x:v>
      </x:c>
      <x:c r="C104" s="9" t="str">
        <x:v>Descuento de línea sobre base</x:v>
      </x:c>
      <x:c r="D104" s="9" t="str">
        <x:v>P0</x:v>
      </x:c>
      <x:c r="E104" s="9" t="str">
        <x:v>Positiva</x:v>
      </x:c>
      <x:c r="F104" s="9" t="str">
        <x:v>Navegador + HTTP + persistencia</x:v>
      </x:c>
      <x:c r="G104" s="10" t="str">
        <x:v>Pendiente</x:v>
      </x:c>
      <x:c r="H104" s="10"/>
      <x:c r="I104" s="10"/>
      <x:c r="J104" s="10"/>
      <x:c r="K104" s="10"/>
      <x:c r="L104" s="11"/>
      <x:c r="M104" s="12"/>
      <x:c r="N104" s="10"/>
    </x:row>
    <x:row r="105" ht="25" customHeight="1">
      <x:c r="A105" s="9" t="str">
        <x:v>QA-CAL-007</x:v>
      </x:c>
      <x:c r="B105" s="9" t="str">
        <x:v>CAL</x:v>
      </x:c>
      <x:c r="C105" s="9" t="str">
        <x:v>Descuento de línea por importe</x:v>
      </x:c>
      <x:c r="D105" s="9" t="str">
        <x:v>P1</x:v>
      </x:c>
      <x:c r="E105" s="9" t="str">
        <x:v>Positiva</x:v>
      </x:c>
      <x:c r="F105" s="9" t="str">
        <x:v>Navegador + HTTP + persistencia</x:v>
      </x:c>
      <x:c r="G105" s="10" t="str">
        <x:v>Pendiente</x:v>
      </x:c>
      <x:c r="H105" s="10"/>
      <x:c r="I105" s="10"/>
      <x:c r="J105" s="10"/>
      <x:c r="K105" s="10"/>
      <x:c r="L105" s="11"/>
      <x:c r="M105" s="12"/>
      <x:c r="N105" s="10"/>
    </x:row>
    <x:row r="106" ht="25" customHeight="1">
      <x:c r="A106" s="9" t="str">
        <x:v>QA-CAL-008</x:v>
      </x:c>
      <x:c r="B106" s="9" t="str">
        <x:v>CAL</x:v>
      </x:c>
      <x:c r="C106" s="9" t="str">
        <x:v>Descuento sin afectar base</x:v>
      </x:c>
      <x:c r="D106" s="9" t="str">
        <x:v>P1</x:v>
      </x:c>
      <x:c r="E106" s="9" t="str">
        <x:v>Positiva</x:v>
      </x:c>
      <x:c r="F106" s="9" t="str">
        <x:v>Navegador + HTTP + persistencia</x:v>
      </x:c>
      <x:c r="G106" s="10" t="str">
        <x:v>Pendiente</x:v>
      </x:c>
      <x:c r="H106" s="10"/>
      <x:c r="I106" s="10"/>
      <x:c r="J106" s="10"/>
      <x:c r="K106" s="10"/>
      <x:c r="L106" s="11"/>
      <x:c r="M106" s="12"/>
      <x:c r="N106" s="10"/>
    </x:row>
    <x:row r="107" ht="25" customHeight="1">
      <x:c r="A107" s="9" t="str">
        <x:v>QA-CAL-009</x:v>
      </x:c>
      <x:c r="B107" s="9" t="str">
        <x:v>CAL</x:v>
      </x:c>
      <x:c r="C107" s="9" t="str">
        <x:v>Descuento global gravado</x:v>
      </x:c>
      <x:c r="D107" s="9" t="str">
        <x:v>P0</x:v>
      </x:c>
      <x:c r="E107" s="9" t="str">
        <x:v>Positiva</x:v>
      </x:c>
      <x:c r="F107" s="9" t="str">
        <x:v>Navegador + HTTP + persistencia</x:v>
      </x:c>
      <x:c r="G107" s="10" t="str">
        <x:v>Pendiente</x:v>
      </x:c>
      <x:c r="H107" s="10"/>
      <x:c r="I107" s="10"/>
      <x:c r="J107" s="10"/>
      <x:c r="K107" s="10"/>
      <x:c r="L107" s="11"/>
      <x:c r="M107" s="12"/>
      <x:c r="N107" s="10"/>
    </x:row>
    <x:row r="108" ht="25" customHeight="1">
      <x:c r="A108" s="9" t="str">
        <x:v>QA-CAL-010</x:v>
      </x:c>
      <x:c r="B108" s="9" t="str">
        <x:v>CAL</x:v>
      </x:c>
      <x:c r="C108" s="9" t="str">
        <x:v>Descuento global exento</x:v>
      </x:c>
      <x:c r="D108" s="9" t="str">
        <x:v>P1</x:v>
      </x:c>
      <x:c r="E108" s="9" t="str">
        <x:v>Positiva</x:v>
      </x:c>
      <x:c r="F108" s="9" t="str">
        <x:v>Navegador + HTTP + persistencia</x:v>
      </x:c>
      <x:c r="G108" s="10" t="str">
        <x:v>Pendiente</x:v>
      </x:c>
      <x:c r="H108" s="10"/>
      <x:c r="I108" s="10"/>
      <x:c r="J108" s="10"/>
      <x:c r="K108" s="10"/>
      <x:c r="L108" s="11"/>
      <x:c r="M108" s="12"/>
      <x:c r="N108" s="10"/>
    </x:row>
    <x:row r="109" ht="25" customHeight="1">
      <x:c r="A109" s="9" t="str">
        <x:v>QA-CAL-011</x:v>
      </x:c>
      <x:c r="B109" s="9" t="str">
        <x:v>CAL</x:v>
      </x:c>
      <x:c r="C109" s="9" t="str">
        <x:v>Factura mixta con global</x:v>
      </x:c>
      <x:c r="D109" s="9" t="str">
        <x:v>P0</x:v>
      </x:c>
      <x:c r="E109" s="9" t="str">
        <x:v>Positiva</x:v>
      </x:c>
      <x:c r="F109" s="9" t="str">
        <x:v>Navegador + HTTP + persistencia</x:v>
      </x:c>
      <x:c r="G109" s="10" t="str">
        <x:v>Pendiente</x:v>
      </x:c>
      <x:c r="H109" s="10"/>
      <x:c r="I109" s="10"/>
      <x:c r="J109" s="10"/>
      <x:c r="K109" s="10"/>
      <x:c r="L109" s="11"/>
      <x:c r="M109" s="12"/>
      <x:c r="N109" s="10"/>
    </x:row>
    <x:row r="110" ht="25" customHeight="1">
      <x:c r="A110" s="9" t="str">
        <x:v>QA-CAL-012</x:v>
      </x:c>
      <x:c r="B110" s="9" t="str">
        <x:v>CAL</x:v>
      </x:c>
      <x:c r="C110" s="9" t="str">
        <x:v>Descuentos inválidos</x:v>
      </x:c>
      <x:c r="D110" s="9" t="str">
        <x:v>P0</x:v>
      </x:c>
      <x:c r="E110" s="9" t="str">
        <x:v>Negativa</x:v>
      </x:c>
      <x:c r="F110" s="9" t="str">
        <x:v>Navegador + HTTP + persistencia</x:v>
      </x:c>
      <x:c r="G110" s="10" t="str">
        <x:v>Pendiente</x:v>
      </x:c>
      <x:c r="H110" s="10"/>
      <x:c r="I110" s="10"/>
      <x:c r="J110" s="10"/>
      <x:c r="K110" s="10"/>
      <x:c r="L110" s="11"/>
      <x:c r="M110" s="12"/>
      <x:c r="N110" s="10"/>
    </x:row>
    <x:row r="111" ht="25" customHeight="1">
      <x:c r="A111" s="9" t="str">
        <x:v>QA-CAL-013</x:v>
      </x:c>
      <x:c r="B111" s="9" t="str">
        <x:v>CAL</x:v>
      </x:c>
      <x:c r="C111" s="9" t="str">
        <x:v>Cargos de línea</x:v>
      </x:c>
      <x:c r="D111" s="9" t="str">
        <x:v>P1</x:v>
      </x:c>
      <x:c r="E111" s="9" t="str">
        <x:v>Positiva</x:v>
      </x:c>
      <x:c r="F111" s="9" t="str">
        <x:v>Navegador + HTTP + persistencia</x:v>
      </x:c>
      <x:c r="G111" s="10" t="str">
        <x:v>Pendiente</x:v>
      </x:c>
      <x:c r="H111" s="10"/>
      <x:c r="I111" s="10"/>
      <x:c r="J111" s="10"/>
      <x:c r="K111" s="10"/>
      <x:c r="L111" s="11"/>
      <x:c r="M111" s="12"/>
      <x:c r="N111" s="10"/>
    </x:row>
    <x:row r="112" ht="25" customHeight="1">
      <x:c r="A112" s="9" t="str">
        <x:v>QA-CAL-014</x:v>
      </x:c>
      <x:c r="B112" s="9" t="str">
        <x:v>CAL</x:v>
      </x:c>
      <x:c r="C112" s="9" t="str">
        <x:v>Cargos globales</x:v>
      </x:c>
      <x:c r="D112" s="9" t="str">
        <x:v>P1</x:v>
      </x:c>
      <x:c r="E112" s="9" t="str">
        <x:v>Positiva</x:v>
      </x:c>
      <x:c r="F112" s="9" t="str">
        <x:v>Navegador + HTTP + persistencia</x:v>
      </x:c>
      <x:c r="G112" s="10" t="str">
        <x:v>Pendiente</x:v>
      </x:c>
      <x:c r="H112" s="10"/>
      <x:c r="I112" s="10"/>
      <x:c r="J112" s="10"/>
      <x:c r="K112" s="10"/>
      <x:c r="L112" s="11"/>
      <x:c r="M112" s="12"/>
      <x:c r="N112" s="10"/>
    </x:row>
    <x:row r="113" ht="25" customHeight="1">
      <x:c r="A113" s="9" t="str">
        <x:v>QA-CAL-015</x:v>
      </x:c>
      <x:c r="B113" s="9" t="str">
        <x:v>CAL</x:v>
      </x:c>
      <x:c r="C113" s="9" t="str">
        <x:v>Todos los tipos de descuentos y cargos</x:v>
      </x:c>
      <x:c r="D113" s="9" t="str">
        <x:v>P1</x:v>
      </x:c>
      <x:c r="E113" s="9" t="str">
        <x:v>Positiva</x:v>
      </x:c>
      <x:c r="F113" s="9" t="str">
        <x:v>Navegador + HTTP + persistencia</x:v>
      </x:c>
      <x:c r="G113" s="10" t="str">
        <x:v>Pendiente</x:v>
      </x:c>
      <x:c r="H113" s="10"/>
      <x:c r="I113" s="10"/>
      <x:c r="J113" s="10"/>
      <x:c r="K113" s="10"/>
      <x:c r="L113" s="11"/>
      <x:c r="M113" s="12"/>
      <x:c r="N113" s="10"/>
    </x:row>
    <x:row r="114" ht="25" customHeight="1">
      <x:c r="A114" s="9" t="str">
        <x:v>QA-CAL-016</x:v>
      </x:c>
      <x:c r="B114" s="9" t="str">
        <x:v>CAL</x:v>
      </x:c>
      <x:c r="C114" s="9" t="str">
        <x:v>Otros impuestos identificados</x:v>
      </x:c>
      <x:c r="D114" s="9" t="str">
        <x:v>P1</x:v>
      </x:c>
      <x:c r="E114" s="9" t="str">
        <x:v>Negativa</x:v>
      </x:c>
      <x:c r="F114" s="9" t="str">
        <x:v>Navegador + HTTP + persistencia</x:v>
      </x:c>
      <x:c r="G114" s="10" t="str">
        <x:v>Pendiente</x:v>
      </x:c>
      <x:c r="H114" s="10"/>
      <x:c r="I114" s="10"/>
      <x:c r="J114" s="10"/>
      <x:c r="K114" s="10"/>
      <x:c r="L114" s="11"/>
      <x:c r="M114" s="12"/>
      <x:c r="N114" s="10"/>
    </x:row>
    <x:row r="115" ht="25" customHeight="1">
      <x:c r="A115" s="9" t="str">
        <x:v>QA-CAL-017</x:v>
      </x:c>
      <x:c r="B115" s="9" t="str">
        <x:v>CAL</x:v>
      </x:c>
      <x:c r="C115" s="9" t="str">
        <x:v>Redondeo de líneas</x:v>
      </x:c>
      <x:c r="D115" s="9" t="str">
        <x:v>P0</x:v>
      </x:c>
      <x:c r="E115" s="9" t="str">
        <x:v>Positiva</x:v>
      </x:c>
      <x:c r="F115" s="9" t="str">
        <x:v>Navegador + HTTP + persistencia</x:v>
      </x:c>
      <x:c r="G115" s="10" t="str">
        <x:v>Pendiente</x:v>
      </x:c>
      <x:c r="H115" s="10"/>
      <x:c r="I115" s="10"/>
      <x:c r="J115" s="10"/>
      <x:c r="K115" s="10"/>
      <x:c r="L115" s="11"/>
      <x:c r="M115" s="12"/>
      <x:c r="N115" s="10"/>
    </x:row>
    <x:row r="116" ht="25" customHeight="1">
      <x:c r="A116" s="9" t="str">
        <x:v>QA-CAL-018</x:v>
      </x:c>
      <x:c r="B116" s="9" t="str">
        <x:v>CAL</x:v>
      </x:c>
      <x:c r="C116" s="9" t="str">
        <x:v>Descuento con redondeo distribuido</x:v>
      </x:c>
      <x:c r="D116" s="9" t="str">
        <x:v>P0</x:v>
      </x:c>
      <x:c r="E116" s="9" t="str">
        <x:v>Positiva</x:v>
      </x:c>
      <x:c r="F116" s="9" t="str">
        <x:v>Navegador + HTTP + persistencia</x:v>
      </x:c>
      <x:c r="G116" s="10" t="str">
        <x:v>Pendiente</x:v>
      </x:c>
      <x:c r="H116" s="10"/>
      <x:c r="I116" s="10"/>
      <x:c r="J116" s="10"/>
      <x:c r="K116" s="10"/>
      <x:c r="L116" s="11"/>
      <x:c r="M116" s="12"/>
      <x:c r="N116" s="10"/>
    </x:row>
    <x:row r="117" ht="25" customHeight="1">
      <x:c r="A117" s="9" t="str">
        <x:v>QA-CAL-019</x:v>
      </x:c>
      <x:c r="B117" s="9" t="str">
        <x:v>CAL</x:v>
      </x:c>
      <x:c r="C117" s="9" t="str">
        <x:v>Total en letras y equivalentes</x:v>
      </x:c>
      <x:c r="D117" s="9" t="str">
        <x:v>P1</x:v>
      </x:c>
      <x:c r="E117" s="9" t="str">
        <x:v>Positiva</x:v>
      </x:c>
      <x:c r="F117" s="9" t="str">
        <x:v>Navegador + HTTP + persistencia</x:v>
      </x:c>
      <x:c r="G117" s="10" t="str">
        <x:v>Pendiente</x:v>
      </x:c>
      <x:c r="H117" s="10"/>
      <x:c r="I117" s="10"/>
      <x:c r="J117" s="10"/>
      <x:c r="K117" s="10"/>
      <x:c r="L117" s="11"/>
      <x:c r="M117" s="12"/>
      <x:c r="N117" s="10"/>
    </x:row>
    <x:row r="118" ht="25" customHeight="1">
      <x:c r="A118" s="9" t="str">
        <x:v>QA-FAC-001</x:v>
      </x:c>
      <x:c r="B118" s="9" t="str">
        <x:v>FAC</x:v>
      </x:c>
      <x:c r="C118" s="9" t="str">
        <x:v>Venta de contado pagada completamente</x:v>
      </x:c>
      <x:c r="D118" s="9" t="str">
        <x:v>P0</x:v>
      </x:c>
      <x:c r="E118" s="9" t="str">
        <x:v>Positiva</x:v>
      </x:c>
      <x:c r="F118" s="9" t="str">
        <x:v>Navegador + HTTP + persistencia</x:v>
      </x:c>
      <x:c r="G118" s="10" t="str">
        <x:v>Pendiente</x:v>
      </x:c>
      <x:c r="H118" s="10"/>
      <x:c r="I118" s="10"/>
      <x:c r="J118" s="10"/>
      <x:c r="K118" s="10"/>
      <x:c r="L118" s="11"/>
      <x:c r="M118" s="12"/>
      <x:c r="N118" s="10"/>
    </x:row>
    <x:row r="119" ht="25" customHeight="1">
      <x:c r="A119" s="9" t="str">
        <x:v>QA-FAC-002</x:v>
      </x:c>
      <x:c r="B119" s="9" t="str">
        <x:v>FAC</x:v>
      </x:c>
      <x:c r="C119" s="9" t="str">
        <x:v>Contado con varios medios</x:v>
      </x:c>
      <x:c r="D119" s="9" t="str">
        <x:v>P0</x:v>
      </x:c>
      <x:c r="E119" s="9" t="str">
        <x:v>Positiva</x:v>
      </x:c>
      <x:c r="F119" s="9" t="str">
        <x:v>Navegador + HTTP + persistencia</x:v>
      </x:c>
      <x:c r="G119" s="10" t="str">
        <x:v>Pendiente</x:v>
      </x:c>
      <x:c r="H119" s="10"/>
      <x:c r="I119" s="10"/>
      <x:c r="J119" s="10"/>
      <x:c r="K119" s="10"/>
      <x:c r="L119" s="11"/>
      <x:c r="M119" s="12"/>
      <x:c r="N119" s="10"/>
    </x:row>
    <x:row r="120" ht="25" customHeight="1">
      <x:c r="A120" s="9" t="str">
        <x:v>QA-FAC-003</x:v>
      </x:c>
      <x:c r="B120" s="9" t="str">
        <x:v>FAC</x:v>
      </x:c>
      <x:c r="C120" s="9" t="str">
        <x:v>Contado parcial o sin cobro</x:v>
      </x:c>
      <x:c r="D120" s="9" t="str">
        <x:v>P1</x:v>
      </x:c>
      <x:c r="E120" s="9" t="str">
        <x:v>Positiva</x:v>
      </x:c>
      <x:c r="F120" s="9" t="str">
        <x:v>Navegador + HTTP + persistencia</x:v>
      </x:c>
      <x:c r="G120" s="10" t="str">
        <x:v>Pendiente</x:v>
      </x:c>
      <x:c r="H120" s="10"/>
      <x:c r="I120" s="10"/>
      <x:c r="J120" s="10"/>
      <x:c r="K120" s="10"/>
      <x:c r="L120" s="11"/>
      <x:c r="M120" s="12"/>
      <x:c r="N120" s="10"/>
    </x:row>
    <x:row r="121" ht="25" customHeight="1">
      <x:c r="A121" s="9" t="str">
        <x:v>QA-FAC-004</x:v>
      </x:c>
      <x:c r="B121" s="9" t="str">
        <x:v>FAC</x:v>
      </x:c>
      <x:c r="C121" s="9" t="str">
        <x:v>Crédito sin pagos</x:v>
      </x:c>
      <x:c r="D121" s="9" t="str">
        <x:v>P0</x:v>
      </x:c>
      <x:c r="E121" s="9" t="str">
        <x:v>Positiva</x:v>
      </x:c>
      <x:c r="F121" s="9" t="str">
        <x:v>Navegador + HTTP + persistencia</x:v>
      </x:c>
      <x:c r="G121" s="10" t="str">
        <x:v>Pendiente</x:v>
      </x:c>
      <x:c r="H121" s="10"/>
      <x:c r="I121" s="10"/>
      <x:c r="J121" s="10"/>
      <x:c r="K121" s="10"/>
      <x:c r="L121" s="11"/>
      <x:c r="M121" s="12"/>
      <x:c r="N121" s="10"/>
    </x:row>
    <x:row r="122" ht="25" customHeight="1">
      <x:c r="A122" s="9" t="str">
        <x:v>QA-FAC-005</x:v>
      </x:c>
      <x:c r="B122" s="9" t="str">
        <x:v>FAC</x:v>
      </x:c>
      <x:c r="C122" s="9" t="str">
        <x:v>Crédito con inicial</x:v>
      </x:c>
      <x:c r="D122" s="9" t="str">
        <x:v>P1</x:v>
      </x:c>
      <x:c r="E122" s="9" t="str">
        <x:v>Positiva</x:v>
      </x:c>
      <x:c r="F122" s="9" t="str">
        <x:v>Navegador + HTTP + persistencia</x:v>
      </x:c>
      <x:c r="G122" s="10" t="str">
        <x:v>Pendiente</x:v>
      </x:c>
      <x:c r="H122" s="10"/>
      <x:c r="I122" s="10"/>
      <x:c r="J122" s="10"/>
      <x:c r="K122" s="10"/>
      <x:c r="L122" s="11"/>
      <x:c r="M122" s="12"/>
      <x:c r="N122" s="10"/>
    </x:row>
    <x:row r="123" ht="25" customHeight="1">
      <x:c r="A123" s="9" t="str">
        <x:v>QA-FAC-006</x:v>
      </x:c>
      <x:c r="B123" s="9" t="str">
        <x:v>FAC</x:v>
      </x:c>
      <x:c r="C123" s="9" t="str">
        <x:v>Crédito con cuotas</x:v>
      </x:c>
      <x:c r="D123" s="9" t="str">
        <x:v>P1</x:v>
      </x:c>
      <x:c r="E123" s="9" t="str">
        <x:v>Positiva</x:v>
      </x:c>
      <x:c r="F123" s="9" t="str">
        <x:v>Navegador + HTTP + persistencia</x:v>
      </x:c>
      <x:c r="G123" s="10" t="str">
        <x:v>Pendiente</x:v>
      </x:c>
      <x:c r="H123" s="10"/>
      <x:c r="I123" s="10"/>
      <x:c r="J123" s="10"/>
      <x:c r="K123" s="10"/>
      <x:c r="L123" s="11"/>
      <x:c r="M123" s="12"/>
      <x:c r="N123" s="10"/>
    </x:row>
    <x:row r="124" ht="25" customHeight="1">
      <x:c r="A124" s="9" t="str">
        <x:v>QA-FAC-007</x:v>
      </x:c>
      <x:c r="B124" s="9" t="str">
        <x:v>FAC</x:v>
      </x:c>
      <x:c r="C124" s="9" t="str">
        <x:v>Cuotas inválidas</x:v>
      </x:c>
      <x:c r="D124" s="9" t="str">
        <x:v>P1</x:v>
      </x:c>
      <x:c r="E124" s="9" t="str">
        <x:v>Negativa</x:v>
      </x:c>
      <x:c r="F124" s="9" t="str">
        <x:v>Navegador + HTTP + persistencia</x:v>
      </x:c>
      <x:c r="G124" s="10" t="str">
        <x:v>Pendiente</x:v>
      </x:c>
      <x:c r="H124" s="10"/>
      <x:c r="I124" s="10"/>
      <x:c r="J124" s="10"/>
      <x:c r="K124" s="10"/>
      <x:c r="L124" s="11"/>
      <x:c r="M124" s="12"/>
      <x:c r="N124" s="10"/>
    </x:row>
    <x:row r="125" ht="25" customHeight="1">
      <x:c r="A125" s="9" t="str">
        <x:v>QA-FAC-008</x:v>
      </x:c>
      <x:c r="B125" s="9" t="str">
        <x:v>FAC</x:v>
      </x:c>
      <x:c r="C125" s="9" t="str">
        <x:v>Cliente con crédito vencido</x:v>
      </x:c>
      <x:c r="D125" s="9" t="str">
        <x:v>P1</x:v>
      </x:c>
      <x:c r="E125" s="9" t="str">
        <x:v>Positiva</x:v>
      </x:c>
      <x:c r="F125" s="9" t="str">
        <x:v>Navegador + HTTP + persistencia</x:v>
      </x:c>
      <x:c r="G125" s="10" t="str">
        <x:v>Pendiente</x:v>
      </x:c>
      <x:c r="H125" s="10"/>
      <x:c r="I125" s="10"/>
      <x:c r="J125" s="10"/>
      <x:c r="K125" s="10"/>
      <x:c r="L125" s="11"/>
      <x:c r="M125" s="12"/>
      <x:c r="N125" s="10"/>
    </x:row>
    <x:row r="126" ht="25" customHeight="1">
      <x:c r="A126" s="9" t="str">
        <x:v>QA-FAC-009</x:v>
      </x:c>
      <x:c r="B126" s="9" t="str">
        <x:v>FAC</x:v>
      </x:c>
      <x:c r="C126" s="9" t="str">
        <x:v>Caja cerrada al entrar</x:v>
      </x:c>
      <x:c r="D126" s="9" t="str">
        <x:v>P0</x:v>
      </x:c>
      <x:c r="E126" s="9" t="str">
        <x:v>Negativa</x:v>
      </x:c>
      <x:c r="F126" s="9" t="str">
        <x:v>Navegador + HTTP + persistencia</x:v>
      </x:c>
      <x:c r="G126" s="10" t="str">
        <x:v>Pendiente</x:v>
      </x:c>
      <x:c r="H126" s="10"/>
      <x:c r="I126" s="10"/>
      <x:c r="J126" s="10"/>
      <x:c r="K126" s="10"/>
      <x:c r="L126" s="11"/>
      <x:c r="M126" s="12"/>
      <x:c r="N126" s="10"/>
    </x:row>
    <x:row r="127" ht="25" customHeight="1">
      <x:c r="A127" s="9" t="str">
        <x:v>QA-FAC-010</x:v>
      </x:c>
      <x:c r="B127" s="9" t="str">
        <x:v>FAC</x:v>
      </x:c>
      <x:c r="C127" s="9" t="str">
        <x:v>Caja cerrada durante el borrador</x:v>
      </x:c>
      <x:c r="D127" s="9" t="str">
        <x:v>P0</x:v>
      </x:c>
      <x:c r="E127" s="9" t="str">
        <x:v>Concurrencia</x:v>
      </x:c>
      <x:c r="F127" s="9" t="str">
        <x:v>Navegador + HTTP + persistencia</x:v>
      </x:c>
      <x:c r="G127" s="10" t="str">
        <x:v>Pendiente</x:v>
      </x:c>
      <x:c r="H127" s="10"/>
      <x:c r="I127" s="10"/>
      <x:c r="J127" s="10"/>
      <x:c r="K127" s="10"/>
      <x:c r="L127" s="11"/>
      <x:c r="M127" s="12"/>
      <x:c r="N127" s="10"/>
    </x:row>
    <x:row r="128" ht="25" customHeight="1">
      <x:c r="A128" s="9" t="str">
        <x:v>QA-FAC-011</x:v>
      </x:c>
      <x:c r="B128" s="9" t="str">
        <x:v>FAC</x:v>
      </x:c>
      <x:c r="C128" s="9" t="str">
        <x:v>Cancelar borrador</x:v>
      </x:c>
      <x:c r="D128" s="9" t="str">
        <x:v>P1</x:v>
      </x:c>
      <x:c r="E128" s="9" t="str">
        <x:v>Positiva</x:v>
      </x:c>
      <x:c r="F128" s="9" t="str">
        <x:v>Navegador + HTTP + persistencia</x:v>
      </x:c>
      <x:c r="G128" s="10" t="str">
        <x:v>Pendiente</x:v>
      </x:c>
      <x:c r="H128" s="10"/>
      <x:c r="I128" s="10"/>
      <x:c r="J128" s="10"/>
      <x:c r="K128" s="10"/>
      <x:c r="L128" s="11"/>
      <x:c r="M128" s="12"/>
      <x:c r="N128" s="10"/>
    </x:row>
    <x:row r="129" ht="25" customHeight="1">
      <x:c r="A129" s="9" t="str">
        <x:v>QA-FAC-012</x:v>
      </x:c>
      <x:c r="B129" s="9" t="str">
        <x:v>FAC</x:v>
      </x:c>
      <x:c r="C129" s="9" t="str">
        <x:v>Nueva factura después de generar</x:v>
      </x:c>
      <x:c r="D129" s="9" t="str">
        <x:v>P1</x:v>
      </x:c>
      <x:c r="E129" s="9" t="str">
        <x:v>Positiva</x:v>
      </x:c>
      <x:c r="F129" s="9" t="str">
        <x:v>Navegador + HTTP + persistencia</x:v>
      </x:c>
      <x:c r="G129" s="10" t="str">
        <x:v>Pendiente</x:v>
      </x:c>
      <x:c r="H129" s="10"/>
      <x:c r="I129" s="10"/>
      <x:c r="J129" s="10"/>
      <x:c r="K129" s="10"/>
      <x:c r="L129" s="11"/>
      <x:c r="M129" s="12"/>
      <x:c r="N129" s="10"/>
    </x:row>
    <x:row r="130" ht="25" customHeight="1">
      <x:c r="A130" s="9" t="str">
        <x:v>QA-FAC-013</x:v>
      </x:c>
      <x:c r="B130" s="9" t="str">
        <x:v>FAC</x:v>
      </x:c>
      <x:c r="C130" s="9" t="str">
        <x:v>Doble clic Generar</x:v>
      </x:c>
      <x:c r="D130" s="9" t="str">
        <x:v>P0</x:v>
      </x:c>
      <x:c r="E130" s="9" t="str">
        <x:v>Concurrencia</x:v>
      </x:c>
      <x:c r="F130" s="9" t="str">
        <x:v>Navegador + HTTP + persistencia</x:v>
      </x:c>
      <x:c r="G130" s="10" t="str">
        <x:v>Pendiente</x:v>
      </x:c>
      <x:c r="H130" s="10"/>
      <x:c r="I130" s="10"/>
      <x:c r="J130" s="10"/>
      <x:c r="K130" s="10"/>
      <x:c r="L130" s="11"/>
      <x:c r="M130" s="12"/>
      <x:c r="N130" s="10"/>
    </x:row>
    <x:row r="131" ht="25" customHeight="1">
      <x:c r="A131" s="9" t="str">
        <x:v>QA-FAC-014</x:v>
      </x:c>
      <x:c r="B131" s="9" t="str">
        <x:v>FAC</x:v>
      </x:c>
      <x:c r="C131" s="9" t="str">
        <x:v>Pérdida de respuesta de creación</x:v>
      </x:c>
      <x:c r="D131" s="9" t="str">
        <x:v>P0</x:v>
      </x:c>
      <x:c r="E131" s="9" t="str">
        <x:v>Concurrencia</x:v>
      </x:c>
      <x:c r="F131" s="9" t="str">
        <x:v>Navegador + HTTP + persistencia</x:v>
      </x:c>
      <x:c r="G131" s="10" t="str">
        <x:v>Pendiente</x:v>
      </x:c>
      <x:c r="H131" s="10"/>
      <x:c r="I131" s="10"/>
      <x:c r="J131" s="10"/>
      <x:c r="K131" s="10"/>
      <x:c r="L131" s="11"/>
      <x:c r="M131" s="12"/>
      <x:c r="N131" s="10"/>
    </x:row>
    <x:row r="132" ht="25" customHeight="1">
      <x:c r="A132" s="9" t="str">
        <x:v>QA-FAC-015</x:v>
      </x:c>
      <x:c r="B132" s="9" t="str">
        <x:v>FAC</x:v>
      </x:c>
      <x:c r="C132" s="9" t="str">
        <x:v>Límites del plan y tenant bloqueado</x:v>
      </x:c>
      <x:c r="D132" s="9" t="str">
        <x:v>P1</x:v>
      </x:c>
      <x:c r="E132" s="9" t="str">
        <x:v>Negativa</x:v>
      </x:c>
      <x:c r="F132" s="9" t="str">
        <x:v>Navegador + HTTP + persistencia</x:v>
      </x:c>
      <x:c r="G132" s="10" t="str">
        <x:v>Pendiente</x:v>
      </x:c>
      <x:c r="H132" s="10"/>
      <x:c r="I132" s="10"/>
      <x:c r="J132" s="10"/>
      <x:c r="K132" s="10"/>
      <x:c r="L132" s="11"/>
      <x:c r="M132" s="12"/>
      <x:c r="N132" s="10"/>
    </x:row>
    <x:row r="133" ht="25" customHeight="1">
      <x:c r="A133" s="9" t="str">
        <x:v>QA-FAC-016</x:v>
      </x:c>
      <x:c r="B133" s="9" t="str">
        <x:v>FAC</x:v>
      </x:c>
      <x:c r="C133" s="9" t="str">
        <x:v>Emisor conservado</x:v>
      </x:c>
      <x:c r="D133" s="9" t="str">
        <x:v>P0</x:v>
      </x:c>
      <x:c r="E133" s="9" t="str">
        <x:v>Positiva</x:v>
      </x:c>
      <x:c r="F133" s="9" t="str">
        <x:v>Navegador + HTTP + persistencia</x:v>
      </x:c>
      <x:c r="G133" s="10" t="str">
        <x:v>Pendiente</x:v>
      </x:c>
      <x:c r="H133" s="10"/>
      <x:c r="I133" s="10"/>
      <x:c r="J133" s="10"/>
      <x:c r="K133" s="10"/>
      <x:c r="L133" s="11"/>
      <x:c r="M133" s="12"/>
      <x:c r="N133" s="10"/>
    </x:row>
    <x:row r="134" ht="25" customHeight="1">
      <x:c r="A134" s="9" t="str">
        <x:v>QA-EXP-001</x:v>
      </x:c>
      <x:c r="B134" s="9" t="str">
        <x:v>EXP</x:v>
      </x:c>
      <x:c r="C134" s="9" t="str">
        <x:v>Exportación FOB en VES</x:v>
      </x:c>
      <x:c r="D134" s="9" t="str">
        <x:v>P0</x:v>
      </x:c>
      <x:c r="E134" s="9" t="str">
        <x:v>Positiva</x:v>
      </x:c>
      <x:c r="F134" s="9" t="str">
        <x:v>Navegador + HTTP + persistencia</x:v>
      </x:c>
      <x:c r="G134" s="10" t="str">
        <x:v>Pendiente</x:v>
      </x:c>
      <x:c r="H134" s="10"/>
      <x:c r="I134" s="10"/>
      <x:c r="J134" s="10"/>
      <x:c r="K134" s="10"/>
      <x:c r="L134" s="11"/>
      <x:c r="M134" s="12"/>
      <x:c r="N134" s="10"/>
    </x:row>
    <x:row r="135" ht="25" customHeight="1">
      <x:c r="A135" s="9" t="str">
        <x:v>QA-EXP-002</x:v>
      </x:c>
      <x:c r="B135" s="9" t="str">
        <x:v>EXP</x:v>
      </x:c>
      <x:c r="C135" s="9" t="str">
        <x:v>Exportación FOB en USD</x:v>
      </x:c>
      <x:c r="D135" s="9" t="str">
        <x:v>P0</x:v>
      </x:c>
      <x:c r="E135" s="9" t="str">
        <x:v>Positiva</x:v>
      </x:c>
      <x:c r="F135" s="9" t="str">
        <x:v>Navegador + HTTP + persistencia</x:v>
      </x:c>
      <x:c r="G135" s="10" t="str">
        <x:v>Pendiente</x:v>
      </x:c>
      <x:c r="H135" s="10"/>
      <x:c r="I135" s="10"/>
      <x:c r="J135" s="10"/>
      <x:c r="K135" s="10"/>
      <x:c r="L135" s="11"/>
      <x:c r="M135" s="12"/>
      <x:c r="N135" s="10"/>
    </x:row>
    <x:row r="136" ht="25" customHeight="1">
      <x:c r="A136" s="9" t="str">
        <x:v>QA-EXP-003</x:v>
      </x:c>
      <x:c r="B136" s="9" t="str">
        <x:v>EXP</x:v>
      </x:c>
      <x:c r="C136" s="9" t="str">
        <x:v>Exportación CIF en VES</x:v>
      </x:c>
      <x:c r="D136" s="9" t="str">
        <x:v>P0</x:v>
      </x:c>
      <x:c r="E136" s="9" t="str">
        <x:v>Positiva</x:v>
      </x:c>
      <x:c r="F136" s="9" t="str">
        <x:v>Navegador + HTTP + persistencia</x:v>
      </x:c>
      <x:c r="G136" s="10" t="str">
        <x:v>Pendiente</x:v>
      </x:c>
      <x:c r="H136" s="10"/>
      <x:c r="I136" s="10"/>
      <x:c r="J136" s="10"/>
      <x:c r="K136" s="10"/>
      <x:c r="L136" s="11"/>
      <x:c r="M136" s="12"/>
      <x:c r="N136" s="10"/>
    </x:row>
    <x:row r="137" ht="25" customHeight="1">
      <x:c r="A137" s="9" t="str">
        <x:v>QA-EXP-004</x:v>
      </x:c>
      <x:c r="B137" s="9" t="str">
        <x:v>EXP</x:v>
      </x:c>
      <x:c r="C137" s="9" t="str">
        <x:v>Exportación CIF en USD</x:v>
      </x:c>
      <x:c r="D137" s="9" t="str">
        <x:v>P0</x:v>
      </x:c>
      <x:c r="E137" s="9" t="str">
        <x:v>Positiva</x:v>
      </x:c>
      <x:c r="F137" s="9" t="str">
        <x:v>Navegador + HTTP + persistencia</x:v>
      </x:c>
      <x:c r="G137" s="10" t="str">
        <x:v>Pendiente</x:v>
      </x:c>
      <x:c r="H137" s="10"/>
      <x:c r="I137" s="10"/>
      <x:c r="J137" s="10"/>
      <x:c r="K137" s="10"/>
      <x:c r="L137" s="11"/>
      <x:c r="M137" s="12"/>
      <x:c r="N137" s="10"/>
    </x:row>
    <x:row r="138" ht="25" customHeight="1">
      <x:c r="A138" s="9" t="str">
        <x:v>QA-EXP-005</x:v>
      </x:c>
      <x:c r="B138" s="9" t="str">
        <x:v>EXP</x:v>
      </x:c>
      <x:c r="C138" s="9" t="str">
        <x:v>Exportación EXW en VES</x:v>
      </x:c>
      <x:c r="D138" s="9" t="str">
        <x:v>P0</x:v>
      </x:c>
      <x:c r="E138" s="9" t="str">
        <x:v>Positiva</x:v>
      </x:c>
      <x:c r="F138" s="9" t="str">
        <x:v>Navegador + HTTP + persistencia</x:v>
      </x:c>
      <x:c r="G138" s="10" t="str">
        <x:v>Pendiente</x:v>
      </x:c>
      <x:c r="H138" s="10"/>
      <x:c r="I138" s="10"/>
      <x:c r="J138" s="10"/>
      <x:c r="K138" s="10"/>
      <x:c r="L138" s="11"/>
      <x:c r="M138" s="12"/>
      <x:c r="N138" s="10"/>
    </x:row>
    <x:row r="139" ht="25" customHeight="1">
      <x:c r="A139" s="9" t="str">
        <x:v>QA-EXP-006</x:v>
      </x:c>
      <x:c r="B139" s="9" t="str">
        <x:v>EXP</x:v>
      </x:c>
      <x:c r="C139" s="9" t="str">
        <x:v>Exportación EXW en USD</x:v>
      </x:c>
      <x:c r="D139" s="9" t="str">
        <x:v>P0</x:v>
      </x:c>
      <x:c r="E139" s="9" t="str">
        <x:v>Positiva</x:v>
      </x:c>
      <x:c r="F139" s="9" t="str">
        <x:v>Navegador + HTTP + persistencia</x:v>
      </x:c>
      <x:c r="G139" s="10" t="str">
        <x:v>Pendiente</x:v>
      </x:c>
      <x:c r="H139" s="10"/>
      <x:c r="I139" s="10"/>
      <x:c r="J139" s="10"/>
      <x:c r="K139" s="10"/>
      <x:c r="L139" s="11"/>
      <x:c r="M139" s="12"/>
      <x:c r="N139" s="10"/>
    </x:row>
    <x:row r="140" ht="25" customHeight="1">
      <x:c r="A140" s="9" t="str">
        <x:v>QA-EXP-007</x:v>
      </x:c>
      <x:c r="B140" s="9" t="str">
        <x:v>EXP</x:v>
      </x:c>
      <x:c r="C140" s="9" t="str">
        <x:v>Comprador extranjero literal</x:v>
      </x:c>
      <x:c r="D140" s="9" t="str">
        <x:v>P1</x:v>
      </x:c>
      <x:c r="E140" s="9" t="str">
        <x:v>Positiva</x:v>
      </x:c>
      <x:c r="F140" s="9" t="str">
        <x:v>Navegador + HTTP + persistencia</x:v>
      </x:c>
      <x:c r="G140" s="10" t="str">
        <x:v>Pendiente</x:v>
      </x:c>
      <x:c r="H140" s="10"/>
      <x:c r="I140" s="10"/>
      <x:c r="J140" s="10"/>
      <x:c r="K140" s="10"/>
      <x:c r="L140" s="11"/>
      <x:c r="M140" s="12"/>
      <x:c r="N140" s="10"/>
    </x:row>
    <x:row r="141" ht="25" customHeight="1">
      <x:c r="A141" s="9" t="str">
        <x:v>QA-EXP-008</x:v>
      </x:c>
      <x:c r="B141" s="9" t="str">
        <x:v>EXP</x:v>
      </x:c>
      <x:c r="C141" s="9" t="str">
        <x:v>Limpiar comprador al cambiar operación</x:v>
      </x:c>
      <x:c r="D141" s="9" t="str">
        <x:v>P0</x:v>
      </x:c>
      <x:c r="E141" s="9" t="str">
        <x:v>Negativa</x:v>
      </x:c>
      <x:c r="F141" s="9" t="str">
        <x:v>Navegador + HTTP + persistencia</x:v>
      </x:c>
      <x:c r="G141" s="10" t="str">
        <x:v>Pendiente</x:v>
      </x:c>
      <x:c r="H141" s="10"/>
      <x:c r="I141" s="10"/>
      <x:c r="J141" s="10"/>
      <x:c r="K141" s="10"/>
      <x:c r="L141" s="11"/>
      <x:c r="M141" s="12"/>
      <x:c r="N141" s="10"/>
    </x:row>
    <x:row r="142" ht="25" customHeight="1">
      <x:c r="A142" s="9" t="str">
        <x:v>QA-EXP-009</x:v>
      </x:c>
      <x:c r="B142" s="9" t="str">
        <x:v>EXP</x:v>
      </x:c>
      <x:c r="C142" s="9" t="str">
        <x:v>Todas las líneas deben ser EXP</x:v>
      </x:c>
      <x:c r="D142" s="9" t="str">
        <x:v>P0</x:v>
      </x:c>
      <x:c r="E142" s="9" t="str">
        <x:v>Negativa</x:v>
      </x:c>
      <x:c r="F142" s="9" t="str">
        <x:v>Navegador + HTTP + persistencia</x:v>
      </x:c>
      <x:c r="G142" s="10" t="str">
        <x:v>Pendiente</x:v>
      </x:c>
      <x:c r="H142" s="10"/>
      <x:c r="I142" s="10"/>
      <x:c r="J142" s="10"/>
      <x:c r="K142" s="10"/>
      <x:c r="L142" s="11"/>
      <x:c r="M142" s="12"/>
      <x:c r="N142" s="10"/>
    </x:row>
    <x:row r="143" ht="25" customHeight="1">
      <x:c r="A143" s="9" t="str">
        <x:v>QA-EXP-010</x:v>
      </x:c>
      <x:c r="B143" s="9" t="str">
        <x:v>EXP</x:v>
      </x:c>
      <x:c r="C143" s="9" t="str">
        <x:v>Servicios exportados bloqueados</x:v>
      </x:c>
      <x:c r="D143" s="9" t="str">
        <x:v>P0</x:v>
      </x:c>
      <x:c r="E143" s="9" t="str">
        <x:v>Negativa</x:v>
      </x:c>
      <x:c r="F143" s="9" t="str">
        <x:v>Navegador + HTTP + persistencia</x:v>
      </x:c>
      <x:c r="G143" s="10" t="str">
        <x:v>Pendiente</x:v>
      </x:c>
      <x:c r="H143" s="10"/>
      <x:c r="I143" s="10"/>
      <x:c r="J143" s="10"/>
      <x:c r="K143" s="10"/>
      <x:c r="L143" s="11"/>
      <x:c r="M143" s="12"/>
      <x:c r="N143" s="10"/>
    </x:row>
    <x:row r="144" ht="25" customHeight="1">
      <x:c r="A144" s="9" t="str">
        <x:v>QA-EXP-011</x:v>
      </x:c>
      <x:c r="B144" s="9" t="str">
        <x:v>EXP</x:v>
      </x:c>
      <x:c r="C144" s="9" t="str">
        <x:v>Exportación genérica 0200 y código FE</x:v>
      </x:c>
      <x:c r="D144" s="9" t="str">
        <x:v>P0</x:v>
      </x:c>
      <x:c r="E144" s="9" t="str">
        <x:v>Negativa</x:v>
      </x:c>
      <x:c r="F144" s="9" t="str">
        <x:v>Navegador + HTTP + persistencia</x:v>
      </x:c>
      <x:c r="G144" s="10" t="str">
        <x:v>Pendiente</x:v>
      </x:c>
      <x:c r="H144" s="10"/>
      <x:c r="I144" s="10"/>
      <x:c r="J144" s="10"/>
      <x:c r="K144" s="10"/>
      <x:c r="L144" s="11"/>
      <x:c r="M144" s="12"/>
      <x:c r="N144" s="10"/>
    </x:row>
    <x:row r="145" ht="25" customHeight="1">
      <x:c r="A145" s="9" t="str">
        <x:v>QA-EXP-012</x:v>
      </x:c>
      <x:c r="B145" s="9" t="str">
        <x:v>EXP</x:v>
      </x:c>
      <x:c r="C145" s="9" t="str">
        <x:v>Exportación por otros canales bloqueada</x:v>
      </x:c>
      <x:c r="D145" s="9" t="str">
        <x:v>P0</x:v>
      </x:c>
      <x:c r="E145" s="9" t="str">
        <x:v>Seguridad</x:v>
      </x:c>
      <x:c r="F145" s="9" t="str">
        <x:v>Navegador + HTTP + persistencia</x:v>
      </x:c>
      <x:c r="G145" s="10" t="str">
        <x:v>Pendiente</x:v>
      </x:c>
      <x:c r="H145" s="10"/>
      <x:c r="I145" s="10"/>
      <x:c r="J145" s="10"/>
      <x:c r="K145" s="10"/>
      <x:c r="L145" s="11"/>
      <x:c r="M145" s="12"/>
      <x:c r="N145" s="10"/>
    </x:row>
    <x:row r="146" ht="25" customHeight="1">
      <x:c r="A146" s="9" t="str">
        <x:v>QA-EXP-013</x:v>
      </x:c>
      <x:c r="B146" s="9" t="str">
        <x:v>EXP</x:v>
      </x:c>
      <x:c r="C146" s="9" t="str">
        <x:v>Exportación con terceros o regímenes</x:v>
      </x:c>
      <x:c r="D146" s="9" t="str">
        <x:v>P0</x:v>
      </x:c>
      <x:c r="E146" s="9" t="str">
        <x:v>Negativa</x:v>
      </x:c>
      <x:c r="F146" s="9" t="str">
        <x:v>Navegador + HTTP + persistencia</x:v>
      </x:c>
      <x:c r="G146" s="10" t="str">
        <x:v>Pendiente</x:v>
      </x:c>
      <x:c r="H146" s="10"/>
      <x:c r="I146" s="10"/>
      <x:c r="J146" s="10"/>
      <x:c r="K146" s="10"/>
      <x:c r="L146" s="11"/>
      <x:c r="M146" s="12"/>
      <x:c r="N146" s="10"/>
    </x:row>
    <x:row r="147" ht="25" customHeight="1">
      <x:c r="A147" s="9" t="str">
        <x:v>QA-EXP-014</x:v>
      </x:c>
      <x:c r="B147" s="9" t="str">
        <x:v>EXP</x:v>
      </x:c>
      <x:c r="C147" s="9" t="str">
        <x:v>Descuentos y cargos en exportación USD</x:v>
      </x:c>
      <x:c r="D147" s="9" t="str">
        <x:v>P0</x:v>
      </x:c>
      <x:c r="E147" s="9" t="str">
        <x:v>Positiva</x:v>
      </x:c>
      <x:c r="F147" s="9" t="str">
        <x:v>Navegador + HTTP + persistencia</x:v>
      </x:c>
      <x:c r="G147" s="10" t="str">
        <x:v>Pendiente</x:v>
      </x:c>
      <x:c r="H147" s="10"/>
      <x:c r="I147" s="10"/>
      <x:c r="J147" s="10"/>
      <x:c r="K147" s="10"/>
      <x:c r="L147" s="11"/>
      <x:c r="M147" s="12"/>
      <x:c r="N147" s="10"/>
    </x:row>
    <x:row r="148" ht="25" customHeight="1">
      <x:c r="A148" s="9" t="str">
        <x:v>QA-EXP-015</x:v>
      </x:c>
      <x:c r="B148" s="9" t="str">
        <x:v>EXP</x:v>
      </x:c>
      <x:c r="C148" s="9" t="str">
        <x:v>Crédito de exportación sin cobros</x:v>
      </x:c>
      <x:c r="D148" s="9" t="str">
        <x:v>P0</x:v>
      </x:c>
      <x:c r="E148" s="9" t="str">
        <x:v>Límite conocido</x:v>
      </x:c>
      <x:c r="F148" s="9" t="str">
        <x:v>Navegador + HTTP + persistencia</x:v>
      </x:c>
      <x:c r="G148" s="10" t="str">
        <x:v>Pendiente</x:v>
      </x:c>
      <x:c r="H148" s="10"/>
      <x:c r="I148" s="10"/>
      <x:c r="J148" s="10"/>
      <x:c r="K148" s="10"/>
      <x:c r="L148" s="11"/>
      <x:c r="M148" s="12"/>
      <x:c r="N148" s="10"/>
    </x:row>
    <x:row r="149" ht="25" customHeight="1">
      <x:c r="A149" s="9" t="str">
        <x:v>QA-EXP-016</x:v>
      </x:c>
      <x:c r="B149" s="9" t="str">
        <x:v>EXP</x:v>
      </x:c>
      <x:c r="C149" s="9" t="str">
        <x:v>Editar INCOTERM antes de HKA</x:v>
      </x:c>
      <x:c r="D149" s="9" t="str">
        <x:v>P0</x:v>
      </x:c>
      <x:c r="E149" s="9" t="str">
        <x:v>Positiva</x:v>
      </x:c>
      <x:c r="F149" s="9" t="str">
        <x:v>Navegador + HTTP + persistencia</x:v>
      </x:c>
      <x:c r="G149" s="10" t="str">
        <x:v>Pendiente</x:v>
      </x:c>
      <x:c r="H149" s="10"/>
      <x:c r="I149" s="10"/>
      <x:c r="J149" s="10"/>
      <x:c r="K149" s="10"/>
      <x:c r="L149" s="11"/>
      <x:c r="M149" s="12"/>
      <x:c r="N149" s="10"/>
    </x:row>
    <x:row r="150" ht="25" customHeight="1">
      <x:c r="A150" s="9" t="str">
        <x:v>QA-EXP-017</x:v>
      </x:c>
      <x:c r="B150" s="9" t="str">
        <x:v>EXP</x:v>
      </x:c>
      <x:c r="C150" s="9" t="str">
        <x:v>Prohibir conversión interna a exportación</x:v>
      </x:c>
      <x:c r="D150" s="9" t="str">
        <x:v>P0</x:v>
      </x:c>
      <x:c r="E150" s="9" t="str">
        <x:v>Negativa</x:v>
      </x:c>
      <x:c r="F150" s="9" t="str">
        <x:v>Navegador + HTTP + persistencia</x:v>
      </x:c>
      <x:c r="G150" s="10" t="str">
        <x:v>Pendiente</x:v>
      </x:c>
      <x:c r="H150" s="10"/>
      <x:c r="I150" s="10"/>
      <x:c r="J150" s="10"/>
      <x:c r="K150" s="10"/>
      <x:c r="L150" s="11"/>
      <x:c r="M150" s="12"/>
      <x:c r="N150" s="10"/>
    </x:row>
    <x:row r="151" ht="25" customHeight="1">
      <x:c r="A151" s="9" t="str">
        <x:v>QA-EXP-018</x:v>
      </x:c>
      <x:c r="B151" s="9" t="str">
        <x:v>EXP</x:v>
      </x:c>
      <x:c r="C151" s="9" t="str">
        <x:v>Notas e IGTF posterior de exportación</x:v>
      </x:c>
      <x:c r="D151" s="9" t="str">
        <x:v>P0</x:v>
      </x:c>
      <x:c r="E151" s="9" t="str">
        <x:v>Negativa</x:v>
      </x:c>
      <x:c r="F151" s="9" t="str">
        <x:v>Navegador + HTTP + persistencia</x:v>
      </x:c>
      <x:c r="G151" s="10" t="str">
        <x:v>Pendiente</x:v>
      </x:c>
      <x:c r="H151" s="10"/>
      <x:c r="I151" s="10"/>
      <x:c r="J151" s="10"/>
      <x:c r="K151" s="10"/>
      <x:c r="L151" s="11"/>
      <x:c r="M151" s="12"/>
      <x:c r="N151" s="10"/>
    </x:row>
    <x:row r="152" ht="25" customHeight="1">
      <x:c r="A152" s="9" t="str">
        <x:v>QA-TER-001</x:v>
      </x:c>
      <x:c r="B152" s="9" t="str">
        <x:v>TER</x:v>
      </x:c>
      <x:c r="C152" s="9" t="str">
        <x:v>Alta de titular desde factura</x:v>
      </x:c>
      <x:c r="D152" s="9" t="str">
        <x:v>P0</x:v>
      </x:c>
      <x:c r="E152" s="9" t="str">
        <x:v>Positiva</x:v>
      </x:c>
      <x:c r="F152" s="9" t="str">
        <x:v>Navegador + HTTP + persistencia</x:v>
      </x:c>
      <x:c r="G152" s="10" t="str">
        <x:v>Pendiente</x:v>
      </x:c>
      <x:c r="H152" s="10"/>
      <x:c r="I152" s="10"/>
      <x:c r="J152" s="10"/>
      <x:c r="K152" s="10"/>
      <x:c r="L152" s="11"/>
      <x:c r="M152" s="12"/>
      <x:c r="N152" s="10"/>
    </x:row>
    <x:row r="153" ht="25" customHeight="1">
      <x:c r="A153" s="9" t="str">
        <x:v>QA-TER-002</x:v>
      </x:c>
      <x:c r="B153" s="9" t="str">
        <x:v>TER</x:v>
      </x:c>
      <x:c r="C153" s="9" t="str">
        <x:v>Venta por terceros VES</x:v>
      </x:c>
      <x:c r="D153" s="9" t="str">
        <x:v>P0</x:v>
      </x:c>
      <x:c r="E153" s="9" t="str">
        <x:v>Positiva</x:v>
      </x:c>
      <x:c r="F153" s="9" t="str">
        <x:v>Navegador + HTTP + persistencia</x:v>
      </x:c>
      <x:c r="G153" s="10" t="str">
        <x:v>Pendiente</x:v>
      </x:c>
      <x:c r="H153" s="10"/>
      <x:c r="I153" s="10"/>
      <x:c r="J153" s="10"/>
      <x:c r="K153" s="10"/>
      <x:c r="L153" s="11"/>
      <x:c r="M153" s="12"/>
      <x:c r="N153" s="10"/>
    </x:row>
    <x:row r="154" ht="25" customHeight="1">
      <x:c r="A154" s="9" t="str">
        <x:v>QA-TER-003</x:v>
      </x:c>
      <x:c r="B154" s="9" t="str">
        <x:v>TER</x:v>
      </x:c>
      <x:c r="C154" s="9" t="str">
        <x:v>Venta por terceros USD con cargos</x:v>
      </x:c>
      <x:c r="D154" s="9" t="str">
        <x:v>P0</x:v>
      </x:c>
      <x:c r="E154" s="9" t="str">
        <x:v>Positiva</x:v>
      </x:c>
      <x:c r="F154" s="9" t="str">
        <x:v>Navegador + HTTP + persistencia</x:v>
      </x:c>
      <x:c r="G154" s="10" t="str">
        <x:v>Pendiente</x:v>
      </x:c>
      <x:c r="H154" s="10"/>
      <x:c r="I154" s="10"/>
      <x:c r="J154" s="10"/>
      <x:c r="K154" s="10"/>
      <x:c r="L154" s="11"/>
      <x:c r="M154" s="12"/>
      <x:c r="N154" s="10"/>
    </x:row>
    <x:row r="155" ht="25" customHeight="1">
      <x:c r="A155" s="9" t="str">
        <x:v>QA-TER-004</x:v>
      </x:c>
      <x:c r="B155" s="9" t="str">
        <x:v>TER</x:v>
      </x:c>
      <x:c r="C155" s="9" t="str">
        <x:v>Editar titular desde borrador</x:v>
      </x:c>
      <x:c r="D155" s="9" t="str">
        <x:v>P1</x:v>
      </x:c>
      <x:c r="E155" s="9" t="str">
        <x:v>Positiva</x:v>
      </x:c>
      <x:c r="F155" s="9" t="str">
        <x:v>Navegador + HTTP + persistencia</x:v>
      </x:c>
      <x:c r="G155" s="10" t="str">
        <x:v>Pendiente</x:v>
      </x:c>
      <x:c r="H155" s="10"/>
      <x:c r="I155" s="10"/>
      <x:c r="J155" s="10"/>
      <x:c r="K155" s="10"/>
      <x:c r="L155" s="11"/>
      <x:c r="M155" s="12"/>
      <x:c r="N155" s="10"/>
    </x:row>
    <x:row r="156" ht="25" customHeight="1">
      <x:c r="A156" s="9" t="str">
        <x:v>QA-TER-005</x:v>
      </x:c>
      <x:c r="B156" s="9" t="str">
        <x:v>TER</x:v>
      </x:c>
      <x:c r="C156" s="9" t="str">
        <x:v>Titular inválido</x:v>
      </x:c>
      <x:c r="D156" s="9" t="str">
        <x:v>P0</x:v>
      </x:c>
      <x:c r="E156" s="9" t="str">
        <x:v>Seguridad</x:v>
      </x:c>
      <x:c r="F156" s="9" t="str">
        <x:v>Navegador + HTTP + persistencia</x:v>
      </x:c>
      <x:c r="G156" s="10" t="str">
        <x:v>Pendiente</x:v>
      </x:c>
      <x:c r="H156" s="10"/>
      <x:c r="I156" s="10"/>
      <x:c r="J156" s="10"/>
      <x:c r="K156" s="10"/>
      <x:c r="L156" s="11"/>
      <x:c r="M156" s="12"/>
      <x:c r="N156" s="10"/>
    </x:row>
    <x:row r="157" ht="25" customHeight="1">
      <x:c r="A157" s="9" t="str">
        <x:v>QA-TER-006</x:v>
      </x:c>
      <x:c r="B157" s="9" t="str">
        <x:v>TER</x:v>
      </x:c>
      <x:c r="C157" s="9" t="str">
        <x:v>RIF fiscal del titular inválido o duplicado</x:v>
      </x:c>
      <x:c r="D157" s="9" t="str">
        <x:v>P1</x:v>
      </x:c>
      <x:c r="E157" s="9" t="str">
        <x:v>Negativa</x:v>
      </x:c>
      <x:c r="F157" s="9" t="str">
        <x:v>Navegador + HTTP + persistencia</x:v>
      </x:c>
      <x:c r="G157" s="10" t="str">
        <x:v>Pendiente</x:v>
      </x:c>
      <x:c r="H157" s="10"/>
      <x:c r="I157" s="10"/>
      <x:c r="J157" s="10"/>
      <x:c r="K157" s="10"/>
      <x:c r="L157" s="11"/>
      <x:c r="M157" s="12"/>
      <x:c r="N157" s="10"/>
    </x:row>
    <x:row r="158" ht="25" customHeight="1">
      <x:c r="A158" s="9" t="str">
        <x:v>QA-TER-007</x:v>
      </x:c>
      <x:c r="B158" s="9" t="str">
        <x:v>TER</x:v>
      </x:c>
      <x:c r="C158" s="9" t="str">
        <x:v>Terceros requiere contado completo</x:v>
      </x:c>
      <x:c r="D158" s="9" t="str">
        <x:v>P0</x:v>
      </x:c>
      <x:c r="E158" s="9" t="str">
        <x:v>Negativa</x:v>
      </x:c>
      <x:c r="F158" s="9" t="str">
        <x:v>Navegador + HTTP + persistencia</x:v>
      </x:c>
      <x:c r="G158" s="10" t="str">
        <x:v>Pendiente</x:v>
      </x:c>
      <x:c r="H158" s="10"/>
      <x:c r="I158" s="10"/>
      <x:c r="J158" s="10"/>
      <x:c r="K158" s="10"/>
      <x:c r="L158" s="11"/>
      <x:c r="M158" s="12"/>
      <x:c r="N158" s="10"/>
    </x:row>
    <x:row r="159" ht="25" customHeight="1">
      <x:c r="A159" s="9" t="str">
        <x:v>QA-TER-008</x:v>
      </x:c>
      <x:c r="B159" s="9" t="str">
        <x:v>TER</x:v>
      </x:c>
      <x:c r="C159" s="9" t="str">
        <x:v>Categorías incompatibles de terceros</x:v>
      </x:c>
      <x:c r="D159" s="9" t="str">
        <x:v>P0</x:v>
      </x:c>
      <x:c r="E159" s="9" t="str">
        <x:v>Negativa</x:v>
      </x:c>
      <x:c r="F159" s="9" t="str">
        <x:v>Navegador + HTTP + persistencia</x:v>
      </x:c>
      <x:c r="G159" s="10" t="str">
        <x:v>Pendiente</x:v>
      </x:c>
      <x:c r="H159" s="10"/>
      <x:c r="I159" s="10"/>
      <x:c r="J159" s="10"/>
      <x:c r="K159" s="10"/>
      <x:c r="L159" s="11"/>
      <x:c r="M159" s="12"/>
      <x:c r="N159" s="10"/>
    </x:row>
    <x:row r="160" ht="25" customHeight="1">
      <x:c r="A160" s="9" t="str">
        <x:v>QA-TER-009</x:v>
      </x:c>
      <x:c r="B160" s="9" t="str">
        <x:v>TER</x:v>
      </x:c>
      <x:c r="C160" s="9" t="str">
        <x:v>Snapshot de tercero autoritativo</x:v>
      </x:c>
      <x:c r="D160" s="9" t="str">
        <x:v>P0</x:v>
      </x:c>
      <x:c r="E160" s="9" t="str">
        <x:v>Seguridad</x:v>
      </x:c>
      <x:c r="F160" s="9" t="str">
        <x:v>Navegador + HTTP + persistencia</x:v>
      </x:c>
      <x:c r="G160" s="10" t="str">
        <x:v>Pendiente</x:v>
      </x:c>
      <x:c r="H160" s="10"/>
      <x:c r="I160" s="10"/>
      <x:c r="J160" s="10"/>
      <x:c r="K160" s="10"/>
      <x:c r="L160" s="11"/>
      <x:c r="M160" s="12"/>
      <x:c r="N160" s="10"/>
    </x:row>
    <x:row r="161" ht="25" customHeight="1">
      <x:c r="A161" s="9" t="str">
        <x:v>QA-TER-010</x:v>
      </x:c>
      <x:c r="B161" s="9" t="str">
        <x:v>TER</x:v>
      </x:c>
      <x:c r="C161" s="9" t="str">
        <x:v>Desmarcar titular después de facturar</x:v>
      </x:c>
      <x:c r="D161" s="9" t="str">
        <x:v>P1</x:v>
      </x:c>
      <x:c r="E161" s="9" t="str">
        <x:v>Positiva</x:v>
      </x:c>
      <x:c r="F161" s="9" t="str">
        <x:v>Navegador + HTTP + persistencia</x:v>
      </x:c>
      <x:c r="G161" s="10" t="str">
        <x:v>Pendiente</x:v>
      </x:c>
      <x:c r="H161" s="10"/>
      <x:c r="I161" s="10"/>
      <x:c r="J161" s="10"/>
      <x:c r="K161" s="10"/>
      <x:c r="L161" s="11"/>
      <x:c r="M161" s="12"/>
      <x:c r="N161" s="10"/>
    </x:row>
    <x:row r="162" ht="25" customHeight="1">
      <x:c r="A162" s="9" t="str">
        <x:v>QA-TER-011</x:v>
      </x:c>
      <x:c r="B162" s="9" t="str">
        <x:v>TER</x:v>
      </x:c>
      <x:c r="C162" s="9" t="str">
        <x:v>Eliminar titular utilizado</x:v>
      </x:c>
      <x:c r="D162" s="9" t="str">
        <x:v>P0</x:v>
      </x:c>
      <x:c r="E162" s="9" t="str">
        <x:v>Negativa</x:v>
      </x:c>
      <x:c r="F162" s="9" t="str">
        <x:v>Navegador + HTTP + persistencia</x:v>
      </x:c>
      <x:c r="G162" s="10" t="str">
        <x:v>Pendiente</x:v>
      </x:c>
      <x:c r="H162" s="10"/>
      <x:c r="I162" s="10"/>
      <x:c r="J162" s="10"/>
      <x:c r="K162" s="10"/>
      <x:c r="L162" s="11"/>
      <x:c r="M162" s="12"/>
      <x:c r="N162" s="10"/>
    </x:row>
    <x:row r="163" ht="25" customHeight="1">
      <x:c r="A163" s="9" t="str">
        <x:v>QA-TER-012</x:v>
      </x:c>
      <x:c r="B163" s="9" t="str">
        <x:v>TER</x:v>
      </x:c>
      <x:c r="C163" s="9" t="str">
        <x:v>Edición antes de HKA</x:v>
      </x:c>
      <x:c r="D163" s="9" t="str">
        <x:v>P0</x:v>
      </x:c>
      <x:c r="E163" s="9" t="str">
        <x:v>Positiva</x:v>
      </x:c>
      <x:c r="F163" s="9" t="str">
        <x:v>Navegador + HTTP + persistencia</x:v>
      </x:c>
      <x:c r="G163" s="10" t="str">
        <x:v>Pendiente</x:v>
      </x:c>
      <x:c r="H163" s="10"/>
      <x:c r="I163" s="10"/>
      <x:c r="J163" s="10"/>
      <x:c r="K163" s="10"/>
      <x:c r="L163" s="11"/>
      <x:c r="M163" s="12"/>
      <x:c r="N163" s="10"/>
    </x:row>
    <x:row r="164" ht="25" customHeight="1">
      <x:c r="A164" s="9" t="str">
        <x:v>QA-TER-013</x:v>
      </x:c>
      <x:c r="B164" s="9" t="str">
        <x:v>TER</x:v>
      </x:c>
      <x:c r="C164" s="9" t="str">
        <x:v>No convertir propia a terceros</x:v>
      </x:c>
      <x:c r="D164" s="9" t="str">
        <x:v>P0</x:v>
      </x:c>
      <x:c r="E164" s="9" t="str">
        <x:v>Negativa</x:v>
      </x:c>
      <x:c r="F164" s="9" t="str">
        <x:v>Navegador + HTTP + persistencia</x:v>
      </x:c>
      <x:c r="G164" s="10" t="str">
        <x:v>Pendiente</x:v>
      </x:c>
      <x:c r="H164" s="10"/>
      <x:c r="I164" s="10"/>
      <x:c r="J164" s="10"/>
      <x:c r="K164" s="10"/>
      <x:c r="L164" s="11"/>
      <x:c r="M164" s="12"/>
      <x:c r="N164" s="10"/>
    </x:row>
    <x:row r="165" ht="25" customHeight="1">
      <x:c r="A165" s="9" t="str">
        <x:v>QA-TER-014</x:v>
      </x:c>
      <x:c r="B165" s="9" t="str">
        <x:v>TER</x:v>
      </x:c>
      <x:c r="C165" s="9" t="str">
        <x:v>Notas sobre terceros bloqueadas</x:v>
      </x:c>
      <x:c r="D165" s="9" t="str">
        <x:v>P0</x:v>
      </x:c>
      <x:c r="E165" s="9" t="str">
        <x:v>Negativa</x:v>
      </x:c>
      <x:c r="F165" s="9" t="str">
        <x:v>Navegador + HTTP + persistencia</x:v>
      </x:c>
      <x:c r="G165" s="10" t="str">
        <x:v>Pendiente</x:v>
      </x:c>
      <x:c r="H165" s="10"/>
      <x:c r="I165" s="10"/>
      <x:c r="J165" s="10"/>
      <x:c r="K165" s="10"/>
      <x:c r="L165" s="11"/>
      <x:c r="M165" s="12"/>
      <x:c r="N165" s="10"/>
    </x:row>
    <x:row r="166" ht="25" customHeight="1">
      <x:c r="A166" s="9" t="str">
        <x:v>QA-TER-015</x:v>
      </x:c>
      <x:c r="B166" s="9" t="str">
        <x:v>TER</x:v>
      </x:c>
      <x:c r="C166" s="9" t="str">
        <x:v>Presentación de titular y receptor</x:v>
      </x:c>
      <x:c r="D166" s="9" t="str">
        <x:v>P1</x:v>
      </x:c>
      <x:c r="E166" s="9" t="str">
        <x:v>Positiva</x:v>
      </x:c>
      <x:c r="F166" s="9" t="str">
        <x:v>Navegador + HTTP + persistencia</x:v>
      </x:c>
      <x:c r="G166" s="10" t="str">
        <x:v>Pendiente</x:v>
      </x:c>
      <x:c r="H166" s="10"/>
      <x:c r="I166" s="10"/>
      <x:c r="J166" s="10"/>
      <x:c r="K166" s="10"/>
      <x:c r="L166" s="11"/>
      <x:c r="M166" s="12"/>
      <x:c r="N166" s="10"/>
    </x:row>
    <x:row r="167" ht="25" customHeight="1">
      <x:c r="A167" s="9" t="str">
        <x:v>QA-NOT-001</x:v>
      </x:c>
      <x:c r="B167" s="9" t="str">
        <x:v>NOT</x:v>
      </x:c>
      <x:c r="C167" s="9" t="str">
        <x:v>NC 07, motivo 01: Anulación total de factura</x:v>
      </x:c>
      <x:c r="D167" s="9" t="str">
        <x:v>P0</x:v>
      </x:c>
      <x:c r="E167" s="9" t="str">
        <x:v>Positiva</x:v>
      </x:c>
      <x:c r="F167" s="9" t="str">
        <x:v>Navegador + HTTP + persistencia</x:v>
      </x:c>
      <x:c r="G167" s="10" t="str">
        <x:v>Pendiente</x:v>
      </x:c>
      <x:c r="H167" s="10"/>
      <x:c r="I167" s="10"/>
      <x:c r="J167" s="10"/>
      <x:c r="K167" s="10"/>
      <x:c r="L167" s="11"/>
      <x:c r="M167" s="12"/>
      <x:c r="N167" s="10"/>
    </x:row>
    <x:row r="168" ht="25" customHeight="1">
      <x:c r="A168" s="9" t="str">
        <x:v>QA-NOT-002</x:v>
      </x:c>
      <x:c r="B168" s="9" t="str">
        <x:v>NOT</x:v>
      </x:c>
      <x:c r="C168" s="9" t="str">
        <x:v>NC 07, motivo 07: Devolución parcial de mercancía</x:v>
      </x:c>
      <x:c r="D168" s="9" t="str">
        <x:v>P0</x:v>
      </x:c>
      <x:c r="E168" s="9" t="str">
        <x:v>Positiva</x:v>
      </x:c>
      <x:c r="F168" s="9" t="str">
        <x:v>Navegador + HTTP + persistencia</x:v>
      </x:c>
      <x:c r="G168" s="10" t="str">
        <x:v>Pendiente</x:v>
      </x:c>
      <x:c r="H168" s="10"/>
      <x:c r="I168" s="10"/>
      <x:c r="J168" s="10"/>
      <x:c r="K168" s="10"/>
      <x:c r="L168" s="11"/>
      <x:c r="M168" s="12"/>
      <x:c r="N168" s="10"/>
    </x:row>
    <x:row r="169" ht="25" customHeight="1">
      <x:c r="A169" s="9" t="str">
        <x:v>QA-NOT-003</x:v>
      </x:c>
      <x:c r="B169" s="9" t="str">
        <x:v>NOT</x:v>
      </x:c>
      <x:c r="C169" s="9" t="str">
        <x:v>NC 07, motivo 04: Descuento o rebajas concedidas</x:v>
      </x:c>
      <x:c r="D169" s="9" t="str">
        <x:v>P0</x:v>
      </x:c>
      <x:c r="E169" s="9" t="str">
        <x:v>Positiva</x:v>
      </x:c>
      <x:c r="F169" s="9" t="str">
        <x:v>Navegador + HTTP + persistencia</x:v>
      </x:c>
      <x:c r="G169" s="10" t="str">
        <x:v>Pendiente</x:v>
      </x:c>
      <x:c r="H169" s="10"/>
      <x:c r="I169" s="10"/>
      <x:c r="J169" s="10"/>
      <x:c r="K169" s="10"/>
      <x:c r="L169" s="11"/>
      <x:c r="M169" s="12"/>
      <x:c r="N169" s="10"/>
    </x:row>
    <x:row r="170" ht="25" customHeight="1">
      <x:c r="A170" s="9" t="str">
        <x:v>QA-NOT-004</x:v>
      </x:c>
      <x:c r="B170" s="9" t="str">
        <x:v>NOT</x:v>
      </x:c>
      <x:c r="C170" s="9" t="str">
        <x:v>NC 07, motivo 09: Corrección de precios o cálculos</x:v>
      </x:c>
      <x:c r="D170" s="9" t="str">
        <x:v>P0</x:v>
      </x:c>
      <x:c r="E170" s="9" t="str">
        <x:v>Positiva</x:v>
      </x:c>
      <x:c r="F170" s="9" t="str">
        <x:v>Navegador + HTTP + persistencia</x:v>
      </x:c>
      <x:c r="G170" s="10" t="str">
        <x:v>Pendiente</x:v>
      </x:c>
      <x:c r="H170" s="10"/>
      <x:c r="I170" s="10"/>
      <x:c r="J170" s="10"/>
      <x:c r="K170" s="10"/>
      <x:c r="L170" s="11"/>
      <x:c r="M170" s="12"/>
      <x:c r="N170" s="10"/>
    </x:row>
    <x:row r="171" ht="25" customHeight="1">
      <x:c r="A171" s="9" t="str">
        <x:v>QA-NOT-005</x:v>
      </x:c>
      <x:c r="B171" s="9" t="str">
        <x:v>NOT</x:v>
      </x:c>
      <x:c r="C171" s="9" t="str">
        <x:v>ND 08, motivo 02: Ajustes por incremento de precios</x:v>
      </x:c>
      <x:c r="D171" s="9" t="str">
        <x:v>P0</x:v>
      </x:c>
      <x:c r="E171" s="9" t="str">
        <x:v>Positiva</x:v>
      </x:c>
      <x:c r="F171" s="9" t="str">
        <x:v>Navegador + HTTP + persistencia</x:v>
      </x:c>
      <x:c r="G171" s="10" t="str">
        <x:v>Pendiente</x:v>
      </x:c>
      <x:c r="H171" s="10"/>
      <x:c r="I171" s="10"/>
      <x:c r="J171" s="10"/>
      <x:c r="K171" s="10"/>
      <x:c r="L171" s="11"/>
      <x:c r="M171" s="12"/>
      <x:c r="N171" s="10"/>
    </x:row>
    <x:row r="172" ht="25" customHeight="1">
      <x:c r="A172" s="9" t="str">
        <x:v>QA-NOT-006</x:v>
      </x:c>
      <x:c r="B172" s="9" t="str">
        <x:v>NOT</x:v>
      </x:c>
      <x:c r="C172" s="9" t="str">
        <x:v>ND 08, motivo 01: Intereses de mora o financiamiento</x:v>
      </x:c>
      <x:c r="D172" s="9" t="str">
        <x:v>P0</x:v>
      </x:c>
      <x:c r="E172" s="9" t="str">
        <x:v>Positiva</x:v>
      </x:c>
      <x:c r="F172" s="9" t="str">
        <x:v>Navegador + HTTP + persistencia</x:v>
      </x:c>
      <x:c r="G172" s="10" t="str">
        <x:v>Pendiente</x:v>
      </x:c>
      <x:c r="H172" s="10"/>
      <x:c r="I172" s="10"/>
      <x:c r="J172" s="10"/>
      <x:c r="K172" s="10"/>
      <x:c r="L172" s="11"/>
      <x:c r="M172" s="12"/>
      <x:c r="N172" s="10"/>
    </x:row>
    <x:row r="173" ht="32" customHeight="1">
      <x:c r="A173" s="9" t="str">
        <x:v>QA-NOT-007</x:v>
      </x:c>
      <x:c r="B173" s="9" t="str">
        <x:v>NOT</x:v>
      </x:c>
      <x:c r="C173" s="9" t="str">
        <x:v>ND 08, motivo 03: Gastos de despacho, fletes, seguros o embalaje</x:v>
      </x:c>
      <x:c r="D173" s="9" t="str">
        <x:v>P0</x:v>
      </x:c>
      <x:c r="E173" s="9" t="str">
        <x:v>Positiva</x:v>
      </x:c>
      <x:c r="F173" s="9" t="str">
        <x:v>Navegador + HTTP + persistencia</x:v>
      </x:c>
      <x:c r="G173" s="10" t="str">
        <x:v>Pendiente</x:v>
      </x:c>
      <x:c r="H173" s="10"/>
      <x:c r="I173" s="10"/>
      <x:c r="J173" s="10"/>
      <x:c r="K173" s="10"/>
      <x:c r="L173" s="11"/>
      <x:c r="M173" s="12"/>
      <x:c r="N173" s="10"/>
    </x:row>
    <x:row r="174" ht="25" customHeight="1">
      <x:c r="A174" s="9" t="str">
        <x:v>QA-NOT-008</x:v>
      </x:c>
      <x:c r="B174" s="9" t="str">
        <x:v>NOT</x:v>
      </x:c>
      <x:c r="C174" s="9" t="str">
        <x:v>Descripción y motivo obligatorios</x:v>
      </x:c>
      <x:c r="D174" s="9" t="str">
        <x:v>P1</x:v>
      </x:c>
      <x:c r="E174" s="9" t="str">
        <x:v>Negativa</x:v>
      </x:c>
      <x:c r="F174" s="9" t="str">
        <x:v>Navegador + HTTP + persistencia</x:v>
      </x:c>
      <x:c r="G174" s="10" t="str">
        <x:v>Pendiente</x:v>
      </x:c>
      <x:c r="H174" s="10"/>
      <x:c r="I174" s="10"/>
      <x:c r="J174" s="10"/>
      <x:c r="K174" s="10"/>
      <x:c r="L174" s="11"/>
      <x:c r="M174" s="12"/>
      <x:c r="N174" s="10"/>
    </x:row>
    <x:row r="175" ht="25" customHeight="1">
      <x:c r="A175" s="9" t="str">
        <x:v>QA-NOT-009</x:v>
      </x:c>
      <x:c r="B175" s="9" t="str">
        <x:v>NOT</x:v>
      </x:c>
      <x:c r="C175" s="9" t="str">
        <x:v>Motivo inactivo o desconocido</x:v>
      </x:c>
      <x:c r="D175" s="9" t="str">
        <x:v>P1</x:v>
      </x:c>
      <x:c r="E175" s="9" t="str">
        <x:v>Negativa</x:v>
      </x:c>
      <x:c r="F175" s="9" t="str">
        <x:v>Navegador + HTTP + persistencia</x:v>
      </x:c>
      <x:c r="G175" s="10" t="str">
        <x:v>Pendiente</x:v>
      </x:c>
      <x:c r="H175" s="10"/>
      <x:c r="I175" s="10"/>
      <x:c r="J175" s="10"/>
      <x:c r="K175" s="10"/>
      <x:c r="L175" s="11"/>
      <x:c r="M175" s="12"/>
      <x:c r="N175" s="10"/>
    </x:row>
    <x:row r="176" ht="25" customHeight="1">
      <x:c r="A176" s="9" t="str">
        <x:v>QA-NOT-010</x:v>
      </x:c>
      <x:c r="B176" s="9" t="str">
        <x:v>NOT</x:v>
      </x:c>
      <x:c r="C176" s="9" t="str">
        <x:v>Referencia incorrecta</x:v>
      </x:c>
      <x:c r="D176" s="9" t="str">
        <x:v>P0</x:v>
      </x:c>
      <x:c r="E176" s="9" t="str">
        <x:v>Seguridad</x:v>
      </x:c>
      <x:c r="F176" s="9" t="str">
        <x:v>Navegador + HTTP + persistencia</x:v>
      </x:c>
      <x:c r="G176" s="10" t="str">
        <x:v>Pendiente</x:v>
      </x:c>
      <x:c r="H176" s="10"/>
      <x:c r="I176" s="10"/>
      <x:c r="J176" s="10"/>
      <x:c r="K176" s="10"/>
      <x:c r="L176" s="11"/>
      <x:c r="M176" s="12"/>
      <x:c r="N176" s="10"/>
    </x:row>
    <x:row r="177" ht="25" customHeight="1">
      <x:c r="A177" s="9" t="str">
        <x:v>QA-NOT-011</x:v>
      </x:c>
      <x:c r="B177" s="9" t="str">
        <x:v>NOT</x:v>
      </x:c>
      <x:c r="C177" s="9" t="str">
        <x:v>Preparar sin control de factura afectada</x:v>
      </x:c>
      <x:c r="D177" s="9" t="str">
        <x:v>P0</x:v>
      </x:c>
      <x:c r="E177" s="9" t="str">
        <x:v>Negativa</x:v>
      </x:c>
      <x:c r="F177" s="9" t="str">
        <x:v>Navegador + HTTP + persistencia</x:v>
      </x:c>
      <x:c r="G177" s="10" t="str">
        <x:v>Pendiente</x:v>
      </x:c>
      <x:c r="H177" s="10"/>
      <x:c r="I177" s="10"/>
      <x:c r="J177" s="10"/>
      <x:c r="K177" s="10"/>
      <x:c r="L177" s="11"/>
      <x:c r="M177" s="12"/>
      <x:c r="N177" s="10"/>
    </x:row>
    <x:row r="178" ht="25" customHeight="1">
      <x:c r="A178" s="9" t="str">
        <x:v>QA-NOT-012</x:v>
      </x:c>
      <x:c r="B178" s="9" t="str">
        <x:v>NOT</x:v>
      </x:c>
      <x:c r="C178" s="9" t="str">
        <x:v>Completar control llegado después</x:v>
      </x:c>
      <x:c r="D178" s="9" t="str">
        <x:v>P1</x:v>
      </x:c>
      <x:c r="E178" s="9" t="str">
        <x:v>Positiva</x:v>
      </x:c>
      <x:c r="F178" s="9" t="str">
        <x:v>Navegador + HTTP + persistencia</x:v>
      </x:c>
      <x:c r="G178" s="10" t="str">
        <x:v>Pendiente</x:v>
      </x:c>
      <x:c r="H178" s="10"/>
      <x:c r="I178" s="10"/>
      <x:c r="J178" s="10"/>
      <x:c r="K178" s="10"/>
      <x:c r="L178" s="11"/>
      <x:c r="M178" s="12"/>
      <x:c r="N178" s="10"/>
    </x:row>
    <x:row r="179" ht="25" customHeight="1">
      <x:c r="A179" s="9" t="str">
        <x:v>QA-NOT-013</x:v>
      </x:c>
      <x:c r="B179" s="9" t="str">
        <x:v>NOT</x:v>
      </x:c>
      <x:c r="C179" s="9" t="str">
        <x:v>Mapeo interno y externo de notas</x:v>
      </x:c>
      <x:c r="D179" s="9" t="str">
        <x:v>P0</x:v>
      </x:c>
      <x:c r="E179" s="9" t="str">
        <x:v>Positiva</x:v>
      </x:c>
      <x:c r="F179" s="9" t="str">
        <x:v>Navegador + HTTP + persistencia</x:v>
      </x:c>
      <x:c r="G179" s="10" t="str">
        <x:v>Pendiente</x:v>
      </x:c>
      <x:c r="H179" s="10"/>
      <x:c r="I179" s="10"/>
      <x:c r="J179" s="10"/>
      <x:c r="K179" s="10"/>
      <x:c r="L179" s="11"/>
      <x:c r="M179" s="12"/>
      <x:c r="N179" s="10"/>
    </x:row>
    <x:row r="180" ht="25" customHeight="1">
      <x:c r="A180" s="9" t="str">
        <x:v>QA-NOT-014</x:v>
      </x:c>
      <x:c r="B180" s="9" t="str">
        <x:v>NOT</x:v>
      </x:c>
      <x:c r="C180" s="9" t="str">
        <x:v>NC que excede cantidad/importe original</x:v>
      </x:c>
      <x:c r="D180" s="9" t="str">
        <x:v>P0</x:v>
      </x:c>
      <x:c r="E180" s="9" t="str">
        <x:v>Negativa</x:v>
      </x:c>
      <x:c r="F180" s="9" t="str">
        <x:v>Navegador + HTTP + persistencia</x:v>
      </x:c>
      <x:c r="G180" s="10" t="str">
        <x:v>Pendiente</x:v>
      </x:c>
      <x:c r="H180" s="10"/>
      <x:c r="I180" s="10"/>
      <x:c r="J180" s="10"/>
      <x:c r="K180" s="10"/>
      <x:c r="L180" s="11"/>
      <x:c r="M180" s="12"/>
      <x:c r="N180" s="10"/>
    </x:row>
    <x:row r="181" ht="25" customHeight="1">
      <x:c r="A181" s="9" t="str">
        <x:v>QA-NOT-015</x:v>
      </x:c>
      <x:c r="B181" s="9" t="str">
        <x:v>NOT</x:v>
      </x:c>
      <x:c r="C181" s="9" t="str">
        <x:v>Notas de factura anulada o ajena</x:v>
      </x:c>
      <x:c r="D181" s="9" t="str">
        <x:v>P0</x:v>
      </x:c>
      <x:c r="E181" s="9" t="str">
        <x:v>Seguridad</x:v>
      </x:c>
      <x:c r="F181" s="9" t="str">
        <x:v>Navegador + HTTP + persistencia</x:v>
      </x:c>
      <x:c r="G181" s="10" t="str">
        <x:v>Pendiente</x:v>
      </x:c>
      <x:c r="H181" s="10"/>
      <x:c r="I181" s="10"/>
      <x:c r="J181" s="10"/>
      <x:c r="K181" s="10"/>
      <x:c r="L181" s="11"/>
      <x:c r="M181" s="12"/>
      <x:c r="N181" s="10"/>
    </x:row>
    <x:row r="182" ht="25" customHeight="1">
      <x:c r="A182" s="9" t="str">
        <x:v>QA-NOT-016</x:v>
      </x:c>
      <x:c r="B182" s="9" t="str">
        <x:v>NOT</x:v>
      </x:c>
      <x:c r="C182" s="9" t="str">
        <x:v>NC/ND sin emisión remota implementada</x:v>
      </x:c>
      <x:c r="D182" s="9" t="str">
        <x:v>P0</x:v>
      </x:c>
      <x:c r="E182" s="9" t="str">
        <x:v>Límite conocido</x:v>
      </x:c>
      <x:c r="F182" s="9" t="str">
        <x:v>Navegador + HTTP + persistencia</x:v>
      </x:c>
      <x:c r="G182" s="10" t="str">
        <x:v>Pendiente</x:v>
      </x:c>
      <x:c r="H182" s="10"/>
      <x:c r="I182" s="10"/>
      <x:c r="J182" s="10"/>
      <x:c r="K182" s="10"/>
      <x:c r="L182" s="11"/>
      <x:c r="M182" s="12"/>
      <x:c r="N182" s="10"/>
    </x:row>
    <x:row r="183" ht="25" customHeight="1">
      <x:c r="A183" s="9" t="str">
        <x:v>QA-NOT-017</x:v>
      </x:c>
      <x:c r="B183" s="9" t="str">
        <x:v>NOT</x:v>
      </x:c>
      <x:c r="C183" s="9" t="str">
        <x:v>Nota IGTF generada por pago posterior</x:v>
      </x:c>
      <x:c r="D183" s="9" t="str">
        <x:v>P0</x:v>
      </x:c>
      <x:c r="E183" s="9" t="str">
        <x:v>Positiva</x:v>
      </x:c>
      <x:c r="F183" s="9" t="str">
        <x:v>Navegador + HTTP + persistencia</x:v>
      </x:c>
      <x:c r="G183" s="10" t="str">
        <x:v>Pendiente</x:v>
      </x:c>
      <x:c r="H183" s="10"/>
      <x:c r="I183" s="10"/>
      <x:c r="J183" s="10"/>
      <x:c r="K183" s="10"/>
      <x:c r="L183" s="11"/>
      <x:c r="M183" s="12"/>
      <x:c r="N183" s="10"/>
    </x:row>
    <x:row r="184" ht="25" customHeight="1">
      <x:c r="A184" s="9" t="str">
        <x:v>QA-NOT-018</x:v>
      </x:c>
      <x:c r="B184" s="9" t="str">
        <x:v>NOT</x:v>
      </x:c>
      <x:c r="C184" s="9" t="str">
        <x:v>IGTF no se crea como motivo manual libre</x:v>
      </x:c>
      <x:c r="D184" s="9" t="str">
        <x:v>P1</x:v>
      </x:c>
      <x:c r="E184" s="9" t="str">
        <x:v>Negativa</x:v>
      </x:c>
      <x:c r="F184" s="9" t="str">
        <x:v>Navegador + HTTP + persistencia</x:v>
      </x:c>
      <x:c r="G184" s="10" t="str">
        <x:v>Pendiente</x:v>
      </x:c>
      <x:c r="H184" s="10"/>
      <x:c r="I184" s="10"/>
      <x:c r="J184" s="10"/>
      <x:c r="K184" s="10"/>
      <x:c r="L184" s="11"/>
      <x:c r="M184" s="12"/>
      <x:c r="N184" s="10"/>
    </x:row>
    <x:row r="185" ht="25" customHeight="1">
      <x:c r="A185" s="9" t="str">
        <x:v>QA-NOT-019</x:v>
      </x:c>
      <x:c r="B185" s="9" t="str">
        <x:v>NOT</x:v>
      </x:c>
      <x:c r="C185" s="9" t="str">
        <x:v>PDF y correo comercial de notas</x:v>
      </x:c>
      <x:c r="D185" s="9" t="str">
        <x:v>P1</x:v>
      </x:c>
      <x:c r="E185" s="9" t="str">
        <x:v>Positiva</x:v>
      </x:c>
      <x:c r="F185" s="9" t="str">
        <x:v>Navegador + HTTP + persistencia</x:v>
      </x:c>
      <x:c r="G185" s="10" t="str">
        <x:v>Pendiente</x:v>
      </x:c>
      <x:c r="H185" s="10"/>
      <x:c r="I185" s="10"/>
      <x:c r="J185" s="10"/>
      <x:c r="K185" s="10"/>
      <x:c r="L185" s="11"/>
      <x:c r="M185" s="12"/>
      <x:c r="N185" s="10"/>
    </x:row>
    <x:row r="186" ht="25" customHeight="1">
      <x:c r="A186" s="9" t="str">
        <x:v>QA-PAG-001</x:v>
      </x:c>
      <x:c r="B186" s="9" t="str">
        <x:v>PAG</x:v>
      </x:c>
      <x:c r="C186" s="9" t="str">
        <x:v>Cobro posterior parcial</x:v>
      </x:c>
      <x:c r="D186" s="9" t="str">
        <x:v>P0</x:v>
      </x:c>
      <x:c r="E186" s="9" t="str">
        <x:v>Positiva</x:v>
      </x:c>
      <x:c r="F186" s="9" t="str">
        <x:v>Navegador + HTTP + persistencia</x:v>
      </x:c>
      <x:c r="G186" s="10" t="str">
        <x:v>Pendiente</x:v>
      </x:c>
      <x:c r="H186" s="10"/>
      <x:c r="I186" s="10"/>
      <x:c r="J186" s="10"/>
      <x:c r="K186" s="10"/>
      <x:c r="L186" s="11"/>
      <x:c r="M186" s="12"/>
      <x:c r="N186" s="10"/>
    </x:row>
    <x:row r="187" ht="25" customHeight="1">
      <x:c r="A187" s="9" t="str">
        <x:v>QA-PAG-002</x:v>
      </x:c>
      <x:c r="B187" s="9" t="str">
        <x:v>PAG</x:v>
      </x:c>
      <x:c r="C187" s="9" t="str">
        <x:v>Cobro posterior sobre saldo</x:v>
      </x:c>
      <x:c r="D187" s="9" t="str">
        <x:v>P0</x:v>
      </x:c>
      <x:c r="E187" s="9" t="str">
        <x:v>Concurrencia</x:v>
      </x:c>
      <x:c r="F187" s="9" t="str">
        <x:v>Navegador + HTTP + persistencia</x:v>
      </x:c>
      <x:c r="G187" s="10" t="str">
        <x:v>Pendiente</x:v>
      </x:c>
      <x:c r="H187" s="10"/>
      <x:c r="I187" s="10"/>
      <x:c r="J187" s="10"/>
      <x:c r="K187" s="10"/>
      <x:c r="L187" s="11"/>
      <x:c r="M187" s="12"/>
      <x:c r="N187" s="10"/>
    </x:row>
    <x:row r="188" ht="25" customHeight="1">
      <x:c r="A188" s="9" t="str">
        <x:v>QA-PAG-003</x:v>
      </x:c>
      <x:c r="B188" s="9" t="str">
        <x:v>PAG</x:v>
      </x:c>
      <x:c r="C188" s="9" t="str">
        <x:v>Pago VES aplicado a documento USD</x:v>
      </x:c>
      <x:c r="D188" s="9" t="str">
        <x:v>P0</x:v>
      </x:c>
      <x:c r="E188" s="9" t="str">
        <x:v>Positiva</x:v>
      </x:c>
      <x:c r="F188" s="9" t="str">
        <x:v>Navegador + HTTP + persistencia</x:v>
      </x:c>
      <x:c r="G188" s="10" t="str">
        <x:v>Pendiente</x:v>
      </x:c>
      <x:c r="H188" s="10"/>
      <x:c r="I188" s="10"/>
      <x:c r="J188" s="10"/>
      <x:c r="K188" s="10"/>
      <x:c r="L188" s="11"/>
      <x:c r="M188" s="12"/>
      <x:c r="N188" s="10"/>
    </x:row>
    <x:row r="189" ht="25" customHeight="1">
      <x:c r="A189" s="9" t="str">
        <x:v>QA-PAG-004</x:v>
      </x:c>
      <x:c r="B189" s="9" t="str">
        <x:v>PAG</x:v>
      </x:c>
      <x:c r="C189" s="9" t="str">
        <x:v>Pago USD aplicado a documento VES</x:v>
      </x:c>
      <x:c r="D189" s="9" t="str">
        <x:v>P0</x:v>
      </x:c>
      <x:c r="E189" s="9" t="str">
        <x:v>Positiva</x:v>
      </x:c>
      <x:c r="F189" s="9" t="str">
        <x:v>Navegador + HTTP + persistencia</x:v>
      </x:c>
      <x:c r="G189" s="10" t="str">
        <x:v>Pendiente</x:v>
      </x:c>
      <x:c r="H189" s="10"/>
      <x:c r="I189" s="10"/>
      <x:c r="J189" s="10"/>
      <x:c r="K189" s="10"/>
      <x:c r="L189" s="11"/>
      <x:c r="M189" s="12"/>
      <x:c r="N189" s="10"/>
    </x:row>
    <x:row r="190" ht="25" customHeight="1">
      <x:c r="A190" s="9" t="str">
        <x:v>QA-PAG-005</x:v>
      </x:c>
      <x:c r="B190" s="9" t="str">
        <x:v>PAG</x:v>
      </x:c>
      <x:c r="C190" s="9" t="str">
        <x:v>Tasa propia del cobro</x:v>
      </x:c>
      <x:c r="D190" s="9" t="str">
        <x:v>P0</x:v>
      </x:c>
      <x:c r="E190" s="9" t="str">
        <x:v>Positiva</x:v>
      </x:c>
      <x:c r="F190" s="9" t="str">
        <x:v>Navegador + HTTP + persistencia</x:v>
      </x:c>
      <x:c r="G190" s="10" t="str">
        <x:v>Pendiente</x:v>
      </x:c>
      <x:c r="H190" s="10"/>
      <x:c r="I190" s="10"/>
      <x:c r="J190" s="10"/>
      <x:c r="K190" s="10"/>
      <x:c r="L190" s="11"/>
      <x:c r="M190" s="12"/>
      <x:c r="N190" s="10"/>
    </x:row>
    <x:row r="191" ht="25" customHeight="1">
      <x:c r="A191" s="9" t="str">
        <x:v>QA-PAG-006</x:v>
      </x:c>
      <x:c r="B191" s="9" t="str">
        <x:v>PAG</x:v>
      </x:c>
      <x:c r="C191" s="9" t="str">
        <x:v>Omitir moneda propia por API</x:v>
      </x:c>
      <x:c r="D191" s="9" t="str">
        <x:v>P1</x:v>
      </x:c>
      <x:c r="E191" s="9" t="str">
        <x:v>Positiva</x:v>
      </x:c>
      <x:c r="F191" s="9" t="str">
        <x:v>Navegador + HTTP + persistencia</x:v>
      </x:c>
      <x:c r="G191" s="10" t="str">
        <x:v>Pendiente</x:v>
      </x:c>
      <x:c r="H191" s="10"/>
      <x:c r="I191" s="10"/>
      <x:c r="J191" s="10"/>
      <x:c r="K191" s="10"/>
      <x:c r="L191" s="11"/>
      <x:c r="M191" s="12"/>
      <x:c r="N191" s="10"/>
    </x:row>
    <x:row r="192" ht="25" customHeight="1">
      <x:c r="A192" s="9" t="str">
        <x:v>QA-PAG-007</x:v>
      </x:c>
      <x:c r="B192" s="9" t="str">
        <x:v>PAG</x:v>
      </x:c>
      <x:c r="C192" s="9" t="str">
        <x:v>Moneda propia sin UUID</x:v>
      </x:c>
      <x:c r="D192" s="9" t="str">
        <x:v>P0</x:v>
      </x:c>
      <x:c r="E192" s="9" t="str">
        <x:v>Negativa</x:v>
      </x:c>
      <x:c r="F192" s="9" t="str">
        <x:v>Navegador + HTTP + persistencia</x:v>
      </x:c>
      <x:c r="G192" s="10" t="str">
        <x:v>Pendiente</x:v>
      </x:c>
      <x:c r="H192" s="10"/>
      <x:c r="I192" s="10"/>
      <x:c r="J192" s="10"/>
      <x:c r="K192" s="10"/>
      <x:c r="L192" s="11"/>
      <x:c r="M192" s="12"/>
      <x:c r="N192" s="10"/>
    </x:row>
    <x:row r="193" ht="25" customHeight="1">
      <x:c r="A193" s="9" t="str">
        <x:v>QA-PAG-008</x:v>
      </x:c>
      <x:c r="B193" s="9" t="str">
        <x:v>PAG</x:v>
      </x:c>
      <x:c r="C193" s="9" t="str">
        <x:v>Moneda distinta sin importe o tasa</x:v>
      </x:c>
      <x:c r="D193" s="9" t="str">
        <x:v>P0</x:v>
      </x:c>
      <x:c r="E193" s="9" t="str">
        <x:v>Negativa</x:v>
      </x:c>
      <x:c r="F193" s="9" t="str">
        <x:v>Navegador + HTTP + persistencia</x:v>
      </x:c>
      <x:c r="G193" s="10" t="str">
        <x:v>Pendiente</x:v>
      </x:c>
      <x:c r="H193" s="10"/>
      <x:c r="I193" s="10"/>
      <x:c r="J193" s="10"/>
      <x:c r="K193" s="10"/>
      <x:c r="L193" s="11"/>
      <x:c r="M193" s="12"/>
      <x:c r="N193" s="10"/>
    </x:row>
    <x:row r="194" ht="25" customHeight="1">
      <x:c r="A194" s="9" t="str">
        <x:v>QA-PAG-009</x:v>
      </x:c>
      <x:c r="B194" s="9" t="str">
        <x:v>PAG</x:v>
      </x:c>
      <x:c r="C194" s="9" t="str">
        <x:v>Monedas retiradas</x:v>
      </x:c>
      <x:c r="D194" s="9" t="str">
        <x:v>P0</x:v>
      </x:c>
      <x:c r="E194" s="9" t="str">
        <x:v>Negativa</x:v>
      </x:c>
      <x:c r="F194" s="9" t="str">
        <x:v>Navegador + HTTP + persistencia</x:v>
      </x:c>
      <x:c r="G194" s="10" t="str">
        <x:v>Pendiente</x:v>
      </x:c>
      <x:c r="H194" s="10"/>
      <x:c r="I194" s="10"/>
      <x:c r="J194" s="10"/>
      <x:c r="K194" s="10"/>
      <x:c r="L194" s="11"/>
      <x:c r="M194" s="12"/>
      <x:c r="N194" s="10"/>
    </x:row>
    <x:row r="195" ht="25" customHeight="1">
      <x:c r="A195" s="9" t="str">
        <x:v>QA-PAG-010</x:v>
      </x:c>
      <x:c r="B195" s="9" t="str">
        <x:v>PAG</x:v>
      </x:c>
      <x:c r="C195" s="9" t="str">
        <x:v>Tasa con ocho decimales y ceros</x:v>
      </x:c>
      <x:c r="D195" s="9" t="str">
        <x:v>P0</x:v>
      </x:c>
      <x:c r="E195" s="9" t="str">
        <x:v>Positiva</x:v>
      </x:c>
      <x:c r="F195" s="9" t="str">
        <x:v>Navegador + HTTP + persistencia</x:v>
      </x:c>
      <x:c r="G195" s="10" t="str">
        <x:v>Pendiente</x:v>
      </x:c>
      <x:c r="H195" s="10"/>
      <x:c r="I195" s="10"/>
      <x:c r="J195" s="10"/>
      <x:c r="K195" s="10"/>
      <x:c r="L195" s="11"/>
      <x:c r="M195" s="12"/>
      <x:c r="N195" s="10"/>
    </x:row>
    <x:row r="196" ht="25" customHeight="1">
      <x:c r="A196" s="9" t="str">
        <x:v>QA-PAG-011</x:v>
      </x:c>
      <x:c r="B196" s="9" t="str">
        <x:v>PAG</x:v>
      </x:c>
      <x:c r="C196" s="9" t="str">
        <x:v>Más de ocho decimales significativos</x:v>
      </x:c>
      <x:c r="D196" s="9" t="str">
        <x:v>P0</x:v>
      </x:c>
      <x:c r="E196" s="9" t="str">
        <x:v>Negativa</x:v>
      </x:c>
      <x:c r="F196" s="9" t="str">
        <x:v>Navegador + HTTP + persistencia</x:v>
      </x:c>
      <x:c r="G196" s="10" t="str">
        <x:v>Pendiente</x:v>
      </x:c>
      <x:c r="H196" s="10"/>
      <x:c r="I196" s="10"/>
      <x:c r="J196" s="10"/>
      <x:c r="K196" s="10"/>
      <x:c r="L196" s="11"/>
      <x:c r="M196" s="12"/>
      <x:c r="N196" s="10"/>
    </x:row>
    <x:row r="197" ht="25" customHeight="1">
      <x:c r="A197" s="9" t="str">
        <x:v>QA-PAG-012</x:v>
      </x:c>
      <x:c r="B197" s="9" t="str">
        <x:v>PAG</x:v>
      </x:c>
      <x:c r="C197" s="9" t="str">
        <x:v>Principal inválido</x:v>
      </x:c>
      <x:c r="D197" s="9" t="str">
        <x:v>P1</x:v>
      </x:c>
      <x:c r="E197" s="9" t="str">
        <x:v>Negativa</x:v>
      </x:c>
      <x:c r="F197" s="9" t="str">
        <x:v>Navegador + HTTP + persistencia</x:v>
      </x:c>
      <x:c r="G197" s="10" t="str">
        <x:v>Pendiente</x:v>
      </x:c>
      <x:c r="H197" s="10"/>
      <x:c r="I197" s="10"/>
      <x:c r="J197" s="10"/>
      <x:c r="K197" s="10"/>
      <x:c r="L197" s="11"/>
      <x:c r="M197" s="12"/>
      <x:c r="N197" s="10"/>
    </x:row>
    <x:row r="198" ht="25" customHeight="1">
      <x:c r="A198" s="9" t="str">
        <x:v>QA-PAG-013</x:v>
      </x:c>
      <x:c r="B198" s="9" t="str">
        <x:v>PAG</x:v>
      </x:c>
      <x:c r="C198" s="9" t="str">
        <x:v>Todos los medios de pago activos</x:v>
      </x:c>
      <x:c r="D198" s="9" t="str">
        <x:v>P1</x:v>
      </x:c>
      <x:c r="E198" s="9" t="str">
        <x:v>Positiva</x:v>
      </x:c>
      <x:c r="F198" s="9" t="str">
        <x:v>Navegador + HTTP + persistencia</x:v>
      </x:c>
      <x:c r="G198" s="10" t="str">
        <x:v>Pendiente</x:v>
      </x:c>
      <x:c r="H198" s="10"/>
      <x:c r="I198" s="10"/>
      <x:c r="J198" s="10"/>
      <x:c r="K198" s="10"/>
      <x:c r="L198" s="11"/>
      <x:c r="M198" s="12"/>
      <x:c r="N198" s="10"/>
    </x:row>
    <x:row r="199" ht="25" customHeight="1">
      <x:c r="A199" s="9" t="str">
        <x:v>QA-PAG-014</x:v>
      </x:c>
      <x:c r="B199" s="9" t="str">
        <x:v>PAG</x:v>
      </x:c>
      <x:c r="C199" s="9" t="str">
        <x:v>Referencia, fecha y adjunto de pago</x:v>
      </x:c>
      <x:c r="D199" s="9" t="str">
        <x:v>P1</x:v>
      </x:c>
      <x:c r="E199" s="9" t="str">
        <x:v>Negativa</x:v>
      </x:c>
      <x:c r="F199" s="9" t="str">
        <x:v>Navegador + HTTP + persistencia</x:v>
      </x:c>
      <x:c r="G199" s="10" t="str">
        <x:v>Pendiente</x:v>
      </x:c>
      <x:c r="H199" s="10"/>
      <x:c r="I199" s="10"/>
      <x:c r="J199" s="10"/>
      <x:c r="K199" s="10"/>
      <x:c r="L199" s="11"/>
      <x:c r="M199" s="12"/>
      <x:c r="N199" s="10"/>
    </x:row>
    <x:row r="200" ht="25" customHeight="1">
      <x:c r="A200" s="9" t="str">
        <x:v>QA-PAG-015</x:v>
      </x:c>
      <x:c r="B200" s="9" t="str">
        <x:v>PAG</x:v>
      </x:c>
      <x:c r="C200" s="9" t="str">
        <x:v>Idempotencia del pago</x:v>
      </x:c>
      <x:c r="D200" s="9" t="str">
        <x:v>P0</x:v>
      </x:c>
      <x:c r="E200" s="9" t="str">
        <x:v>Concurrencia</x:v>
      </x:c>
      <x:c r="F200" s="9" t="str">
        <x:v>Navegador + HTTP + persistencia</x:v>
      </x:c>
      <x:c r="G200" s="10" t="str">
        <x:v>Pendiente</x:v>
      </x:c>
      <x:c r="H200" s="10"/>
      <x:c r="I200" s="10"/>
      <x:c r="J200" s="10"/>
      <x:c r="K200" s="10"/>
      <x:c r="L200" s="11"/>
      <x:c r="M200" s="12"/>
      <x:c r="N200" s="10"/>
    </x:row>
    <x:row r="201" ht="25" customHeight="1">
      <x:c r="A201" s="9" t="str">
        <x:v>QA-PAG-016</x:v>
      </x:c>
      <x:c r="B201" s="9" t="str">
        <x:v>PAG</x:v>
      </x:c>
      <x:c r="C201" s="9" t="str">
        <x:v>Idempotencia concurrente de pago</x:v>
      </x:c>
      <x:c r="D201" s="9" t="str">
        <x:v>P0</x:v>
      </x:c>
      <x:c r="E201" s="9" t="str">
        <x:v>Concurrencia</x:v>
      </x:c>
      <x:c r="F201" s="9" t="str">
        <x:v>Navegador + HTTP + persistencia</x:v>
      </x:c>
      <x:c r="G201" s="10" t="str">
        <x:v>Pendiente</x:v>
      </x:c>
      <x:c r="H201" s="10"/>
      <x:c r="I201" s="10"/>
      <x:c r="J201" s="10"/>
      <x:c r="K201" s="10"/>
      <x:c r="L201" s="11"/>
      <x:c r="M201" s="12"/>
      <x:c r="N201" s="10"/>
    </x:row>
    <x:row r="202" ht="25" customHeight="1">
      <x:c r="A202" s="9" t="str">
        <x:v>QA-PAG-017</x:v>
      </x:c>
      <x:c r="B202" s="9" t="str">
        <x:v>PAG</x:v>
      </x:c>
      <x:c r="C202" s="9" t="str">
        <x:v>No editar pago contabilizado</x:v>
      </x:c>
      <x:c r="D202" s="9" t="str">
        <x:v>P0</x:v>
      </x:c>
      <x:c r="E202" s="9" t="str">
        <x:v>Negativa</x:v>
      </x:c>
      <x:c r="F202" s="9" t="str">
        <x:v>Navegador + HTTP + persistencia</x:v>
      </x:c>
      <x:c r="G202" s="10" t="str">
        <x:v>Pendiente</x:v>
      </x:c>
      <x:c r="H202" s="10"/>
      <x:c r="I202" s="10"/>
      <x:c r="J202" s="10"/>
      <x:c r="K202" s="10"/>
      <x:c r="L202" s="11"/>
      <x:c r="M202" s="12"/>
      <x:c r="N202" s="10"/>
    </x:row>
    <x:row r="203" ht="25" customHeight="1">
      <x:c r="A203" s="9" t="str">
        <x:v>QA-PAG-018</x:v>
      </x:c>
      <x:c r="B203" s="9" t="str">
        <x:v>PAG</x:v>
      </x:c>
      <x:c r="C203" s="9" t="str">
        <x:v>Revertir pago con motivo</x:v>
      </x:c>
      <x:c r="D203" s="9" t="str">
        <x:v>P0</x:v>
      </x:c>
      <x:c r="E203" s="9" t="str">
        <x:v>Positiva</x:v>
      </x:c>
      <x:c r="F203" s="9" t="str">
        <x:v>Navegador + HTTP + persistencia</x:v>
      </x:c>
      <x:c r="G203" s="10" t="str">
        <x:v>Pendiente</x:v>
      </x:c>
      <x:c r="H203" s="10"/>
      <x:c r="I203" s="10"/>
      <x:c r="J203" s="10"/>
      <x:c r="K203" s="10"/>
      <x:c r="L203" s="11"/>
      <x:c r="M203" s="12"/>
      <x:c r="N203" s="10"/>
    </x:row>
    <x:row r="204" ht="25" customHeight="1">
      <x:c r="A204" s="9" t="str">
        <x:v>QA-PAG-019</x:v>
      </x:c>
      <x:c r="B204" s="9" t="str">
        <x:v>PAG</x:v>
      </x:c>
      <x:c r="C204" s="9" t="str">
        <x:v>Reversión sin permiso o motivo</x:v>
      </x:c>
      <x:c r="D204" s="9" t="str">
        <x:v>P0</x:v>
      </x:c>
      <x:c r="E204" s="9" t="str">
        <x:v>Seguridad</x:v>
      </x:c>
      <x:c r="F204" s="9" t="str">
        <x:v>Navegador + HTTP + persistencia</x:v>
      </x:c>
      <x:c r="G204" s="10" t="str">
        <x:v>Pendiente</x:v>
      </x:c>
      <x:c r="H204" s="10"/>
      <x:c r="I204" s="10"/>
      <x:c r="J204" s="10"/>
      <x:c r="K204" s="10"/>
      <x:c r="L204" s="11"/>
      <x:c r="M204" s="12"/>
      <x:c r="N204" s="10"/>
    </x:row>
    <x:row r="205" ht="25" customHeight="1">
      <x:c r="A205" s="9" t="str">
        <x:v>QA-PAG-020</x:v>
      </x:c>
      <x:c r="B205" s="9" t="str">
        <x:v>PAG</x:v>
      </x:c>
      <x:c r="C205" s="9" t="str">
        <x:v>Repetir reversión y reutilizar clave</x:v>
      </x:c>
      <x:c r="D205" s="9" t="str">
        <x:v>P0</x:v>
      </x:c>
      <x:c r="E205" s="9" t="str">
        <x:v>Negativa</x:v>
      </x:c>
      <x:c r="F205" s="9" t="str">
        <x:v>Navegador + HTTP + persistencia</x:v>
      </x:c>
      <x:c r="G205" s="10" t="str">
        <x:v>Pendiente</x:v>
      </x:c>
      <x:c r="H205" s="10"/>
      <x:c r="I205" s="10"/>
      <x:c r="J205" s="10"/>
      <x:c r="K205" s="10"/>
      <x:c r="L205" s="11"/>
      <x:c r="M205" s="12"/>
      <x:c r="N205" s="10"/>
    </x:row>
    <x:row r="206" ht="25" customHeight="1">
      <x:c r="A206" s="9" t="str">
        <x:v>QA-PAG-021</x:v>
      </x:c>
      <x:c r="B206" s="9" t="str">
        <x:v>PAG</x:v>
      </x:c>
      <x:c r="C206" s="9" t="str">
        <x:v>Vuelto de efectivo</x:v>
      </x:c>
      <x:c r="D206" s="9" t="str">
        <x:v>P0</x:v>
      </x:c>
      <x:c r="E206" s="9" t="str">
        <x:v>Positiva</x:v>
      </x:c>
      <x:c r="F206" s="9" t="str">
        <x:v>Navegador + HTTP + persistencia</x:v>
      </x:c>
      <x:c r="G206" s="10" t="str">
        <x:v>Pendiente</x:v>
      </x:c>
      <x:c r="H206" s="10"/>
      <x:c r="I206" s="10"/>
      <x:c r="J206" s="10"/>
      <x:c r="K206" s="10"/>
      <x:c r="L206" s="11"/>
      <x:c r="M206" s="12"/>
      <x:c r="N206" s="10"/>
    </x:row>
    <x:row r="207" ht="25" customHeight="1">
      <x:c r="A207" s="9" t="str">
        <x:v>QA-PAG-022</x:v>
      </x:c>
      <x:c r="B207" s="9" t="str">
        <x:v>PAG</x:v>
      </x:c>
      <x:c r="C207" s="9" t="str">
        <x:v>Pagos mixtos en otra moneda sólo por API</x:v>
      </x:c>
      <x:c r="D207" s="9" t="str">
        <x:v>P0</x:v>
      </x:c>
      <x:c r="E207" s="9" t="str">
        <x:v>Positiva</x:v>
      </x:c>
      <x:c r="F207" s="9" t="str">
        <x:v>Navegador + HTTP + persistencia</x:v>
      </x:c>
      <x:c r="G207" s="10" t="str">
        <x:v>Pendiente</x:v>
      </x:c>
      <x:c r="H207" s="10"/>
      <x:c r="I207" s="10"/>
      <x:c r="J207" s="10"/>
      <x:c r="K207" s="10"/>
      <x:c r="L207" s="11"/>
      <x:c r="M207" s="12"/>
      <x:c r="N207" s="10"/>
    </x:row>
    <x:row r="208" ht="25" customHeight="1">
      <x:c r="A208" s="9" t="str">
        <x:v>QA-IGT-001</x:v>
      </x:c>
      <x:c r="B208" s="9" t="str">
        <x:v>IGT</x:v>
      </x:c>
      <x:c r="C208" s="9" t="str">
        <x:v>IGTF inicial sujeto</x:v>
      </x:c>
      <x:c r="D208" s="9" t="str">
        <x:v>P0</x:v>
      </x:c>
      <x:c r="E208" s="9" t="str">
        <x:v>Positiva</x:v>
      </x:c>
      <x:c r="F208" s="9" t="str">
        <x:v>Navegador + HTTP + persistencia</x:v>
      </x:c>
      <x:c r="G208" s="10" t="str">
        <x:v>Pendiente</x:v>
      </x:c>
      <x:c r="H208" s="10"/>
      <x:c r="I208" s="10"/>
      <x:c r="J208" s="10"/>
      <x:c r="K208" s="10"/>
      <x:c r="L208" s="11"/>
      <x:c r="M208" s="12"/>
      <x:c r="N208" s="10"/>
    </x:row>
    <x:row r="209" ht="25" customHeight="1">
      <x:c r="A209" s="9" t="str">
        <x:v>QA-IGT-002</x:v>
      </x:c>
      <x:c r="B209" s="9" t="str">
        <x:v>IGT</x:v>
      </x:c>
      <x:c r="C209" s="9" t="str">
        <x:v>No aplica no cobra IGTF</x:v>
      </x:c>
      <x:c r="D209" s="9" t="str">
        <x:v>P0</x:v>
      </x:c>
      <x:c r="E209" s="9" t="str">
        <x:v>Positiva</x:v>
      </x:c>
      <x:c r="F209" s="9" t="str">
        <x:v>Navegador + HTTP + persistencia</x:v>
      </x:c>
      <x:c r="G209" s="10" t="str">
        <x:v>Pendiente</x:v>
      </x:c>
      <x:c r="H209" s="10"/>
      <x:c r="I209" s="10"/>
      <x:c r="J209" s="10"/>
      <x:c r="K209" s="10"/>
      <x:c r="L209" s="11"/>
      <x:c r="M209" s="12"/>
      <x:c r="N209" s="10"/>
    </x:row>
    <x:row r="210" ht="25" customHeight="1">
      <x:c r="A210" s="9" t="str">
        <x:v>QA-IGT-003</x:v>
      </x:c>
      <x:c r="B210" s="9" t="str">
        <x:v>IGT</x:v>
      </x:c>
      <x:c r="C210" s="9" t="str">
        <x:v>Exento con motivo</x:v>
      </x:c>
      <x:c r="D210" s="9" t="str">
        <x:v>P1</x:v>
      </x:c>
      <x:c r="E210" s="9" t="str">
        <x:v>Positiva</x:v>
      </x:c>
      <x:c r="F210" s="9" t="str">
        <x:v>Navegador + HTTP + persistencia</x:v>
      </x:c>
      <x:c r="G210" s="10" t="str">
        <x:v>Pendiente</x:v>
      </x:c>
      <x:c r="H210" s="10"/>
      <x:c r="I210" s="10"/>
      <x:c r="J210" s="10"/>
      <x:c r="K210" s="10"/>
      <x:c r="L210" s="11"/>
      <x:c r="M210" s="12"/>
      <x:c r="N210" s="10"/>
    </x:row>
    <x:row r="211" ht="25" customHeight="1">
      <x:c r="A211" s="9" t="str">
        <x:v>QA-IGT-004</x:v>
      </x:c>
      <x:c r="B211" s="9" t="str">
        <x:v>IGT</x:v>
      </x:c>
      <x:c r="C211" s="9" t="str">
        <x:v>Exento sin motivo</x:v>
      </x:c>
      <x:c r="D211" s="9" t="str">
        <x:v>P1</x:v>
      </x:c>
      <x:c r="E211" s="9" t="str">
        <x:v>Negativa</x:v>
      </x:c>
      <x:c r="F211" s="9" t="str">
        <x:v>Navegador + HTTP + persistencia</x:v>
      </x:c>
      <x:c r="G211" s="10" t="str">
        <x:v>Pendiente</x:v>
      </x:c>
      <x:c r="H211" s="10"/>
      <x:c r="I211" s="10"/>
      <x:c r="J211" s="10"/>
      <x:c r="K211" s="10"/>
      <x:c r="L211" s="11"/>
      <x:c r="M211" s="12"/>
      <x:c r="N211" s="10"/>
    </x:row>
    <x:row r="212" ht="25" customHeight="1">
      <x:c r="A212" s="9" t="str">
        <x:v>QA-IGT-005</x:v>
      </x:c>
      <x:c r="B212" s="9" t="str">
        <x:v>IGT</x:v>
      </x:c>
      <x:c r="C212" s="9" t="str">
        <x:v>Subject no válido</x:v>
      </x:c>
      <x:c r="D212" s="9" t="str">
        <x:v>P0</x:v>
      </x:c>
      <x:c r="E212" s="9" t="str">
        <x:v>Negativa</x:v>
      </x:c>
      <x:c r="F212" s="9" t="str">
        <x:v>Navegador + HTTP + persistencia</x:v>
      </x:c>
      <x:c r="G212" s="10" t="str">
        <x:v>Pendiente</x:v>
      </x:c>
      <x:c r="H212" s="10"/>
      <x:c r="I212" s="10"/>
      <x:c r="J212" s="10"/>
      <x:c r="K212" s="10"/>
      <x:c r="L212" s="11"/>
      <x:c r="M212" s="12"/>
      <x:c r="N212" s="10"/>
    </x:row>
    <x:row r="213" ht="25" customHeight="1">
      <x:c r="A213" s="9" t="str">
        <x:v>QA-IGT-006</x:v>
      </x:c>
      <x:c r="B213" s="9" t="str">
        <x:v>IGT</x:v>
      </x:c>
      <x:c r="C213" s="9" t="str">
        <x:v>IGTF sólo sobre neto</x:v>
      </x:c>
      <x:c r="D213" s="9" t="str">
        <x:v>P0</x:v>
      </x:c>
      <x:c r="E213" s="9" t="str">
        <x:v>Positiva</x:v>
      </x:c>
      <x:c r="F213" s="9" t="str">
        <x:v>Navegador + HTTP + persistencia</x:v>
      </x:c>
      <x:c r="G213" s="10" t="str">
        <x:v>Pendiente</x:v>
      </x:c>
      <x:c r="H213" s="10"/>
      <x:c r="I213" s="10"/>
      <x:c r="J213" s="10"/>
      <x:c r="K213" s="10"/>
      <x:c r="L213" s="11"/>
      <x:c r="M213" s="12"/>
      <x:c r="N213" s="10"/>
    </x:row>
    <x:row r="214" ht="25" customHeight="1">
      <x:c r="A214" s="9" t="str">
        <x:v>QA-IGT-007</x:v>
      </x:c>
      <x:c r="B214" s="9" t="str">
        <x:v>IGT</x:v>
      </x:c>
      <x:c r="C214" s="9" t="str">
        <x:v>IGTF posterior crea ND local</x:v>
      </x:c>
      <x:c r="D214" s="9" t="str">
        <x:v>P0</x:v>
      </x:c>
      <x:c r="E214" s="9" t="str">
        <x:v>Positiva</x:v>
      </x:c>
      <x:c r="F214" s="9" t="str">
        <x:v>Navegador + HTTP + persistencia</x:v>
      </x:c>
      <x:c r="G214" s="10" t="str">
        <x:v>Pendiente</x:v>
      </x:c>
      <x:c r="H214" s="10"/>
      <x:c r="I214" s="10"/>
      <x:c r="J214" s="10"/>
      <x:c r="K214" s="10"/>
      <x:c r="L214" s="11"/>
      <x:c r="M214" s="12"/>
      <x:c r="N214" s="10"/>
    </x:row>
    <x:row r="215" ht="25" customHeight="1">
      <x:c r="A215" s="9" t="str">
        <x:v>QA-IGT-008</x:v>
      </x:c>
      <x:c r="B215" s="9" t="str">
        <x:v>IGT</x:v>
      </x:c>
      <x:c r="C215" s="9" t="str">
        <x:v>IGTF posterior sin serie autorizada</x:v>
      </x:c>
      <x:c r="D215" s="9" t="str">
        <x:v>P0</x:v>
      </x:c>
      <x:c r="E215" s="9" t="str">
        <x:v>Negativa</x:v>
      </x:c>
      <x:c r="F215" s="9" t="str">
        <x:v>Navegador + HTTP + persistencia</x:v>
      </x:c>
      <x:c r="G215" s="10" t="str">
        <x:v>Pendiente</x:v>
      </x:c>
      <x:c r="H215" s="10"/>
      <x:c r="I215" s="10"/>
      <x:c r="J215" s="10"/>
      <x:c r="K215" s="10"/>
      <x:c r="L215" s="11"/>
      <x:c r="M215" s="12"/>
      <x:c r="N215" s="10"/>
    </x:row>
    <x:row r="216" ht="25" customHeight="1">
      <x:c r="A216" s="9" t="str">
        <x:v>QA-IGT-009</x:v>
      </x:c>
      <x:c r="B216" s="9" t="str">
        <x:v>IGT</x:v>
      </x:c>
      <x:c r="C216" s="9" t="str">
        <x:v>Dos cobros sujetos y UUIDs</x:v>
      </x:c>
      <x:c r="D216" s="9" t="str">
        <x:v>P0</x:v>
      </x:c>
      <x:c r="E216" s="9" t="str">
        <x:v>Concurrencia</x:v>
      </x:c>
      <x:c r="F216" s="9" t="str">
        <x:v>Navegador + HTTP + persistencia</x:v>
      </x:c>
      <x:c r="G216" s="10" t="str">
        <x:v>Pendiente</x:v>
      </x:c>
      <x:c r="H216" s="10"/>
      <x:c r="I216" s="10"/>
      <x:c r="J216" s="10"/>
      <x:c r="K216" s="10"/>
      <x:c r="L216" s="11"/>
      <x:c r="M216" s="12"/>
      <x:c r="N216" s="10"/>
    </x:row>
    <x:row r="217" ht="25" customHeight="1">
      <x:c r="A217" s="9" t="str">
        <x:v>QA-IGT-010</x:v>
      </x:c>
      <x:c r="B217" s="9" t="str">
        <x:v>IGT</x:v>
      </x:c>
      <x:c r="C217" s="9" t="str">
        <x:v>Revertir IGTF inicial</x:v>
      </x:c>
      <x:c r="D217" s="9" t="str">
        <x:v>P0</x:v>
      </x:c>
      <x:c r="E217" s="9" t="str">
        <x:v>Positiva</x:v>
      </x:c>
      <x:c r="F217" s="9" t="str">
        <x:v>Navegador + HTTP + persistencia</x:v>
      </x:c>
      <x:c r="G217" s="10" t="str">
        <x:v>Pendiente</x:v>
      </x:c>
      <x:c r="H217" s="10"/>
      <x:c r="I217" s="10"/>
      <x:c r="J217" s="10"/>
      <x:c r="K217" s="10"/>
      <x:c r="L217" s="11"/>
      <x:c r="M217" s="12"/>
      <x:c r="N217" s="10"/>
    </x:row>
    <x:row r="218" ht="25" customHeight="1">
      <x:c r="A218" s="9" t="str">
        <x:v>QA-IGT-011</x:v>
      </x:c>
      <x:c r="B218" s="9" t="str">
        <x:v>IGT</x:v>
      </x:c>
      <x:c r="C218" s="9" t="str">
        <x:v>Revertir IGTF posterior no preparado</x:v>
      </x:c>
      <x:c r="D218" s="9" t="str">
        <x:v>P0</x:v>
      </x:c>
      <x:c r="E218" s="9" t="str">
        <x:v>Positiva</x:v>
      </x:c>
      <x:c r="F218" s="9" t="str">
        <x:v>Navegador + HTTP + persistencia</x:v>
      </x:c>
      <x:c r="G218" s="10" t="str">
        <x:v>Pendiente</x:v>
      </x:c>
      <x:c r="H218" s="10"/>
      <x:c r="I218" s="10"/>
      <x:c r="J218" s="10"/>
      <x:c r="K218" s="10"/>
      <x:c r="L218" s="11"/>
      <x:c r="M218" s="12"/>
      <x:c r="N218" s="10"/>
    </x:row>
    <x:row r="219" ht="25" customHeight="1">
      <x:c r="A219" s="9" t="str">
        <x:v>QA-IGT-012</x:v>
      </x:c>
      <x:c r="B219" s="9" t="str">
        <x:v>IGT</x:v>
      </x:c>
      <x:c r="C219" s="9" t="str">
        <x:v>Revertir IGTF posterior preparado</x:v>
      </x:c>
      <x:c r="D219" s="9" t="str">
        <x:v>P0</x:v>
      </x:c>
      <x:c r="E219" s="9" t="str">
        <x:v>Negativa</x:v>
      </x:c>
      <x:c r="F219" s="9" t="str">
        <x:v>Navegador + HTTP + persistencia</x:v>
      </x:c>
      <x:c r="G219" s="10" t="str">
        <x:v>Pendiente</x:v>
      </x:c>
      <x:c r="H219" s="10"/>
      <x:c r="I219" s="10"/>
      <x:c r="J219" s="10"/>
      <x:c r="K219" s="10"/>
      <x:c r="L219" s="11"/>
      <x:c r="M219" s="12"/>
      <x:c r="N219" s="10"/>
    </x:row>
    <x:row r="220" ht="25" customHeight="1">
      <x:c r="A220" s="9" t="str">
        <x:v>QA-IGT-013</x:v>
      </x:c>
      <x:c r="B220" s="9" t="str">
        <x:v>IGT</x:v>
      </x:c>
      <x:c r="C220" s="9" t="str">
        <x:v>Revertir derivado aislado</x:v>
      </x:c>
      <x:c r="D220" s="9" t="str">
        <x:v>P0</x:v>
      </x:c>
      <x:c r="E220" s="9" t="str">
        <x:v>Negativa</x:v>
      </x:c>
      <x:c r="F220" s="9" t="str">
        <x:v>Navegador + HTTP + persistencia</x:v>
      </x:c>
      <x:c r="G220" s="10" t="str">
        <x:v>Pendiente</x:v>
      </x:c>
      <x:c r="H220" s="10"/>
      <x:c r="I220" s="10"/>
      <x:c r="J220" s="10"/>
      <x:c r="K220" s="10"/>
      <x:c r="L220" s="11"/>
      <x:c r="M220" s="12"/>
      <x:c r="N220" s="10"/>
    </x:row>
    <x:row r="221" ht="25" customHeight="1">
      <x:c r="A221" s="9" t="str">
        <x:v>QA-IGT-014</x:v>
      </x:c>
      <x:c r="B221" s="9" t="str">
        <x:v>IGT</x:v>
      </x:c>
      <x:c r="C221" s="9" t="str">
        <x:v>IGTF inicial exportación y terceros</x:v>
      </x:c>
      <x:c r="D221" s="9" t="str">
        <x:v>P0</x:v>
      </x:c>
      <x:c r="E221" s="9" t="str">
        <x:v>Positiva</x:v>
      </x:c>
      <x:c r="F221" s="9" t="str">
        <x:v>Navegador + HTTP + persistencia</x:v>
      </x:c>
      <x:c r="G221" s="10" t="str">
        <x:v>Pendiente</x:v>
      </x:c>
      <x:c r="H221" s="10"/>
      <x:c r="I221" s="10"/>
      <x:c r="J221" s="10"/>
      <x:c r="K221" s="10"/>
      <x:c r="L221" s="11"/>
      <x:c r="M221" s="12"/>
      <x:c r="N221" s="10"/>
    </x:row>
    <x:row r="222" ht="25" customHeight="1">
      <x:c r="A222" s="9" t="str">
        <x:v>QA-RET-001</x:v>
      </x:c>
      <x:c r="B222" s="9" t="str">
        <x:v>RET</x:v>
      </x:c>
      <x:c r="C222" s="9" t="str">
        <x:v>Retención IVA 75 %</x:v>
      </x:c>
      <x:c r="D222" s="9" t="str">
        <x:v>P0</x:v>
      </x:c>
      <x:c r="E222" s="9" t="str">
        <x:v>Positiva</x:v>
      </x:c>
      <x:c r="F222" s="9" t="str">
        <x:v>Navegador + HTTP + persistencia</x:v>
      </x:c>
      <x:c r="G222" s="10" t="str">
        <x:v>Pendiente</x:v>
      </x:c>
      <x:c r="H222" s="10"/>
      <x:c r="I222" s="10"/>
      <x:c r="J222" s="10"/>
      <x:c r="K222" s="10"/>
      <x:c r="L222" s="11"/>
      <x:c r="M222" s="12"/>
      <x:c r="N222" s="10"/>
    </x:row>
    <x:row r="223" ht="25" customHeight="1">
      <x:c r="A223" s="9" t="str">
        <x:v>QA-RET-002</x:v>
      </x:c>
      <x:c r="B223" s="9" t="str">
        <x:v>RET</x:v>
      </x:c>
      <x:c r="C223" s="9" t="str">
        <x:v>Retención IVA 100 %</x:v>
      </x:c>
      <x:c r="D223" s="9" t="str">
        <x:v>P0</x:v>
      </x:c>
      <x:c r="E223" s="9" t="str">
        <x:v>Positiva</x:v>
      </x:c>
      <x:c r="F223" s="9" t="str">
        <x:v>Navegador + HTTP + persistencia</x:v>
      </x:c>
      <x:c r="G223" s="10" t="str">
        <x:v>Pendiente</x:v>
      </x:c>
      <x:c r="H223" s="10"/>
      <x:c r="I223" s="10"/>
      <x:c r="J223" s="10"/>
      <x:c r="K223" s="10"/>
      <x:c r="L223" s="11"/>
      <x:c r="M223" s="12"/>
      <x:c r="N223" s="10"/>
    </x:row>
    <x:row r="224" ht="25" customHeight="1">
      <x:c r="A224" s="9" t="str">
        <x:v>QA-RET-003</x:v>
      </x:c>
      <x:c r="B224" s="9" t="str">
        <x:v>RET</x:v>
      </x:c>
      <x:c r="C224" s="9" t="str">
        <x:v>ISLR con sustraendo</x:v>
      </x:c>
      <x:c r="D224" s="9" t="str">
        <x:v>P0</x:v>
      </x:c>
      <x:c r="E224" s="9" t="str">
        <x:v>Positiva</x:v>
      </x:c>
      <x:c r="F224" s="9" t="str">
        <x:v>Navegador + HTTP + persistencia</x:v>
      </x:c>
      <x:c r="G224" s="10" t="str">
        <x:v>Pendiente</x:v>
      </x:c>
      <x:c r="H224" s="10"/>
      <x:c r="I224" s="10"/>
      <x:c r="J224" s="10"/>
      <x:c r="K224" s="10"/>
      <x:c r="L224" s="11"/>
      <x:c r="M224" s="12"/>
      <x:c r="N224" s="10"/>
    </x:row>
    <x:row r="225" ht="25" customHeight="1">
      <x:c r="A225" s="9" t="str">
        <x:v>QA-RET-004</x:v>
      </x:c>
      <x:c r="B225" s="9" t="str">
        <x:v>RET</x:v>
      </x:c>
      <x:c r="C225" s="9" t="str">
        <x:v>Múltiples IVA e ISLR</x:v>
      </x:c>
      <x:c r="D225" s="9" t="str">
        <x:v>P0</x:v>
      </x:c>
      <x:c r="E225" s="9" t="str">
        <x:v>Positiva</x:v>
      </x:c>
      <x:c r="F225" s="9" t="str">
        <x:v>Navegador + HTTP + persistencia</x:v>
      </x:c>
      <x:c r="G225" s="10" t="str">
        <x:v>Pendiente</x:v>
      </x:c>
      <x:c r="H225" s="10"/>
      <x:c r="I225" s="10"/>
      <x:c r="J225" s="10"/>
      <x:c r="K225" s="10"/>
      <x:c r="L225" s="11"/>
      <x:c r="M225" s="12"/>
      <x:c r="N225" s="10"/>
    </x:row>
    <x:row r="226" ht="25" customHeight="1">
      <x:c r="A226" s="9" t="str">
        <x:v>QA-RET-005</x:v>
      </x:c>
      <x:c r="B226" s="9" t="str">
        <x:v>RET</x:v>
      </x:c>
      <x:c r="C226" s="9" t="str">
        <x:v>Retención en moneda diferente</x:v>
      </x:c>
      <x:c r="D226" s="9" t="str">
        <x:v>P0</x:v>
      </x:c>
      <x:c r="E226" s="9" t="str">
        <x:v>Positiva</x:v>
      </x:c>
      <x:c r="F226" s="9" t="str">
        <x:v>Navegador + HTTP + persistencia</x:v>
      </x:c>
      <x:c r="G226" s="10" t="str">
        <x:v>Pendiente</x:v>
      </x:c>
      <x:c r="H226" s="10"/>
      <x:c r="I226" s="10"/>
      <x:c r="J226" s="10"/>
      <x:c r="K226" s="10"/>
      <x:c r="L226" s="11"/>
      <x:c r="M226" s="12"/>
      <x:c r="N226" s="10"/>
    </x:row>
    <x:row r="227" ht="25" customHeight="1">
      <x:c r="A227" s="9" t="str">
        <x:v>QA-RET-006</x:v>
      </x:c>
      <x:c r="B227" s="9" t="str">
        <x:v>RET</x:v>
      </x:c>
      <x:c r="C227" s="9" t="str">
        <x:v>Agente distinto o ajeno</x:v>
      </x:c>
      <x:c r="D227" s="9" t="str">
        <x:v>P0</x:v>
      </x:c>
      <x:c r="E227" s="9" t="str">
        <x:v>Seguridad</x:v>
      </x:c>
      <x:c r="F227" s="9" t="str">
        <x:v>Navegador + HTTP + persistencia</x:v>
      </x:c>
      <x:c r="G227" s="10" t="str">
        <x:v>Pendiente</x:v>
      </x:c>
      <x:c r="H227" s="10"/>
      <x:c r="I227" s="10"/>
      <x:c r="J227" s="10"/>
      <x:c r="K227" s="10"/>
      <x:c r="L227" s="11"/>
      <x:c r="M227" s="12"/>
      <x:c r="N227" s="10"/>
    </x:row>
    <x:row r="228" ht="25" customHeight="1">
      <x:c r="A228" s="9" t="str">
        <x:v>QA-RET-007</x:v>
      </x:c>
      <x:c r="B228" s="9" t="str">
        <x:v>RET</x:v>
      </x:c>
      <x:c r="C228" s="9" t="str">
        <x:v>Número duplicado y concurrencia</x:v>
      </x:c>
      <x:c r="D228" s="9" t="str">
        <x:v>P0</x:v>
      </x:c>
      <x:c r="E228" s="9" t="str">
        <x:v>Concurrencia</x:v>
      </x:c>
      <x:c r="F228" s="9" t="str">
        <x:v>Navegador + HTTP + persistencia</x:v>
      </x:c>
      <x:c r="G228" s="10" t="str">
        <x:v>Pendiente</x:v>
      </x:c>
      <x:c r="H228" s="10"/>
      <x:c r="I228" s="10"/>
      <x:c r="J228" s="10"/>
      <x:c r="K228" s="10"/>
      <x:c r="L228" s="11"/>
      <x:c r="M228" s="12"/>
      <x:c r="N228" s="10"/>
    </x:row>
    <x:row r="229" ht="25" customHeight="1">
      <x:c r="A229" s="9" t="str">
        <x:v>QA-RET-008</x:v>
      </x:c>
      <x:c r="B229" s="9" t="str">
        <x:v>RET</x:v>
      </x:c>
      <x:c r="C229" s="9" t="str">
        <x:v>Exceso de saldo o impuesto IVA</x:v>
      </x:c>
      <x:c r="D229" s="9" t="str">
        <x:v>P0</x:v>
      </x:c>
      <x:c r="E229" s="9" t="str">
        <x:v>Negativa</x:v>
      </x:c>
      <x:c r="F229" s="9" t="str">
        <x:v>Navegador + HTTP + persistencia</x:v>
      </x:c>
      <x:c r="G229" s="10" t="str">
        <x:v>Pendiente</x:v>
      </x:c>
      <x:c r="H229" s="10"/>
      <x:c r="I229" s="10"/>
      <x:c r="J229" s="10"/>
      <x:c r="K229" s="10"/>
      <x:c r="L229" s="11"/>
      <x:c r="M229" s="12"/>
      <x:c r="N229" s="10"/>
    </x:row>
    <x:row r="230" ht="25" customHeight="1">
      <x:c r="A230" s="9" t="str">
        <x:v>QA-RET-009</x:v>
      </x:c>
      <x:c r="B230" s="9" t="str">
        <x:v>RET</x:v>
      </x:c>
      <x:c r="C230" s="9" t="str">
        <x:v>Importe o fórmula incorrectos</x:v>
      </x:c>
      <x:c r="D230" s="9" t="str">
        <x:v>P1</x:v>
      </x:c>
      <x:c r="E230" s="9" t="str">
        <x:v>Negativa</x:v>
      </x:c>
      <x:c r="F230" s="9" t="str">
        <x:v>Navegador + HTTP + persistencia</x:v>
      </x:c>
      <x:c r="G230" s="10" t="str">
        <x:v>Pendiente</x:v>
      </x:c>
      <x:c r="H230" s="10"/>
      <x:c r="I230" s="10"/>
      <x:c r="J230" s="10"/>
      <x:c r="K230" s="10"/>
      <x:c r="L230" s="11"/>
      <x:c r="M230" s="12"/>
      <x:c r="N230" s="10"/>
    </x:row>
    <x:row r="231" ht="25" customHeight="1">
      <x:c r="A231" s="9" t="str">
        <x:v>QA-RET-010</x:v>
      </x:c>
      <x:c r="B231" s="9" t="str">
        <x:v>RET</x:v>
      </x:c>
      <x:c r="C231" s="9" t="str">
        <x:v>ISLR sin concepto o inválido</x:v>
      </x:c>
      <x:c r="D231" s="9" t="str">
        <x:v>P1</x:v>
      </x:c>
      <x:c r="E231" s="9" t="str">
        <x:v>Negativa</x:v>
      </x:c>
      <x:c r="F231" s="9" t="str">
        <x:v>Navegador + HTTP + persistencia</x:v>
      </x:c>
      <x:c r="G231" s="10" t="str">
        <x:v>Pendiente</x:v>
      </x:c>
      <x:c r="H231" s="10"/>
      <x:c r="I231" s="10"/>
      <x:c r="J231" s="10"/>
      <x:c r="K231" s="10"/>
      <x:c r="L231" s="11"/>
      <x:c r="M231" s="12"/>
      <x:c r="N231" s="10"/>
    </x:row>
    <x:row r="232" ht="25" customHeight="1">
      <x:c r="A232" s="9" t="str">
        <x:v>QA-RET-011</x:v>
      </x:c>
      <x:c r="B232" s="9" t="str">
        <x:v>RET</x:v>
      </x:c>
      <x:c r="C232" s="9" t="str">
        <x:v>Adjuntos PDF/JPG/PNG</x:v>
      </x:c>
      <x:c r="D232" s="9" t="str">
        <x:v>P1</x:v>
      </x:c>
      <x:c r="E232" s="9" t="str">
        <x:v>Positiva</x:v>
      </x:c>
      <x:c r="F232" s="9" t="str">
        <x:v>Navegador + HTTP + persistencia</x:v>
      </x:c>
      <x:c r="G232" s="10" t="str">
        <x:v>Pendiente</x:v>
      </x:c>
      <x:c r="H232" s="10"/>
      <x:c r="I232" s="10"/>
      <x:c r="J232" s="10"/>
      <x:c r="K232" s="10"/>
      <x:c r="L232" s="11"/>
      <x:c r="M232" s="12"/>
      <x:c r="N232" s="10"/>
    </x:row>
    <x:row r="233" ht="25" customHeight="1">
      <x:c r="A233" s="9" t="str">
        <x:v>QA-RET-012</x:v>
      </x:c>
      <x:c r="B233" s="9" t="str">
        <x:v>RET</x:v>
      </x:c>
      <x:c r="C233" s="9" t="str">
        <x:v>Adjunto demasiado grande o tipo inválido</x:v>
      </x:c>
      <x:c r="D233" s="9" t="str">
        <x:v>P1</x:v>
      </x:c>
      <x:c r="E233" s="9" t="str">
        <x:v>Negativa</x:v>
      </x:c>
      <x:c r="F233" s="9" t="str">
        <x:v>Navegador + HTTP + persistencia</x:v>
      </x:c>
      <x:c r="G233" s="10" t="str">
        <x:v>Pendiente</x:v>
      </x:c>
      <x:c r="H233" s="10"/>
      <x:c r="I233" s="10"/>
      <x:c r="J233" s="10"/>
      <x:c r="K233" s="10"/>
      <x:c r="L233" s="11"/>
      <x:c r="M233" s="12"/>
      <x:c r="N233" s="10"/>
    </x:row>
    <x:row r="234" ht="25" customHeight="1">
      <x:c r="A234" s="9" t="str">
        <x:v>QA-RET-013</x:v>
      </x:c>
      <x:c r="B234" s="9" t="str">
        <x:v>RET</x:v>
      </x:c>
      <x:c r="C234" s="9" t="str">
        <x:v>Adjunto de otra factura o ruta insegura</x:v>
      </x:c>
      <x:c r="D234" s="9" t="str">
        <x:v>P0</x:v>
      </x:c>
      <x:c r="E234" s="9" t="str">
        <x:v>Seguridad</x:v>
      </x:c>
      <x:c r="F234" s="9" t="str">
        <x:v>Navegador + HTTP + persistencia</x:v>
      </x:c>
      <x:c r="G234" s="10" t="str">
        <x:v>Pendiente</x:v>
      </x:c>
      <x:c r="H234" s="10"/>
      <x:c r="I234" s="10"/>
      <x:c r="J234" s="10"/>
      <x:c r="K234" s="10"/>
      <x:c r="L234" s="11"/>
      <x:c r="M234" s="12"/>
      <x:c r="N234" s="10"/>
    </x:row>
    <x:row r="235" ht="25" customHeight="1">
      <x:c r="A235" s="9" t="str">
        <x:v>QA-RET-014</x:v>
      </x:c>
      <x:c r="B235" s="9" t="str">
        <x:v>RET</x:v>
      </x:c>
      <x:c r="C235" s="9" t="str">
        <x:v>Permisos de registrar retención</x:v>
      </x:c>
      <x:c r="D235" s="9" t="str">
        <x:v>P0</x:v>
      </x:c>
      <x:c r="E235" s="9" t="str">
        <x:v>Seguridad</x:v>
      </x:c>
      <x:c r="F235" s="9" t="str">
        <x:v>Navegador + HTTP + persistencia</x:v>
      </x:c>
      <x:c r="G235" s="10" t="str">
        <x:v>Pendiente</x:v>
      </x:c>
      <x:c r="H235" s="10"/>
      <x:c r="I235" s="10"/>
      <x:c r="J235" s="10"/>
      <x:c r="K235" s="10"/>
      <x:c r="L235" s="11"/>
      <x:c r="M235" s="12"/>
      <x:c r="N235" s="10"/>
    </x:row>
    <x:row r="236" ht="25" customHeight="1">
      <x:c r="A236" s="9" t="str">
        <x:v>QA-RET-015</x:v>
      </x:c>
      <x:c r="B236" s="9" t="str">
        <x:v>RET</x:v>
      </x:c>
      <x:c r="C236" s="9" t="str">
        <x:v>Retención sobre anulado o no Factura</x:v>
      </x:c>
      <x:c r="D236" s="9" t="str">
        <x:v>P0</x:v>
      </x:c>
      <x:c r="E236" s="9" t="str">
        <x:v>Negativa</x:v>
      </x:c>
      <x:c r="F236" s="9" t="str">
        <x:v>Navegador + HTTP + persistencia</x:v>
      </x:c>
      <x:c r="G236" s="10" t="str">
        <x:v>Pendiente</x:v>
      </x:c>
      <x:c r="H236" s="10"/>
      <x:c r="I236" s="10"/>
      <x:c r="J236" s="10"/>
      <x:c r="K236" s="10"/>
      <x:c r="L236" s="11"/>
      <x:c r="M236" s="12"/>
      <x:c r="N236" s="10"/>
    </x:row>
    <x:row r="237" ht="25" customHeight="1">
      <x:c r="A237" s="9" t="str">
        <x:v>QA-RET-016</x:v>
      </x:c>
      <x:c r="B237" s="9" t="str">
        <x:v>RET</x:v>
      </x:c>
      <x:c r="C237" s="9" t="str">
        <x:v>Fondo garantía 10 %</x:v>
      </x:c>
      <x:c r="D237" s="9" t="str">
        <x:v>P0</x:v>
      </x:c>
      <x:c r="E237" s="9" t="str">
        <x:v>Positiva</x:v>
      </x:c>
      <x:c r="F237" s="9" t="str">
        <x:v>Navegador + HTTP + persistencia</x:v>
      </x:c>
      <x:c r="G237" s="10" t="str">
        <x:v>Pendiente</x:v>
      </x:c>
      <x:c r="H237" s="10"/>
      <x:c r="I237" s="10"/>
      <x:c r="J237" s="10"/>
      <x:c r="K237" s="10"/>
      <x:c r="L237" s="11"/>
      <x:c r="M237" s="12"/>
      <x:c r="N237" s="10"/>
    </x:row>
    <x:row r="238" ht="25" customHeight="1">
      <x:c r="A238" s="9" t="str">
        <x:v>QA-RET-017</x:v>
      </x:c>
      <x:c r="B238" s="9" t="str">
        <x:v>RET</x:v>
      </x:c>
      <x:c r="C238" s="9" t="str">
        <x:v>Fondo inválido o superior al saldo</x:v>
      </x:c>
      <x:c r="D238" s="9" t="str">
        <x:v>P0</x:v>
      </x:c>
      <x:c r="E238" s="9" t="str">
        <x:v>Negativa</x:v>
      </x:c>
      <x:c r="F238" s="9" t="str">
        <x:v>Navegador + HTTP + persistencia</x:v>
      </x:c>
      <x:c r="G238" s="10" t="str">
        <x:v>Pendiente</x:v>
      </x:c>
      <x:c r="H238" s="10"/>
      <x:c r="I238" s="10"/>
      <x:c r="J238" s="10"/>
      <x:c r="K238" s="10"/>
      <x:c r="L238" s="11"/>
      <x:c r="M238" s="12"/>
      <x:c r="N238" s="10"/>
    </x:row>
    <x:row r="239" ht="25" customHeight="1">
      <x:c r="A239" s="9" t="str">
        <x:v>QA-RET-018</x:v>
      </x:c>
      <x:c r="B239" s="9" t="str">
        <x:v>RET</x:v>
      </x:c>
      <x:c r="C239" s="9" t="str">
        <x:v>Aplicaciones combinadas</x:v>
      </x:c>
      <x:c r="D239" s="9" t="str">
        <x:v>P0</x:v>
      </x:c>
      <x:c r="E239" s="9" t="str">
        <x:v>Positiva</x:v>
      </x:c>
      <x:c r="F239" s="9" t="str">
        <x:v>Navegador + HTTP + persistencia</x:v>
      </x:c>
      <x:c r="G239" s="10" t="str">
        <x:v>Pendiente</x:v>
      </x:c>
      <x:c r="H239" s="10"/>
      <x:c r="I239" s="10"/>
      <x:c r="J239" s="10"/>
      <x:c r="K239" s="10"/>
      <x:c r="L239" s="11"/>
      <x:c r="M239" s="12"/>
      <x:c r="N239" s="10"/>
    </x:row>
    <x:row r="240" ht="25" customHeight="1">
      <x:c r="A240" s="9" t="str">
        <x:v>QA-RET-019</x:v>
      </x:c>
      <x:c r="B240" s="9" t="str">
        <x:v>RET</x:v>
      </x:c>
      <x:c r="C240" s="9" t="str">
        <x:v>Edición con retenciones/fondo</x:v>
      </x:c>
      <x:c r="D240" s="9" t="str">
        <x:v>P0</x:v>
      </x:c>
      <x:c r="E240" s="9" t="str">
        <x:v>Negativa</x:v>
      </x:c>
      <x:c r="F240" s="9" t="str">
        <x:v>Navegador + HTTP + persistencia</x:v>
      </x:c>
      <x:c r="G240" s="10" t="str">
        <x:v>Pendiente</x:v>
      </x:c>
      <x:c r="H240" s="10"/>
      <x:c r="I240" s="10"/>
      <x:c r="J240" s="10"/>
      <x:c r="K240" s="10"/>
      <x:c r="L240" s="11"/>
      <x:c r="M240" s="12"/>
      <x:c r="N240" s="10"/>
    </x:row>
    <x:row r="241" ht="25" customHeight="1">
      <x:c r="A241" s="9" t="str">
        <x:v>QA-EDI-001</x:v>
      </x:c>
      <x:c r="B241" s="9" t="str">
        <x:v>EDI</x:v>
      </x:c>
      <x:c r="C241" s="9" t="str">
        <x:v>Edición en estado not_requested</x:v>
      </x:c>
      <x:c r="D241" s="9" t="str">
        <x:v>P0</x:v>
      </x:c>
      <x:c r="E241" s="9" t="str">
        <x:v>Positiva</x:v>
      </x:c>
      <x:c r="F241" s="9" t="str">
        <x:v>Navegador + HTTP + persistencia</x:v>
      </x:c>
      <x:c r="G241" s="10" t="str">
        <x:v>Pendiente</x:v>
      </x:c>
      <x:c r="H241" s="10"/>
      <x:c r="I241" s="10"/>
      <x:c r="J241" s="10"/>
      <x:c r="K241" s="10"/>
      <x:c r="L241" s="11"/>
      <x:c r="M241" s="12"/>
      <x:c r="N241" s="10"/>
    </x:row>
    <x:row r="242" ht="25" customHeight="1">
      <x:c r="A242" s="9" t="str">
        <x:v>QA-EDI-002</x:v>
      </x:c>
      <x:c r="B242" s="9" t="str">
        <x:v>EDI</x:v>
      </x:c>
      <x:c r="C242" s="9" t="str">
        <x:v>Edición en estado prepared</x:v>
      </x:c>
      <x:c r="D242" s="9" t="str">
        <x:v>P0</x:v>
      </x:c>
      <x:c r="E242" s="9" t="str">
        <x:v>Positiva</x:v>
      </x:c>
      <x:c r="F242" s="9" t="str">
        <x:v>Navegador + HTTP + persistencia</x:v>
      </x:c>
      <x:c r="G242" s="10" t="str">
        <x:v>Pendiente</x:v>
      </x:c>
      <x:c r="H242" s="10"/>
      <x:c r="I242" s="10"/>
      <x:c r="J242" s="10"/>
      <x:c r="K242" s="10"/>
      <x:c r="L242" s="11"/>
      <x:c r="M242" s="12"/>
      <x:c r="N242" s="10"/>
    </x:row>
    <x:row r="243" ht="25" customHeight="1">
      <x:c r="A243" s="9" t="str">
        <x:v>QA-EDI-003</x:v>
      </x:c>
      <x:c r="B243" s="9" t="str">
        <x:v>EDI</x:v>
      </x:c>
      <x:c r="C243" s="9" t="str">
        <x:v>Edición en estado rejected</x:v>
      </x:c>
      <x:c r="D243" s="9" t="str">
        <x:v>P0</x:v>
      </x:c>
      <x:c r="E243" s="9" t="str">
        <x:v>Positiva</x:v>
      </x:c>
      <x:c r="F243" s="9" t="str">
        <x:v>Navegador + HTTP + persistencia</x:v>
      </x:c>
      <x:c r="G243" s="10" t="str">
        <x:v>Pendiente</x:v>
      </x:c>
      <x:c r="H243" s="10"/>
      <x:c r="I243" s="10"/>
      <x:c r="J243" s="10"/>
      <x:c r="K243" s="10"/>
      <x:c r="L243" s="11"/>
      <x:c r="M243" s="12"/>
      <x:c r="N243" s="10"/>
    </x:row>
    <x:row r="244" ht="25" customHeight="1">
      <x:c r="A244" s="9" t="str">
        <x:v>QA-EDI-004</x:v>
      </x:c>
      <x:c r="B244" s="9" t="str">
        <x:v>EDI</x:v>
      </x:c>
      <x:c r="C244" s="9" t="str">
        <x:v>Edición en estado pending</x:v>
      </x:c>
      <x:c r="D244" s="9" t="str">
        <x:v>P0</x:v>
      </x:c>
      <x:c r="E244" s="9" t="str">
        <x:v>Negativa</x:v>
      </x:c>
      <x:c r="F244" s="9" t="str">
        <x:v>Navegador + HTTP + persistencia</x:v>
      </x:c>
      <x:c r="G244" s="10" t="str">
        <x:v>Pendiente</x:v>
      </x:c>
      <x:c r="H244" s="10"/>
      <x:c r="I244" s="10"/>
      <x:c r="J244" s="10"/>
      <x:c r="K244" s="10"/>
      <x:c r="L244" s="11"/>
      <x:c r="M244" s="12"/>
      <x:c r="N244" s="10"/>
    </x:row>
    <x:row r="245" ht="25" customHeight="1">
      <x:c r="A245" s="9" t="str">
        <x:v>QA-EDI-005</x:v>
      </x:c>
      <x:c r="B245" s="9" t="str">
        <x:v>EDI</x:v>
      </x:c>
      <x:c r="C245" s="9" t="str">
        <x:v>Edición en estado confirmed</x:v>
      </x:c>
      <x:c r="D245" s="9" t="str">
        <x:v>P0</x:v>
      </x:c>
      <x:c r="E245" s="9" t="str">
        <x:v>Negativa</x:v>
      </x:c>
      <x:c r="F245" s="9" t="str">
        <x:v>Navegador + HTTP + persistencia</x:v>
      </x:c>
      <x:c r="G245" s="10" t="str">
        <x:v>Pendiente</x:v>
      </x:c>
      <x:c r="H245" s="10"/>
      <x:c r="I245" s="10"/>
      <x:c r="J245" s="10"/>
      <x:c r="K245" s="10"/>
      <x:c r="L245" s="11"/>
      <x:c r="M245" s="12"/>
      <x:c r="N245" s="10"/>
    </x:row>
    <x:row r="246" ht="25" customHeight="1">
      <x:c r="A246" s="9" t="str">
        <x:v>QA-EDI-006</x:v>
      </x:c>
      <x:c r="B246" s="9" t="str">
        <x:v>EDI</x:v>
      </x:c>
      <x:c r="C246" s="9" t="str">
        <x:v>Edición en estado cancelled</x:v>
      </x:c>
      <x:c r="D246" s="9" t="str">
        <x:v>P0</x:v>
      </x:c>
      <x:c r="E246" s="9" t="str">
        <x:v>Negativa</x:v>
      </x:c>
      <x:c r="F246" s="9" t="str">
        <x:v>Navegador + HTTP + persistencia</x:v>
      </x:c>
      <x:c r="G246" s="10" t="str">
        <x:v>Pendiente</x:v>
      </x:c>
      <x:c r="H246" s="10"/>
      <x:c r="I246" s="10"/>
      <x:c r="J246" s="10"/>
      <x:c r="K246" s="10"/>
      <x:c r="L246" s="11"/>
      <x:c r="M246" s="12"/>
      <x:c r="N246" s="10"/>
    </x:row>
    <x:row r="247" ht="25" customHeight="1">
      <x:c r="A247" s="9" t="str">
        <x:v>QA-EDI-007</x:v>
      </x:c>
      <x:c r="B247" s="9" t="str">
        <x:v>EDI</x:v>
      </x:c>
      <x:c r="C247" s="9" t="str">
        <x:v>Edición en estado uncertain</x:v>
      </x:c>
      <x:c r="D247" s="9" t="str">
        <x:v>P0</x:v>
      </x:c>
      <x:c r="E247" s="9" t="str">
        <x:v>Negativa</x:v>
      </x:c>
      <x:c r="F247" s="9" t="str">
        <x:v>Navegador + HTTP + persistencia</x:v>
      </x:c>
      <x:c r="G247" s="10" t="str">
        <x:v>Pendiente</x:v>
      </x:c>
      <x:c r="H247" s="10"/>
      <x:c r="I247" s="10"/>
      <x:c r="J247" s="10"/>
      <x:c r="K247" s="10"/>
      <x:c r="L247" s="11"/>
      <x:c r="M247" s="12"/>
      <x:c r="N247" s="10"/>
    </x:row>
    <x:row r="248" ht="25" customHeight="1">
      <x:c r="A248" s="9" t="str">
        <x:v>QA-EDI-008</x:v>
      </x:c>
      <x:c r="B248" s="9" t="str">
        <x:v>EDI</x:v>
      </x:c>
      <x:c r="C248" s="9" t="str">
        <x:v>Edición en estado uncertain con retry_allowed acreditado</x:v>
      </x:c>
      <x:c r="D248" s="9" t="str">
        <x:v>P0</x:v>
      </x:c>
      <x:c r="E248" s="9" t="str">
        <x:v>Positiva</x:v>
      </x:c>
      <x:c r="F248" s="9" t="str">
        <x:v>Navegador + HTTP + persistencia</x:v>
      </x:c>
      <x:c r="G248" s="10" t="str">
        <x:v>Pendiente</x:v>
      </x:c>
      <x:c r="H248" s="10"/>
      <x:c r="I248" s="10"/>
      <x:c r="J248" s="10"/>
      <x:c r="K248" s="10"/>
      <x:c r="L248" s="11"/>
      <x:c r="M248" s="12"/>
      <x:c r="N248" s="10"/>
    </x:row>
    <x:row r="249" ht="25" customHeight="1">
      <x:c r="A249" s="9" t="str">
        <x:v>QA-EDI-009</x:v>
      </x:c>
      <x:c r="B249" s="9" t="str">
        <x:v>EDI</x:v>
      </x:c>
      <x:c r="C249" s="9" t="str">
        <x:v>Control existente bloquea edición</x:v>
      </x:c>
      <x:c r="D249" s="9" t="str">
        <x:v>P0</x:v>
      </x:c>
      <x:c r="E249" s="9" t="str">
        <x:v>Negativa</x:v>
      </x:c>
      <x:c r="F249" s="9" t="str">
        <x:v>Navegador + HTTP + persistencia</x:v>
      </x:c>
      <x:c r="G249" s="10" t="str">
        <x:v>Pendiente</x:v>
      </x:c>
      <x:c r="H249" s="10"/>
      <x:c r="I249" s="10"/>
      <x:c r="J249" s="10"/>
      <x:c r="K249" s="10"/>
      <x:c r="L249" s="11"/>
      <x:c r="M249" s="12"/>
      <x:c r="N249" s="10"/>
    </x:row>
    <x:row r="250" ht="25" customHeight="1">
      <x:c r="A250" s="9" t="str">
        <x:v>QA-EDI-010</x:v>
      </x:c>
      <x:c r="B250" s="9" t="str">
        <x:v>EDI</x:v>
      </x:c>
      <x:c r="C250" s="9" t="str">
        <x:v>Editar cantidad con pago existente</x:v>
      </x:c>
      <x:c r="D250" s="9" t="str">
        <x:v>P0</x:v>
      </x:c>
      <x:c r="E250" s="9" t="str">
        <x:v>Positiva</x:v>
      </x:c>
      <x:c r="F250" s="9" t="str">
        <x:v>Navegador + HTTP + persistencia</x:v>
      </x:c>
      <x:c r="G250" s="10" t="str">
        <x:v>Pendiente</x:v>
      </x:c>
      <x:c r="H250" s="10"/>
      <x:c r="I250" s="10"/>
      <x:c r="J250" s="10"/>
      <x:c r="K250" s="10"/>
      <x:c r="L250" s="11"/>
      <x:c r="M250" s="12"/>
      <x:c r="N250" s="10"/>
    </x:row>
    <x:row r="251" ht="25" customHeight="1">
      <x:c r="A251" s="9" t="str">
        <x:v>QA-EDI-011</x:v>
      </x:c>
      <x:c r="B251" s="9" t="str">
        <x:v>EDI</x:v>
      </x:c>
      <x:c r="C251" s="9" t="str">
        <x:v>Bajar total por debajo de aplicado</x:v>
      </x:c>
      <x:c r="D251" s="9" t="str">
        <x:v>P0</x:v>
      </x:c>
      <x:c r="E251" s="9" t="str">
        <x:v>Negativa</x:v>
      </x:c>
      <x:c r="F251" s="9" t="str">
        <x:v>Navegador + HTTP + persistencia</x:v>
      </x:c>
      <x:c r="G251" s="10" t="str">
        <x:v>Pendiente</x:v>
      </x:c>
      <x:c r="H251" s="10"/>
      <x:c r="I251" s="10"/>
      <x:c r="J251" s="10"/>
      <x:c r="K251" s="10"/>
      <x:c r="L251" s="11"/>
      <x:c r="M251" s="12"/>
      <x:c r="N251" s="10"/>
    </x:row>
    <x:row r="252" ht="25" customHeight="1">
      <x:c r="A252" s="9" t="str">
        <x:v>QA-EDI-012</x:v>
      </x:c>
      <x:c r="B252" s="9" t="str">
        <x:v>EDI</x:v>
      </x:c>
      <x:c r="C252" s="9" t="str">
        <x:v>Cobros inmutables en editor</x:v>
      </x:c>
      <x:c r="D252" s="9" t="str">
        <x:v>P0</x:v>
      </x:c>
      <x:c r="E252" s="9" t="str">
        <x:v>Negativa</x:v>
      </x:c>
      <x:c r="F252" s="9" t="str">
        <x:v>Navegador + HTTP + persistencia</x:v>
      </x:c>
      <x:c r="G252" s="10" t="str">
        <x:v>Pendiente</x:v>
      </x:c>
      <x:c r="H252" s="10"/>
      <x:c r="I252" s="10"/>
      <x:c r="J252" s="10"/>
      <x:c r="K252" s="10"/>
      <x:c r="L252" s="11"/>
      <x:c r="M252" s="12"/>
      <x:c r="N252" s="10"/>
    </x:row>
    <x:row r="253" ht="25" customHeight="1">
      <x:c r="A253" s="9" t="str">
        <x:v>QA-EDI-013</x:v>
      </x:c>
      <x:c r="B253" s="9" t="str">
        <x:v>EDI</x:v>
      </x:c>
      <x:c r="C253" s="9" t="str">
        <x:v>Moneda y numeración no se editan</x:v>
      </x:c>
      <x:c r="D253" s="9" t="str">
        <x:v>P0</x:v>
      </x:c>
      <x:c r="E253" s="9" t="str">
        <x:v>Seguridad</x:v>
      </x:c>
      <x:c r="F253" s="9" t="str">
        <x:v>Navegador + HTTP + persistencia</x:v>
      </x:c>
      <x:c r="G253" s="10" t="str">
        <x:v>Pendiente</x:v>
      </x:c>
      <x:c r="H253" s="10"/>
      <x:c r="I253" s="10"/>
      <x:c r="J253" s="10"/>
      <x:c r="K253" s="10"/>
      <x:c r="L253" s="11"/>
      <x:c r="M253" s="12"/>
      <x:c r="N253" s="10"/>
    </x:row>
    <x:row r="254" ht="25" customHeight="1">
      <x:c r="A254" s="9" t="str">
        <x:v>QA-EDI-014</x:v>
      </x:c>
      <x:c r="B254" s="9" t="str">
        <x:v>EDI</x:v>
      </x:c>
      <x:c r="C254" s="9" t="str">
        <x:v>Renovar comprador en edición explícita</x:v>
      </x:c>
      <x:c r="D254" s="9" t="str">
        <x:v>P1</x:v>
      </x:c>
      <x:c r="E254" s="9" t="str">
        <x:v>Positiva</x:v>
      </x:c>
      <x:c r="F254" s="9" t="str">
        <x:v>Navegador + HTTP + persistencia</x:v>
      </x:c>
      <x:c r="G254" s="10" t="str">
        <x:v>Pendiente</x:v>
      </x:c>
      <x:c r="H254" s="10"/>
      <x:c r="I254" s="10"/>
      <x:c r="J254" s="10"/>
      <x:c r="K254" s="10"/>
      <x:c r="L254" s="11"/>
      <x:c r="M254" s="12"/>
      <x:c r="N254" s="10"/>
    </x:row>
    <x:row r="255" ht="25" customHeight="1">
      <x:c r="A255" s="9" t="str">
        <x:v>QA-EDI-015</x:v>
      </x:c>
      <x:c r="B255" s="9" t="str">
        <x:v>EDI</x:v>
      </x:c>
      <x:c r="C255" s="9" t="str">
        <x:v>Historial de preparación invalidada</x:v>
      </x:c>
      <x:c r="D255" s="9" t="str">
        <x:v>P0</x:v>
      </x:c>
      <x:c r="E255" s="9" t="str">
        <x:v>Positiva</x:v>
      </x:c>
      <x:c r="F255" s="9" t="str">
        <x:v>Navegador + HTTP + persistencia</x:v>
      </x:c>
      <x:c r="G255" s="10" t="str">
        <x:v>Pendiente</x:v>
      </x:c>
      <x:c r="H255" s="10"/>
      <x:c r="I255" s="10"/>
      <x:c r="J255" s="10"/>
      <x:c r="K255" s="10"/>
      <x:c r="L255" s="11"/>
      <x:c r="M255" s="12"/>
      <x:c r="N255" s="10"/>
    </x:row>
    <x:row r="256" ht="25" customHeight="1">
      <x:c r="A256" s="9" t="str">
        <x:v>QA-EDI-016</x:v>
      </x:c>
      <x:c r="B256" s="9" t="str">
        <x:v>EDI</x:v>
      </x:c>
      <x:c r="C256" s="9" t="str">
        <x:v>Respuesta HKA tardía tras edición</x:v>
      </x:c>
      <x:c r="D256" s="9" t="str">
        <x:v>P0</x:v>
      </x:c>
      <x:c r="E256" s="9" t="str">
        <x:v>Concurrencia</x:v>
      </x:c>
      <x:c r="F256" s="9" t="str">
        <x:v>Navegador + HTTP + persistencia</x:v>
      </x:c>
      <x:c r="G256" s="10" t="str">
        <x:v>Pendiente</x:v>
      </x:c>
      <x:c r="H256" s="10"/>
      <x:c r="I256" s="10"/>
      <x:c r="J256" s="10"/>
      <x:c r="K256" s="10"/>
      <x:c r="L256" s="11"/>
      <x:c r="M256" s="12"/>
      <x:c r="N256" s="10"/>
    </x:row>
    <x:row r="257" ht="25" customHeight="1">
      <x:c r="A257" s="9" t="str">
        <x:v>QA-EDI-017</x:v>
      </x:c>
      <x:c r="B257" s="9" t="str">
        <x:v>EDI</x:v>
      </x:c>
      <x:c r="C257" s="9" t="str">
        <x:v>Edición y envío simultáneos</x:v>
      </x:c>
      <x:c r="D257" s="9" t="str">
        <x:v>P0</x:v>
      </x:c>
      <x:c r="E257" s="9" t="str">
        <x:v>Concurrencia</x:v>
      </x:c>
      <x:c r="F257" s="9" t="str">
        <x:v>Navegador + HTTP + persistencia</x:v>
      </x:c>
      <x:c r="G257" s="10" t="str">
        <x:v>Pendiente</x:v>
      </x:c>
      <x:c r="H257" s="10"/>
      <x:c r="I257" s="10"/>
      <x:c r="J257" s="10"/>
      <x:c r="K257" s="10"/>
      <x:c r="L257" s="11"/>
      <x:c r="M257" s="12"/>
      <x:c r="N257" s="10"/>
    </x:row>
    <x:row r="258" ht="25" customHeight="1">
      <x:c r="A258" s="9" t="str">
        <x:v>QA-EDI-018</x:v>
      </x:c>
      <x:c r="B258" s="9" t="str">
        <x:v>EDI</x:v>
      </x:c>
      <x:c r="C258" s="9" t="str">
        <x:v>Rollback durante edición</x:v>
      </x:c>
      <x:c r="D258" s="9" t="str">
        <x:v>P0</x:v>
      </x:c>
      <x:c r="E258" s="9" t="str">
        <x:v>Transaccional</x:v>
      </x:c>
      <x:c r="F258" s="9" t="str">
        <x:v>Navegador + HTTP + persistencia</x:v>
      </x:c>
      <x:c r="G258" s="10" t="str">
        <x:v>Pendiente</x:v>
      </x:c>
      <x:c r="H258" s="10"/>
      <x:c r="I258" s="10"/>
      <x:c r="J258" s="10"/>
      <x:c r="K258" s="10"/>
      <x:c r="L258" s="11"/>
      <x:c r="M258" s="12"/>
      <x:c r="N258" s="10"/>
    </x:row>
    <x:row r="259" ht="25" customHeight="1">
      <x:c r="A259" s="9" t="str">
        <x:v>QA-EDI-019</x:v>
      </x:c>
      <x:c r="B259" s="9" t="str">
        <x:v>EDI</x:v>
      </x:c>
      <x:c r="C259" s="9" t="str">
        <x:v>Permisos de editar</x:v>
      </x:c>
      <x:c r="D259" s="9" t="str">
        <x:v>P0</x:v>
      </x:c>
      <x:c r="E259" s="9" t="str">
        <x:v>Seguridad</x:v>
      </x:c>
      <x:c r="F259" s="9" t="str">
        <x:v>Navegador + HTTP + persistencia</x:v>
      </x:c>
      <x:c r="G259" s="10" t="str">
        <x:v>Pendiente</x:v>
      </x:c>
      <x:c r="H259" s="10"/>
      <x:c r="I259" s="10"/>
      <x:c r="J259" s="10"/>
      <x:c r="K259" s="10"/>
      <x:c r="L259" s="11"/>
      <x:c r="M259" s="12"/>
      <x:c r="N259" s="10"/>
    </x:row>
    <x:row r="260" ht="25" customHeight="1">
      <x:c r="A260" s="9" t="str">
        <x:v>QA-EDI-020</x:v>
      </x:c>
      <x:c r="B260" s="9" t="str">
        <x:v>EDI</x:v>
      </x:c>
      <x:c r="C260" s="9" t="str">
        <x:v>Cancelar editor sin guardar</x:v>
      </x:c>
      <x:c r="D260" s="9" t="str">
        <x:v>P1</x:v>
      </x:c>
      <x:c r="E260" s="9" t="str">
        <x:v>Positiva</x:v>
      </x:c>
      <x:c r="F260" s="9" t="str">
        <x:v>Navegador + HTTP + persistencia</x:v>
      </x:c>
      <x:c r="G260" s="10" t="str">
        <x:v>Pendiente</x:v>
      </x:c>
      <x:c r="H260" s="10"/>
      <x:c r="I260" s="10"/>
      <x:c r="J260" s="10"/>
      <x:c r="K260" s="10"/>
      <x:c r="L260" s="11"/>
      <x:c r="M260" s="12"/>
      <x:c r="N260" s="10"/>
    </x:row>
    <x:row r="261" ht="25" customHeight="1">
      <x:c r="A261" s="9" t="str">
        <x:v>QA-HKA-001</x:v>
      </x:c>
      <x:c r="B261" s="9" t="str">
        <x:v>HKA</x:v>
      </x:c>
      <x:c r="C261" s="9" t="str">
        <x:v>Preparación pura sin red</x:v>
      </x:c>
      <x:c r="D261" s="9" t="str">
        <x:v>P0</x:v>
      </x:c>
      <x:c r="E261" s="9" t="str">
        <x:v>Positiva</x:v>
      </x:c>
      <x:c r="F261" s="9" t="str">
        <x:v>Navegador + HTTP + persistencia</x:v>
      </x:c>
      <x:c r="G261" s="10" t="str">
        <x:v>Pendiente</x:v>
      </x:c>
      <x:c r="H261" s="10"/>
      <x:c r="I261" s="10"/>
      <x:c r="J261" s="10"/>
      <x:c r="K261" s="10"/>
      <x:c r="L261" s="11"/>
      <x:c r="M261" s="12"/>
      <x:c r="N261" s="10"/>
    </x:row>
    <x:row r="262" ht="25" customHeight="1">
      <x:c r="A262" s="9" t="str">
        <x:v>QA-HKA-002</x:v>
      </x:c>
      <x:c r="B262" s="9" t="str">
        <x:v>HKA</x:v>
      </x:c>
      <x:c r="C262" s="9" t="str">
        <x:v>Preparar dos veces</x:v>
      </x:c>
      <x:c r="D262" s="9" t="str">
        <x:v>P0</x:v>
      </x:c>
      <x:c r="E262" s="9" t="str">
        <x:v>Positiva</x:v>
      </x:c>
      <x:c r="F262" s="9" t="str">
        <x:v>Navegador + HTTP + persistencia</x:v>
      </x:c>
      <x:c r="G262" s="10" t="str">
        <x:v>Pendiente</x:v>
      </x:c>
      <x:c r="H262" s="10"/>
      <x:c r="I262" s="10"/>
      <x:c r="J262" s="10"/>
      <x:c r="K262" s="10"/>
      <x:c r="L262" s="11"/>
      <x:c r="M262" s="12"/>
      <x:c r="N262" s="10"/>
    </x:row>
    <x:row r="263" ht="25" customHeight="1">
      <x:c r="A263" s="9" t="str">
        <x:v>QA-HKA-003</x:v>
      </x:c>
      <x:c r="B263" s="9" t="str">
        <x:v>HKA</x:v>
      </x:c>
      <x:c r="C263" s="9" t="str">
        <x:v>Error de equivalencia fiscal</x:v>
      </x:c>
      <x:c r="D263" s="9" t="str">
        <x:v>P0</x:v>
      </x:c>
      <x:c r="E263" s="9" t="str">
        <x:v>Negativa</x:v>
      </x:c>
      <x:c r="F263" s="9" t="str">
        <x:v>Navegador + HTTP + persistencia</x:v>
      </x:c>
      <x:c r="G263" s="10" t="str">
        <x:v>Pendiente</x:v>
      </x:c>
      <x:c r="H263" s="10"/>
      <x:c r="I263" s="10"/>
      <x:c r="J263" s="10"/>
      <x:c r="K263" s="10"/>
      <x:c r="L263" s="11"/>
      <x:c r="M263" s="12"/>
      <x:c r="N263" s="10"/>
    </x:row>
    <x:row r="264" ht="25" customHeight="1">
      <x:c r="A264" s="9" t="str">
        <x:v>QA-HKA-004</x:v>
      </x:c>
      <x:c r="B264" s="9" t="str">
        <x:v>HKA</x:v>
      </x:c>
      <x:c r="C264" s="9" t="str">
        <x:v>Envío automático sólo después del commit</x:v>
      </x:c>
      <x:c r="D264" s="9" t="str">
        <x:v>P0</x:v>
      </x:c>
      <x:c r="E264" s="9" t="str">
        <x:v>Transaccional</x:v>
      </x:c>
      <x:c r="F264" s="9" t="str">
        <x:v>Navegador + HTTP + persistencia</x:v>
      </x:c>
      <x:c r="G264" s="10" t="str">
        <x:v>Pendiente</x:v>
      </x:c>
      <x:c r="H264" s="10"/>
      <x:c r="I264" s="10"/>
      <x:c r="J264" s="10"/>
      <x:c r="K264" s="10"/>
      <x:c r="L264" s="11"/>
      <x:c r="M264" s="12"/>
      <x:c r="N264" s="10"/>
    </x:row>
    <x:row r="265" ht="25" customHeight="1">
      <x:c r="A265" s="9" t="str">
        <x:v>QA-HKA-005</x:v>
      </x:c>
      <x:c r="B265" s="9" t="str">
        <x:v>HKA</x:v>
      </x:c>
      <x:c r="C265" s="9" t="str">
        <x:v>Rollback comercial no emite</x:v>
      </x:c>
      <x:c r="D265" s="9" t="str">
        <x:v>P0</x:v>
      </x:c>
      <x:c r="E265" s="9" t="str">
        <x:v>Transaccional</x:v>
      </x:c>
      <x:c r="F265" s="9" t="str">
        <x:v>Navegador + HTTP + persistencia</x:v>
      </x:c>
      <x:c r="G265" s="10" t="str">
        <x:v>Pendiente</x:v>
      </x:c>
      <x:c r="H265" s="10"/>
      <x:c r="I265" s="10"/>
      <x:c r="J265" s="10"/>
      <x:c r="K265" s="10"/>
      <x:c r="L265" s="11"/>
      <x:c r="M265" s="12"/>
      <x:c r="N265" s="10"/>
    </x:row>
    <x:row r="266" ht="25" customHeight="1">
      <x:c r="A266" s="9" t="str">
        <x:v>QA-HKA-006</x:v>
      </x:c>
      <x:c r="B266" s="9" t="str">
        <x:v>HKA</x:v>
      </x:c>
      <x:c r="C266" s="9" t="str">
        <x:v>Confirmación coherente del proveedor</x:v>
      </x:c>
      <x:c r="D266" s="9" t="str">
        <x:v>P0</x:v>
      </x:c>
      <x:c r="E266" s="9" t="str">
        <x:v>Positiva</x:v>
      </x:c>
      <x:c r="F266" s="9" t="str">
        <x:v>Navegador + HTTP + persistencia</x:v>
      </x:c>
      <x:c r="G266" s="10" t="str">
        <x:v>Pendiente</x:v>
      </x:c>
      <x:c r="H266" s="10"/>
      <x:c r="I266" s="10"/>
      <x:c r="J266" s="10"/>
      <x:c r="K266" s="10"/>
      <x:c r="L266" s="11"/>
      <x:c r="M266" s="12"/>
      <x:c r="N266" s="10"/>
    </x:row>
    <x:row r="267" ht="25" customHeight="1">
      <x:c r="A267" s="9" t="str">
        <x:v>QA-HKA-007</x:v>
      </x:c>
      <x:c r="B267" s="9" t="str">
        <x:v>HKA</x:v>
      </x:c>
      <x:c r="C267" s="9" t="str">
        <x:v>HTTP200 con rechazo definitivo de negocio</x:v>
      </x:c>
      <x:c r="D267" s="9" t="str">
        <x:v>P0</x:v>
      </x:c>
      <x:c r="E267" s="9" t="str">
        <x:v>Negativa</x:v>
      </x:c>
      <x:c r="F267" s="9" t="str">
        <x:v>Navegador + HTTP + persistencia</x:v>
      </x:c>
      <x:c r="G267" s="10" t="str">
        <x:v>Pendiente</x:v>
      </x:c>
      <x:c r="H267" s="10"/>
      <x:c r="I267" s="10"/>
      <x:c r="J267" s="10"/>
      <x:c r="K267" s="10"/>
      <x:c r="L267" s="11"/>
      <x:c r="M267" s="12"/>
      <x:c r="N267" s="10"/>
    </x:row>
    <x:row r="268" ht="25" customHeight="1">
      <x:c r="A268" s="9" t="str">
        <x:v>QA-HKA-008</x:v>
      </x:c>
      <x:c r="B268" s="9" t="str">
        <x:v>HKA</x:v>
      </x:c>
      <x:c r="C268" s="9" t="str">
        <x:v>Código 201 y posterior conciliación</x:v>
      </x:c>
      <x:c r="D268" s="9" t="str">
        <x:v>P0</x:v>
      </x:c>
      <x:c r="E268" s="9" t="str">
        <x:v>Simulación</x:v>
      </x:c>
      <x:c r="F268" s="9" t="str">
        <x:v>Navegador + HTTP + persistencia</x:v>
      </x:c>
      <x:c r="G268" s="10" t="str">
        <x:v>Pendiente</x:v>
      </x:c>
      <x:c r="H268" s="10"/>
      <x:c r="I268" s="10"/>
      <x:c r="J268" s="10"/>
      <x:c r="K268" s="10"/>
      <x:c r="L268" s="11"/>
      <x:c r="M268" s="12"/>
      <x:c r="N268" s="10"/>
    </x:row>
    <x:row r="269" ht="25" customHeight="1">
      <x:c r="A269" s="9" t="str">
        <x:v>QA-HKA-009</x:v>
      </x:c>
      <x:c r="B269" s="9" t="str">
        <x:v>HKA</x:v>
      </x:c>
      <x:c r="C269" s="9" t="str">
        <x:v>Timeout después de posible transmisión</x:v>
      </x:c>
      <x:c r="D269" s="9" t="str">
        <x:v>P0</x:v>
      </x:c>
      <x:c r="E269" s="9" t="str">
        <x:v>Negativa</x:v>
      </x:c>
      <x:c r="F269" s="9" t="str">
        <x:v>Navegador + HTTP + persistencia</x:v>
      </x:c>
      <x:c r="G269" s="10" t="str">
        <x:v>Pendiente</x:v>
      </x:c>
      <x:c r="H269" s="10"/>
      <x:c r="I269" s="10"/>
      <x:c r="J269" s="10"/>
      <x:c r="K269" s="10"/>
      <x:c r="L269" s="11"/>
      <x:c r="M269" s="12"/>
      <x:c r="N269" s="10"/>
    </x:row>
    <x:row r="270" ht="25" customHeight="1">
      <x:c r="A270" s="9" t="str">
        <x:v>QA-HKA-010</x:v>
      </x:c>
      <x:c r="B270" s="9" t="str">
        <x:v>HKA</x:v>
      </x:c>
      <x:c r="C270" s="9" t="str">
        <x:v>Respuesta vacía o JSON incompleto</x:v>
      </x:c>
      <x:c r="D270" s="9" t="str">
        <x:v>P0</x:v>
      </x:c>
      <x:c r="E270" s="9" t="str">
        <x:v>Negativa</x:v>
      </x:c>
      <x:c r="F270" s="9" t="str">
        <x:v>Navegador + HTTP + persistencia</x:v>
      </x:c>
      <x:c r="G270" s="10" t="str">
        <x:v>Pendiente</x:v>
      </x:c>
      <x:c r="H270" s="10"/>
      <x:c r="I270" s="10"/>
      <x:c r="J270" s="10"/>
      <x:c r="K270" s="10"/>
      <x:c r="L270" s="11"/>
      <x:c r="M270" s="12"/>
      <x:c r="N270" s="10"/>
    </x:row>
    <x:row r="271" ht="25" customHeight="1">
      <x:c r="A271" s="9" t="str">
        <x:v>QA-HKA-011</x:v>
      </x:c>
      <x:c r="B271" s="9" t="str">
        <x:v>HKA</x:v>
      </x:c>
      <x:c r="C271" s="9" t="str">
        <x:v>Control contradictorio o duplicado</x:v>
      </x:c>
      <x:c r="D271" s="9" t="str">
        <x:v>P0</x:v>
      </x:c>
      <x:c r="E271" s="9" t="str">
        <x:v>Seguridad</x:v>
      </x:c>
      <x:c r="F271" s="9" t="str">
        <x:v>Navegador + HTTP + persistencia</x:v>
      </x:c>
      <x:c r="G271" s="10" t="str">
        <x:v>Pendiente</x:v>
      </x:c>
      <x:c r="H271" s="10"/>
      <x:c r="I271" s="10"/>
      <x:c r="J271" s="10"/>
      <x:c r="K271" s="10"/>
      <x:c r="L271" s="11"/>
      <x:c r="M271" s="12"/>
      <x:c r="N271" s="10"/>
    </x:row>
    <x:row r="272" ht="25" customHeight="1">
      <x:c r="A272" s="9" t="str">
        <x:v>QA-HKA-012</x:v>
      </x:c>
      <x:c r="B272" s="9" t="str">
        <x:v>HKA</x:v>
      </x:c>
      <x:c r="C272" s="9" t="str">
        <x:v>Consulta recupera confirmación</x:v>
      </x:c>
      <x:c r="D272" s="9" t="str">
        <x:v>P0</x:v>
      </x:c>
      <x:c r="E272" s="9" t="str">
        <x:v>Positiva</x:v>
      </x:c>
      <x:c r="F272" s="9" t="str">
        <x:v>Navegador + HTTP + persistencia</x:v>
      </x:c>
      <x:c r="G272" s="10" t="str">
        <x:v>Pendiente</x:v>
      </x:c>
      <x:c r="H272" s="10"/>
      <x:c r="I272" s="10"/>
      <x:c r="J272" s="10"/>
      <x:c r="K272" s="10"/>
      <x:c r="L272" s="11"/>
      <x:c r="M272" s="12"/>
      <x:c r="N272" s="10"/>
    </x:row>
    <x:row r="273" ht="25" customHeight="1">
      <x:c r="A273" s="9" t="str">
        <x:v>QA-HKA-013</x:v>
      </x:c>
      <x:c r="B273" s="9" t="str">
        <x:v>HKA</x:v>
      </x:c>
      <x:c r="C273" s="9" t="str">
        <x:v>Ausencia acreditada permite reintento</x:v>
      </x:c>
      <x:c r="D273" s="9" t="str">
        <x:v>P0</x:v>
      </x:c>
      <x:c r="E273" s="9" t="str">
        <x:v>Positiva</x:v>
      </x:c>
      <x:c r="F273" s="9" t="str">
        <x:v>Navegador + HTTP + persistencia</x:v>
      </x:c>
      <x:c r="G273" s="10" t="str">
        <x:v>Pendiente</x:v>
      </x:c>
      <x:c r="H273" s="10"/>
      <x:c r="I273" s="10"/>
      <x:c r="J273" s="10"/>
      <x:c r="K273" s="10"/>
      <x:c r="L273" s="11"/>
      <x:c r="M273" s="12"/>
      <x:c r="N273" s="10"/>
    </x:row>
    <x:row r="274" ht="25" customHeight="1">
      <x:c r="A274" s="9" t="str">
        <x:v>QA-HKA-014</x:v>
      </x:c>
      <x:c r="B274" s="9" t="str">
        <x:v>HKA</x:v>
      </x:c>
      <x:c r="C274" s="9" t="str">
        <x:v>Rastreo vacío o 203 no habilita reenvío</x:v>
      </x:c>
      <x:c r="D274" s="9" t="str">
        <x:v>P0</x:v>
      </x:c>
      <x:c r="E274" s="9" t="str">
        <x:v>Negativa</x:v>
      </x:c>
      <x:c r="F274" s="9" t="str">
        <x:v>Navegador + HTTP + persistencia</x:v>
      </x:c>
      <x:c r="G274" s="10" t="str">
        <x:v>Pendiente</x:v>
      </x:c>
      <x:c r="H274" s="10"/>
      <x:c r="I274" s="10"/>
      <x:c r="J274" s="10"/>
      <x:c r="K274" s="10"/>
      <x:c r="L274" s="11"/>
      <x:c r="M274" s="12"/>
      <x:c r="N274" s="10"/>
    </x:row>
    <x:row r="275" ht="25" customHeight="1">
      <x:c r="A275" s="9" t="str">
        <x:v>QA-HKA-015</x:v>
      </x:c>
      <x:c r="B275" s="9" t="str">
        <x:v>HKA</x:v>
      </x:c>
      <x:c r="C275" s="9" t="str">
        <x:v>Umbral antes de reenviar</x:v>
      </x:c>
      <x:c r="D275" s="9" t="str">
        <x:v>P0</x:v>
      </x:c>
      <x:c r="E275" s="9" t="str">
        <x:v>Negativa</x:v>
      </x:c>
      <x:c r="F275" s="9" t="str">
        <x:v>Navegador + HTTP + persistencia</x:v>
      </x:c>
      <x:c r="G275" s="10" t="str">
        <x:v>Pendiente</x:v>
      </x:c>
      <x:c r="H275" s="10"/>
      <x:c r="I275" s="10"/>
      <x:c r="J275" s="10"/>
      <x:c r="K275" s="10"/>
      <x:c r="L275" s="11"/>
      <x:c r="M275" s="12"/>
      <x:c r="N275" s="10"/>
    </x:row>
    <x:row r="276" ht="25" customHeight="1">
      <x:c r="A276" s="9" t="str">
        <x:v>QA-HKA-016</x:v>
      </x:c>
      <x:c r="B276" s="9" t="str">
        <x:v>HKA</x:v>
      </x:c>
      <x:c r="C276" s="9" t="str">
        <x:v>Recuperar pending interrumpido</x:v>
      </x:c>
      <x:c r="D276" s="9" t="str">
        <x:v>P0</x:v>
      </x:c>
      <x:c r="E276" s="9" t="str">
        <x:v>Simulación</x:v>
      </x:c>
      <x:c r="F276" s="9" t="str">
        <x:v>Navegador + HTTP + persistencia</x:v>
      </x:c>
      <x:c r="G276" s="10" t="str">
        <x:v>Pendiente</x:v>
      </x:c>
      <x:c r="H276" s="10"/>
      <x:c r="I276" s="10"/>
      <x:c r="J276" s="10"/>
      <x:c r="K276" s="10"/>
      <x:c r="L276" s="11"/>
      <x:c r="M276" s="12"/>
      <x:c r="N276" s="10"/>
    </x:row>
    <x:row r="277" ht="25" customHeight="1">
      <x:c r="A277" s="9" t="str">
        <x:v>QA-HKA-017</x:v>
      </x:c>
      <x:c r="B277" s="9" t="str">
        <x:v>HKA</x:v>
      </x:c>
      <x:c r="C277" s="9" t="str">
        <x:v>Confirmado no se degrada por consulta fallida</x:v>
      </x:c>
      <x:c r="D277" s="9" t="str">
        <x:v>P0</x:v>
      </x:c>
      <x:c r="E277" s="9" t="str">
        <x:v>Negativa</x:v>
      </x:c>
      <x:c r="F277" s="9" t="str">
        <x:v>Navegador + HTTP + persistencia</x:v>
      </x:c>
      <x:c r="G277" s="10" t="str">
        <x:v>Pendiente</x:v>
      </x:c>
      <x:c r="H277" s="10"/>
      <x:c r="I277" s="10"/>
      <x:c r="J277" s="10"/>
      <x:c r="K277" s="10"/>
      <x:c r="L277" s="11"/>
      <x:c r="M277" s="12"/>
      <x:c r="N277" s="10"/>
    </x:row>
    <x:row r="278" ht="25" customHeight="1">
      <x:c r="A278" s="9" t="str">
        <x:v>QA-HKA-018</x:v>
      </x:c>
      <x:c r="B278" s="9" t="str">
        <x:v>HKA</x:v>
      </x:c>
      <x:c r="C278" s="9" t="str">
        <x:v>Autenticación falla antes de emisión</x:v>
      </x:c>
      <x:c r="D278" s="9" t="str">
        <x:v>P0</x:v>
      </x:c>
      <x:c r="E278" s="9" t="str">
        <x:v>Negativa</x:v>
      </x:c>
      <x:c r="F278" s="9" t="str">
        <x:v>Navegador + HTTP + persistencia</x:v>
      </x:c>
      <x:c r="G278" s="10" t="str">
        <x:v>Pendiente</x:v>
      </x:c>
      <x:c r="H278" s="10"/>
      <x:c r="I278" s="10"/>
      <x:c r="J278" s="10"/>
      <x:c r="K278" s="10"/>
      <x:c r="L278" s="11"/>
      <x:c r="M278" s="12"/>
      <x:c r="N278" s="10"/>
    </x:row>
    <x:row r="279" ht="25" customHeight="1">
      <x:c r="A279" s="9" t="str">
        <x:v>QA-HKA-019</x:v>
      </x:c>
      <x:c r="B279" s="9" t="str">
        <x:v>HKA</x:v>
      </x:c>
      <x:c r="C279" s="9" t="str">
        <x:v>Cambio de configuración durante autenticación</x:v>
      </x:c>
      <x:c r="D279" s="9" t="str">
        <x:v>P0</x:v>
      </x:c>
      <x:c r="E279" s="9" t="str">
        <x:v>Concurrencia</x:v>
      </x:c>
      <x:c r="F279" s="9" t="str">
        <x:v>Navegador + HTTP + persistencia</x:v>
      </x:c>
      <x:c r="G279" s="10" t="str">
        <x:v>Pendiente</x:v>
      </x:c>
      <x:c r="H279" s="10"/>
      <x:c r="I279" s="10"/>
      <x:c r="J279" s="10"/>
      <x:c r="K279" s="10"/>
      <x:c r="L279" s="11"/>
      <x:c r="M279" s="12"/>
      <x:c r="N279" s="10"/>
    </x:row>
    <x:row r="280" ht="25" customHeight="1">
      <x:c r="A280" s="9" t="str">
        <x:v>QA-HKA-020</x:v>
      </x:c>
      <x:c r="B280" s="9" t="str">
        <x:v>HKA</x:v>
      </x:c>
      <x:c r="C280" s="9" t="str">
        <x:v>Dos envíos simultáneos</x:v>
      </x:c>
      <x:c r="D280" s="9" t="str">
        <x:v>P0</x:v>
      </x:c>
      <x:c r="E280" s="9" t="str">
        <x:v>Concurrencia</x:v>
      </x:c>
      <x:c r="F280" s="9" t="str">
        <x:v>Navegador + HTTP + persistencia</x:v>
      </x:c>
      <x:c r="G280" s="10" t="str">
        <x:v>Pendiente</x:v>
      </x:c>
      <x:c r="H280" s="10"/>
      <x:c r="I280" s="10"/>
      <x:c r="J280" s="10"/>
      <x:c r="K280" s="10"/>
      <x:c r="L280" s="11"/>
      <x:c r="M280" s="12"/>
      <x:c r="N280" s="10"/>
    </x:row>
    <x:row r="281" ht="25" customHeight="1">
      <x:c r="A281" s="9" t="str">
        <x:v>QA-HKA-021</x:v>
      </x:c>
      <x:c r="B281" s="9" t="str">
        <x:v>HKA</x:v>
      </x:c>
      <x:c r="C281" s="9" t="str">
        <x:v>Permiso de preparar y enviar</x:v>
      </x:c>
      <x:c r="D281" s="9" t="str">
        <x:v>P0</x:v>
      </x:c>
      <x:c r="E281" s="9" t="str">
        <x:v>Seguridad</x:v>
      </x:c>
      <x:c r="F281" s="9" t="str">
        <x:v>Navegador + HTTP + persistencia</x:v>
      </x:c>
      <x:c r="G281" s="10" t="str">
        <x:v>Pendiente</x:v>
      </x:c>
      <x:c r="H281" s="10"/>
      <x:c r="I281" s="10"/>
      <x:c r="J281" s="10"/>
      <x:c r="K281" s="10"/>
      <x:c r="L281" s="11"/>
      <x:c r="M281" s="12"/>
      <x:c r="N281" s="10"/>
    </x:row>
    <x:row r="282" ht="25" customHeight="1">
      <x:c r="A282" s="9" t="str">
        <x:v>QA-HKA-022</x:v>
      </x:c>
      <x:c r="B282" s="9" t="str">
        <x:v>HKA</x:v>
      </x:c>
      <x:c r="C282" s="9" t="str">
        <x:v>Payload y DTO saneados</x:v>
      </x:c>
      <x:c r="D282" s="9" t="str">
        <x:v>P0</x:v>
      </x:c>
      <x:c r="E282" s="9" t="str">
        <x:v>Seguridad</x:v>
      </x:c>
      <x:c r="F282" s="9" t="str">
        <x:v>Navegador + HTTP + persistencia</x:v>
      </x:c>
      <x:c r="G282" s="10" t="str">
        <x:v>Pendiente</x:v>
      </x:c>
      <x:c r="H282" s="10"/>
      <x:c r="I282" s="10"/>
      <x:c r="J282" s="10"/>
      <x:c r="K282" s="10"/>
      <x:c r="L282" s="11"/>
      <x:c r="M282" s="12"/>
      <x:c r="N282" s="10"/>
    </x:row>
    <x:row r="283" ht="25" customHeight="1">
      <x:c r="A283" s="9" t="str">
        <x:v>QA-HKA-023</x:v>
      </x:c>
      <x:c r="B283" s="9" t="str">
        <x:v>HKA</x:v>
      </x:c>
      <x:c r="C283" s="9" t="str">
        <x:v>Consulta URL válida opcional</x:v>
      </x:c>
      <x:c r="D283" s="9" t="str">
        <x:v>P0</x:v>
      </x:c>
      <x:c r="E283" s="9" t="str">
        <x:v>Positiva</x:v>
      </x:c>
      <x:c r="F283" s="9" t="str">
        <x:v>Navegador + HTTP + persistencia</x:v>
      </x:c>
      <x:c r="G283" s="10" t="str">
        <x:v>Pendiente</x:v>
      </x:c>
      <x:c r="H283" s="10"/>
      <x:c r="I283" s="10"/>
      <x:c r="J283" s="10"/>
      <x:c r="K283" s="10"/>
      <x:c r="L283" s="11"/>
      <x:c r="M283" s="12"/>
      <x:c r="N283" s="10"/>
    </x:row>
    <x:row r="284" ht="25" customHeight="1">
      <x:c r="A284" s="9" t="str">
        <x:v>QA-HKA-024</x:v>
      </x:c>
      <x:c r="B284" s="9" t="str">
        <x:v>HKA</x:v>
      </x:c>
      <x:c r="C284" s="9" t="str">
        <x:v>Sin numeración remota habilitada</x:v>
      </x:c>
      <x:c r="D284" s="9" t="str">
        <x:v>P0</x:v>
      </x:c>
      <x:c r="E284" s="9" t="str">
        <x:v>Negativa</x:v>
      </x:c>
      <x:c r="F284" s="9" t="str">
        <x:v>Navegador + HTTP + persistencia</x:v>
      </x:c>
      <x:c r="G284" s="10" t="str">
        <x:v>Pendiente</x:v>
      </x:c>
      <x:c r="H284" s="10"/>
      <x:c r="I284" s="10"/>
      <x:c r="J284" s="10"/>
      <x:c r="K284" s="10"/>
      <x:c r="L284" s="11"/>
      <x:c r="M284" s="12"/>
      <x:c r="N284" s="10"/>
    </x:row>
    <x:row r="285" ht="25" customHeight="1">
      <x:c r="A285" s="9" t="str">
        <x:v>QA-HKA-025</x:v>
      </x:c>
      <x:c r="B285" s="9" t="str">
        <x:v>HKA</x:v>
      </x:c>
      <x:c r="C285" s="9" t="str">
        <x:v>Emisión real ordinaria DEMO</x:v>
      </x:c>
      <x:c r="D285" s="9" t="str">
        <x:v>P0</x:v>
      </x:c>
      <x:c r="E285" s="9" t="str">
        <x:v>Real DEMO</x:v>
      </x:c>
      <x:c r="F285" s="9" t="str">
        <x:v>Navegador + HTTP + persistencia</x:v>
      </x:c>
      <x:c r="G285" s="10" t="str">
        <x:v>Pendiente</x:v>
      </x:c>
      <x:c r="H285" s="10"/>
      <x:c r="I285" s="10"/>
      <x:c r="J285" s="10"/>
      <x:c r="K285" s="10"/>
      <x:c r="L285" s="11"/>
      <x:c r="M285" s="12"/>
      <x:c r="N285" s="10"/>
    </x:row>
    <x:row r="286" ht="25" customHeight="1">
      <x:c r="A286" s="9" t="str">
        <x:v>QA-PDF-001</x:v>
      </x:c>
      <x:c r="B286" s="9" t="str">
        <x:v>PDF</x:v>
      </x:c>
      <x:c r="C286" s="9" t="str">
        <x:v>Vista previa digital en borrador</x:v>
      </x:c>
      <x:c r="D286" s="9" t="str">
        <x:v>P0</x:v>
      </x:c>
      <x:c r="E286" s="9" t="str">
        <x:v>Positiva</x:v>
      </x:c>
      <x:c r="F286" s="9" t="str">
        <x:v>Navegador + HTTP + persistencia</x:v>
      </x:c>
      <x:c r="G286" s="10" t="str">
        <x:v>Pendiente</x:v>
      </x:c>
      <x:c r="H286" s="10"/>
      <x:c r="I286" s="10"/>
      <x:c r="J286" s="10"/>
      <x:c r="K286" s="10"/>
      <x:c r="L286" s="11"/>
      <x:c r="M286" s="12"/>
      <x:c r="N286" s="10"/>
    </x:row>
    <x:row r="287" ht="25" customHeight="1">
      <x:c r="A287" s="9" t="str">
        <x:v>QA-PDF-002</x:v>
      </x:c>
      <x:c r="B287" s="9" t="str">
        <x:v>PDF</x:v>
      </x:c>
      <x:c r="C287" s="9" t="str">
        <x:v>Vista previa de registrado no confirmado</x:v>
      </x:c>
      <x:c r="D287" s="9" t="str">
        <x:v>P1</x:v>
      </x:c>
      <x:c r="E287" s="9" t="str">
        <x:v>Positiva</x:v>
      </x:c>
      <x:c r="F287" s="9" t="str">
        <x:v>Navegador + HTTP + persistencia</x:v>
      </x:c>
      <x:c r="G287" s="10" t="str">
        <x:v>Pendiente</x:v>
      </x:c>
      <x:c r="H287" s="10"/>
      <x:c r="I287" s="10"/>
      <x:c r="J287" s="10"/>
      <x:c r="K287" s="10"/>
      <x:c r="L287" s="11"/>
      <x:c r="M287" s="12"/>
      <x:c r="N287" s="10"/>
    </x:row>
    <x:row r="288" ht="25" customHeight="1">
      <x:c r="A288" s="9" t="str">
        <x:v>QA-PDF-003</x:v>
      </x:c>
      <x:c r="B288" s="9" t="str">
        <x:v>PDF</x:v>
      </x:c>
      <x:c r="C288" s="9" t="str">
        <x:v>Carga y cierre de vista previa</x:v>
      </x:c>
      <x:c r="D288" s="9" t="str">
        <x:v>P1</x:v>
      </x:c>
      <x:c r="E288" s="9" t="str">
        <x:v>Positiva</x:v>
      </x:c>
      <x:c r="F288" s="9" t="str">
        <x:v>Navegador + HTTP + persistencia</x:v>
      </x:c>
      <x:c r="G288" s="10" t="str">
        <x:v>Pendiente</x:v>
      </x:c>
      <x:c r="H288" s="10"/>
      <x:c r="I288" s="10"/>
      <x:c r="J288" s="10"/>
      <x:c r="K288" s="10"/>
      <x:c r="L288" s="11"/>
      <x:c r="M288" s="12"/>
      <x:c r="N288" s="10"/>
    </x:row>
    <x:row r="289" ht="25" customHeight="1">
      <x:c r="A289" s="9" t="str">
        <x:v>QA-PDF-004</x:v>
      </x:c>
      <x:c r="B289" s="9" t="str">
        <x:v>PDF</x:v>
      </x:c>
      <x:c r="C289" s="9" t="str">
        <x:v>Descarga A4 original</x:v>
      </x:c>
      <x:c r="D289" s="9" t="str">
        <x:v>P0</x:v>
      </x:c>
      <x:c r="E289" s="9" t="str">
        <x:v>Positiva</x:v>
      </x:c>
      <x:c r="F289" s="9" t="str">
        <x:v>Navegador + HTTP + persistencia</x:v>
      </x:c>
      <x:c r="G289" s="10" t="str">
        <x:v>Pendiente</x:v>
      </x:c>
      <x:c r="H289" s="10"/>
      <x:c r="I289" s="10"/>
      <x:c r="J289" s="10"/>
      <x:c r="K289" s="10"/>
      <x:c r="L289" s="11"/>
      <x:c r="M289" s="12"/>
      <x:c r="N289" s="10"/>
    </x:row>
    <x:row r="290" ht="25" customHeight="1">
      <x:c r="A290" s="9" t="str">
        <x:v>QA-PDF-005</x:v>
      </x:c>
      <x:c r="B290" s="9" t="str">
        <x:v>PDF</x:v>
      </x:c>
      <x:c r="C290" s="9" t="str">
        <x:v>Descarga A5 horizontal multipágina</x:v>
      </x:c>
      <x:c r="D290" s="9" t="str">
        <x:v>P0</x:v>
      </x:c>
      <x:c r="E290" s="9" t="str">
        <x:v>Positiva</x:v>
      </x:c>
      <x:c r="F290" s="9" t="str">
        <x:v>Navegador + HTTP + persistencia</x:v>
      </x:c>
      <x:c r="G290" s="10" t="str">
        <x:v>Pendiente</x:v>
      </x:c>
      <x:c r="H290" s="10"/>
      <x:c r="I290" s="10"/>
      <x:c r="J290" s="10"/>
      <x:c r="K290" s="10"/>
      <x:c r="L290" s="11"/>
      <x:c r="M290" s="12"/>
      <x:c r="N290" s="10"/>
    </x:row>
    <x:row r="291" ht="25" customHeight="1">
      <x:c r="A291" s="9" t="str">
        <x:v>QA-PDF-006</x:v>
      </x:c>
      <x:c r="B291" s="9" t="str">
        <x:v>PDF</x:v>
      </x:c>
      <x:c r="C291" s="9" t="str">
        <x:v>Ticket 80MM con QR</x:v>
      </x:c>
      <x:c r="D291" s="9" t="str">
        <x:v>P0</x:v>
      </x:c>
      <x:c r="E291" s="9" t="str">
        <x:v>Positiva</x:v>
      </x:c>
      <x:c r="F291" s="9" t="str">
        <x:v>Navegador + HTTP + persistencia</x:v>
      </x:c>
      <x:c r="G291" s="10" t="str">
        <x:v>Pendiente</x:v>
      </x:c>
      <x:c r="H291" s="10"/>
      <x:c r="I291" s="10"/>
      <x:c r="J291" s="10"/>
      <x:c r="K291" s="10"/>
      <x:c r="L291" s="11"/>
      <x:c r="M291" s="12"/>
      <x:c r="N291" s="10"/>
    </x:row>
    <x:row r="292" ht="25" customHeight="1">
      <x:c r="A292" s="9" t="str">
        <x:v>QA-PDF-007</x:v>
      </x:c>
      <x:c r="B292" s="9" t="str">
        <x:v>PDF</x:v>
      </x:c>
      <x:c r="C292" s="9" t="str">
        <x:v>Ticket sin URL bloqueado</x:v>
      </x:c>
      <x:c r="D292" s="9" t="str">
        <x:v>P0</x:v>
      </x:c>
      <x:c r="E292" s="9" t="str">
        <x:v>Negativa</x:v>
      </x:c>
      <x:c r="F292" s="9" t="str">
        <x:v>Navegador + HTTP + persistencia</x:v>
      </x:c>
      <x:c r="G292" s="10" t="str">
        <x:v>Pendiente</x:v>
      </x:c>
      <x:c r="H292" s="10"/>
      <x:c r="I292" s="10"/>
      <x:c r="J292" s="10"/>
      <x:c r="K292" s="10"/>
      <x:c r="L292" s="11"/>
      <x:c r="M292" s="12"/>
      <x:c r="N292" s="10"/>
    </x:row>
    <x:row r="293" ht="25" customHeight="1">
      <x:c r="A293" s="9" t="str">
        <x:v>QA-PDF-008</x:v>
      </x:c>
      <x:c r="B293" s="9" t="str">
        <x:v>PDF</x:v>
      </x:c>
      <x:c r="C293" s="9" t="str">
        <x:v>PDF antes de confirmación</x:v>
      </x:c>
      <x:c r="D293" s="9" t="str">
        <x:v>P0</x:v>
      </x:c>
      <x:c r="E293" s="9" t="str">
        <x:v>Negativa</x:v>
      </x:c>
      <x:c r="F293" s="9" t="str">
        <x:v>Navegador + HTTP + persistencia</x:v>
      </x:c>
      <x:c r="G293" s="10" t="str">
        <x:v>Pendiente</x:v>
      </x:c>
      <x:c r="H293" s="10"/>
      <x:c r="I293" s="10"/>
      <x:c r="J293" s="10"/>
      <x:c r="K293" s="10"/>
      <x:c r="L293" s="11"/>
      <x:c r="M293" s="12"/>
      <x:c r="N293" s="10"/>
    </x:row>
    <x:row r="294" ht="25" customHeight="1">
      <x:c r="A294" s="9" t="str">
        <x:v>QA-PDF-009</x:v>
      </x:c>
      <x:c r="B294" s="9" t="str">
        <x:v>PDF</x:v>
      </x:c>
      <x:c r="C294" s="9" t="str">
        <x:v>Formatos no admitidos</x:v>
      </x:c>
      <x:c r="D294" s="9" t="str">
        <x:v>P0</x:v>
      </x:c>
      <x:c r="E294" s="9" t="str">
        <x:v>Negativa</x:v>
      </x:c>
      <x:c r="F294" s="9" t="str">
        <x:v>Navegador + HTTP + persistencia</x:v>
      </x:c>
      <x:c r="G294" s="10" t="str">
        <x:v>Pendiente</x:v>
      </x:c>
      <x:c r="H294" s="10"/>
      <x:c r="I294" s="10"/>
      <x:c r="J294" s="10"/>
      <x:c r="K294" s="10"/>
      <x:c r="L294" s="11"/>
      <x:c r="M294" s="12"/>
      <x:c r="N294" s="10"/>
    </x:row>
    <x:row r="295" ht="25" customHeight="1">
      <x:c r="A295" s="9" t="str">
        <x:v>QA-PDF-010</x:v>
      </x:c>
      <x:c r="B295" s="9" t="str">
        <x:v>PDF</x:v>
      </x:c>
      <x:c r="C295" s="9" t="str">
        <x:v>Archivo no es PDF válido</x:v>
      </x:c>
      <x:c r="D295" s="9" t="str">
        <x:v>P0</x:v>
      </x:c>
      <x:c r="E295" s="9" t="str">
        <x:v>Negativa</x:v>
      </x:c>
      <x:c r="F295" s="9" t="str">
        <x:v>Navegador + HTTP + persistencia</x:v>
      </x:c>
      <x:c r="G295" s="10" t="str">
        <x:v>Pendiente</x:v>
      </x:c>
      <x:c r="H295" s="10"/>
      <x:c r="I295" s="10"/>
      <x:c r="J295" s="10"/>
      <x:c r="K295" s="10"/>
      <x:c r="L295" s="11"/>
      <x:c r="M295" s="12"/>
      <x:c r="N295" s="10"/>
    </x:row>
    <x:row r="296" ht="25" customHeight="1">
      <x:c r="A296" s="9" t="str">
        <x:v>QA-PDF-011</x:v>
      </x:c>
      <x:c r="B296" s="9" t="str">
        <x:v>PDF</x:v>
      </x:c>
      <x:c r="C296" s="9" t="str">
        <x:v>Respuesta de negocio PDF inválida</x:v>
      </x:c>
      <x:c r="D296" s="9" t="str">
        <x:v>P0</x:v>
      </x:c>
      <x:c r="E296" s="9" t="str">
        <x:v>Negativa</x:v>
      </x:c>
      <x:c r="F296" s="9" t="str">
        <x:v>Navegador + HTTP + persistencia</x:v>
      </x:c>
      <x:c r="G296" s="10" t="str">
        <x:v>Pendiente</x:v>
      </x:c>
      <x:c r="H296" s="10"/>
      <x:c r="I296" s="10"/>
      <x:c r="J296" s="10"/>
      <x:c r="K296" s="10"/>
      <x:c r="L296" s="11"/>
      <x:c r="M296" s="12"/>
      <x:c r="N296" s="10"/>
    </x:row>
    <x:row r="297" ht="25" customHeight="1">
      <x:c r="A297" s="9" t="str">
        <x:v>QA-PDF-012</x:v>
      </x:c>
      <x:c r="B297" s="9" t="str">
        <x:v>PDF</x:v>
      </x:c>
      <x:c r="C297" s="9" t="str">
        <x:v>Límite y apertura del PDF</x:v>
      </x:c>
      <x:c r="D297" s="9" t="str">
        <x:v>P1</x:v>
      </x:c>
      <x:c r="E297" s="9" t="str">
        <x:v>Negativa</x:v>
      </x:c>
      <x:c r="F297" s="9" t="str">
        <x:v>Navegador + HTTP + persistencia</x:v>
      </x:c>
      <x:c r="G297" s="10" t="str">
        <x:v>Pendiente</x:v>
      </x:c>
      <x:c r="H297" s="10"/>
      <x:c r="I297" s="10"/>
      <x:c r="J297" s="10"/>
      <x:c r="K297" s="10"/>
      <x:c r="L297" s="11"/>
      <x:c r="M297" s="12"/>
      <x:c r="N297" s="10"/>
    </x:row>
    <x:row r="298" ht="25" customHeight="1">
      <x:c r="A298" s="9" t="str">
        <x:v>QA-PDF-013</x:v>
      </x:c>
      <x:c r="B298" s="9" t="str">
        <x:v>PDF</x:v>
      </x:c>
      <x:c r="C298" s="9" t="str">
        <x:v>Reutilizar y recuperar copia privada</x:v>
      </x:c>
      <x:c r="D298" s="9" t="str">
        <x:v>P0</x:v>
      </x:c>
      <x:c r="E298" s="9" t="str">
        <x:v>Positiva</x:v>
      </x:c>
      <x:c r="F298" s="9" t="str">
        <x:v>Navegador + HTTP + persistencia</x:v>
      </x:c>
      <x:c r="G298" s="10" t="str">
        <x:v>Pendiente</x:v>
      </x:c>
      <x:c r="H298" s="10"/>
      <x:c r="I298" s="10"/>
      <x:c r="J298" s="10"/>
      <x:c r="K298" s="10"/>
      <x:c r="L298" s="11"/>
      <x:c r="M298" s="12"/>
      <x:c r="N298" s="10"/>
    </x:row>
    <x:row r="299" ht="25" customHeight="1">
      <x:c r="A299" s="9" t="str">
        <x:v>QA-PDF-014</x:v>
      </x:c>
      <x:c r="B299" s="9" t="str">
        <x:v>PDF</x:v>
      </x:c>
      <x:c r="C299" s="9" t="str">
        <x:v>Descargas simultáneas</x:v>
      </x:c>
      <x:c r="D299" s="9" t="str">
        <x:v>P1</x:v>
      </x:c>
      <x:c r="E299" s="9" t="str">
        <x:v>Concurrencia</x:v>
      </x:c>
      <x:c r="F299" s="9" t="str">
        <x:v>Navegador + HTTP + persistencia</x:v>
      </x:c>
      <x:c r="G299" s="10" t="str">
        <x:v>Pendiente</x:v>
      </x:c>
      <x:c r="H299" s="10"/>
      <x:c r="I299" s="10"/>
      <x:c r="J299" s="10"/>
      <x:c r="K299" s="10"/>
      <x:c r="L299" s="11"/>
      <x:c r="M299" s="12"/>
      <x:c r="N299" s="10"/>
    </x:row>
    <x:row r="300" ht="25" customHeight="1">
      <x:c r="A300" s="9" t="str">
        <x:v>QA-PDF-015</x:v>
      </x:c>
      <x:c r="B300" s="9" t="str">
        <x:v>PDF</x:v>
      </x:c>
      <x:c r="C300" s="9" t="str">
        <x:v>Nombres visibles y serie vacía</x:v>
      </x:c>
      <x:c r="D300" s="9" t="str">
        <x:v>P1</x:v>
      </x:c>
      <x:c r="E300" s="9" t="str">
        <x:v>Positiva</x:v>
      </x:c>
      <x:c r="F300" s="9" t="str">
        <x:v>Navegador + HTTP + persistencia</x:v>
      </x:c>
      <x:c r="G300" s="10" t="str">
        <x:v>Pendiente</x:v>
      </x:c>
      <x:c r="H300" s="10"/>
      <x:c r="I300" s="10"/>
      <x:c r="J300" s="10"/>
      <x:c r="K300" s="10"/>
      <x:c r="L300" s="11"/>
      <x:c r="M300" s="12"/>
      <x:c r="N300" s="10"/>
    </x:row>
    <x:row r="301" ht="25" customHeight="1">
      <x:c r="A301" s="9" t="str">
        <x:v>QA-PDF-016</x:v>
      </x:c>
      <x:c r="B301" s="9" t="str">
        <x:v>PDF</x:v>
      </x:c>
      <x:c r="C301" s="9" t="str">
        <x:v>Colisión de nombres en ZIP</x:v>
      </x:c>
      <x:c r="D301" s="9" t="str">
        <x:v>P0</x:v>
      </x:c>
      <x:c r="E301" s="9" t="str">
        <x:v>Positiva</x:v>
      </x:c>
      <x:c r="F301" s="9" t="str">
        <x:v>Navegador + HTTP + persistencia</x:v>
      </x:c>
      <x:c r="G301" s="10" t="str">
        <x:v>Pendiente</x:v>
      </x:c>
      <x:c r="H301" s="10"/>
      <x:c r="I301" s="10"/>
      <x:c r="J301" s="10"/>
      <x:c r="K301" s="10"/>
      <x:c r="L301" s="11"/>
      <x:c r="M301" s="12"/>
      <x:c r="N301" s="10"/>
    </x:row>
    <x:row r="302" ht="25" customHeight="1">
      <x:c r="A302" s="9" t="str">
        <x:v>QA-PDF-017</x:v>
      </x:c>
      <x:c r="B302" s="9" t="str">
        <x:v>PDF</x:v>
      </x:c>
      <x:c r="C302" s="9" t="str">
        <x:v>Masiva de digitales y mixtas</x:v>
      </x:c>
      <x:c r="D302" s="9" t="str">
        <x:v>P1</x:v>
      </x:c>
      <x:c r="E302" s="9" t="str">
        <x:v>Positiva</x:v>
      </x:c>
      <x:c r="F302" s="9" t="str">
        <x:v>Navegador + HTTP + persistencia</x:v>
      </x:c>
      <x:c r="G302" s="10" t="str">
        <x:v>Pendiente</x:v>
      </x:c>
      <x:c r="H302" s="10"/>
      <x:c r="I302" s="10"/>
      <x:c r="J302" s="10"/>
      <x:c r="K302" s="10"/>
      <x:c r="L302" s="11"/>
      <x:c r="M302" s="12"/>
      <x:c r="N302" s="10"/>
    </x:row>
    <x:row r="303" ht="25" customHeight="1">
      <x:c r="A303" s="9" t="str">
        <x:v>QA-PDF-018</x:v>
      </x:c>
      <x:c r="B303" s="9" t="str">
        <x:v>PDF</x:v>
      </x:c>
      <x:c r="C303" s="9" t="str">
        <x:v>Masiva falla completa</x:v>
      </x:c>
      <x:c r="D303" s="9" t="str">
        <x:v>P1</x:v>
      </x:c>
      <x:c r="E303" s="9" t="str">
        <x:v>Negativa</x:v>
      </x:c>
      <x:c r="F303" s="9" t="str">
        <x:v>Navegador + HTTP + persistencia</x:v>
      </x:c>
      <x:c r="G303" s="10" t="str">
        <x:v>Pendiente</x:v>
      </x:c>
      <x:c r="H303" s="10"/>
      <x:c r="I303" s="10"/>
      <x:c r="J303" s="10"/>
      <x:c r="K303" s="10"/>
      <x:c r="L303" s="11"/>
      <x:c r="M303" s="12"/>
      <x:c r="N303" s="10"/>
    </x:row>
    <x:row r="304" ht="25" customHeight="1">
      <x:c r="A304" s="9" t="str">
        <x:v>QA-PDF-019</x:v>
      </x:c>
      <x:c r="B304" s="9" t="str">
        <x:v>PDF</x:v>
      </x:c>
      <x:c r="C304" s="9" t="str">
        <x:v>Impresión automática tras confirmar</x:v>
      </x:c>
      <x:c r="D304" s="9" t="str">
        <x:v>P1</x:v>
      </x:c>
      <x:c r="E304" s="9" t="str">
        <x:v>Simulación</x:v>
      </x:c>
      <x:c r="F304" s="9" t="str">
        <x:v>Navegador + HTTP + persistencia</x:v>
      </x:c>
      <x:c r="G304" s="10" t="str">
        <x:v>Pendiente</x:v>
      </x:c>
      <x:c r="H304" s="10"/>
      <x:c r="I304" s="10"/>
      <x:c r="J304" s="10"/>
      <x:c r="K304" s="10"/>
      <x:c r="L304" s="11"/>
      <x:c r="M304" s="12"/>
      <x:c r="N304" s="10"/>
    </x:row>
    <x:row r="305" ht="25" customHeight="1">
      <x:c r="A305" s="9" t="str">
        <x:v>QA-PDF-020</x:v>
      </x:c>
      <x:c r="B305" s="9" t="str">
        <x:v>PDF</x:v>
      </x:c>
      <x:c r="C305" s="9" t="str">
        <x:v>Impresión manual y QZ</x:v>
      </x:c>
      <x:c r="D305" s="9" t="str">
        <x:v>P1</x:v>
      </x:c>
      <x:c r="E305" s="9" t="str">
        <x:v>Seguridad</x:v>
      </x:c>
      <x:c r="F305" s="9" t="str">
        <x:v>Navegador + HTTP + persistencia</x:v>
      </x:c>
      <x:c r="G305" s="10" t="str">
        <x:v>Pendiente</x:v>
      </x:c>
      <x:c r="H305" s="10"/>
      <x:c r="I305" s="10"/>
      <x:c r="J305" s="10"/>
      <x:c r="K305" s="10"/>
      <x:c r="L305" s="11"/>
      <x:c r="M305" s="12"/>
      <x:c r="N305" s="10"/>
    </x:row>
    <x:row r="306" ht="25" customHeight="1">
      <x:c r="A306" s="9" t="str">
        <x:v>QA-PDF-021</x:v>
      </x:c>
      <x:c r="B306" s="9" t="str">
        <x:v>PDF</x:v>
      </x:c>
      <x:c r="C306" s="9" t="str">
        <x:v>Accesos a PDF por cada entrada</x:v>
      </x:c>
      <x:c r="D306" s="9" t="str">
        <x:v>P0</x:v>
      </x:c>
      <x:c r="E306" s="9" t="str">
        <x:v>Positiva</x:v>
      </x:c>
      <x:c r="F306" s="9" t="str">
        <x:v>Navegador + HTTP + persistencia</x:v>
      </x:c>
      <x:c r="G306" s="10" t="str">
        <x:v>Pendiente</x:v>
      </x:c>
      <x:c r="H306" s="10"/>
      <x:c r="I306" s="10"/>
      <x:c r="J306" s="10"/>
      <x:c r="K306" s="10"/>
      <x:c r="L306" s="11"/>
      <x:c r="M306" s="12"/>
      <x:c r="N306" s="10"/>
    </x:row>
    <x:row r="307" ht="25" customHeight="1">
      <x:c r="A307" s="9" t="str">
        <x:v>QA-PDF-022</x:v>
      </x:c>
      <x:c r="B307" s="9" t="str">
        <x:v>PDF</x:v>
      </x:c>
      <x:c r="C307" s="9" t="str">
        <x:v>Sin ID o carga incompleta</x:v>
      </x:c>
      <x:c r="D307" s="9" t="str">
        <x:v>P0</x:v>
      </x:c>
      <x:c r="E307" s="9" t="str">
        <x:v>Negativa</x:v>
      </x:c>
      <x:c r="F307" s="9" t="str">
        <x:v>Navegador + HTTP + persistencia</x:v>
      </x:c>
      <x:c r="G307" s="10" t="str">
        <x:v>Pendiente</x:v>
      </x:c>
      <x:c r="H307" s="10"/>
      <x:c r="I307" s="10"/>
      <x:c r="J307" s="10"/>
      <x:c r="K307" s="10"/>
      <x:c r="L307" s="11"/>
      <x:c r="M307" s="12"/>
      <x:c r="N307" s="10"/>
    </x:row>
    <x:row r="308" ht="25" customHeight="1">
      <x:c r="A308" s="9" t="str">
        <x:v>QA-PDF-023</x:v>
      </x:c>
      <x:c r="B308" s="9" t="str">
        <x:v>PDF</x:v>
      </x:c>
      <x:c r="C308" s="9" t="str">
        <x:v>Cabeceras y permisos PDF</x:v>
      </x:c>
      <x:c r="D308" s="9" t="str">
        <x:v>P0</x:v>
      </x:c>
      <x:c r="E308" s="9" t="str">
        <x:v>Seguridad</x:v>
      </x:c>
      <x:c r="F308" s="9" t="str">
        <x:v>Navegador + HTTP + persistencia</x:v>
      </x:c>
      <x:c r="G308" s="10" t="str">
        <x:v>Pendiente</x:v>
      </x:c>
      <x:c r="H308" s="10"/>
      <x:c r="I308" s="10"/>
      <x:c r="J308" s="10"/>
      <x:c r="K308" s="10"/>
      <x:c r="L308" s="11"/>
      <x:c r="M308" s="12"/>
      <x:c r="N308" s="10"/>
    </x:row>
    <x:row r="309" ht="25" customHeight="1">
      <x:c r="A309" s="9" t="str">
        <x:v>QA-PDF-024</x:v>
      </x:c>
      <x:c r="B309" s="9" t="str">
        <x:v>PDF</x:v>
      </x:c>
      <x:c r="C309" s="9" t="str">
        <x:v>Cambios de catálogo no reescriben original</x:v>
      </x:c>
      <x:c r="D309" s="9" t="str">
        <x:v>P0</x:v>
      </x:c>
      <x:c r="E309" s="9" t="str">
        <x:v>Positiva</x:v>
      </x:c>
      <x:c r="F309" s="9" t="str">
        <x:v>Navegador + HTTP + persistencia</x:v>
      </x:c>
      <x:c r="G309" s="10" t="str">
        <x:v>Pendiente</x:v>
      </x:c>
      <x:c r="H309" s="10"/>
      <x:c r="I309" s="10"/>
      <x:c r="J309" s="10"/>
      <x:c r="K309" s="10"/>
      <x:c r="L309" s="11"/>
      <x:c r="M309" s="12"/>
      <x:c r="N309" s="10"/>
    </x:row>
    <x:row r="310" ht="25" customHeight="1">
      <x:c r="A310" s="9" t="str">
        <x:v>QA-PDF-025</x:v>
      </x:c>
      <x:c r="B310" s="9" t="str">
        <x:v>PDF</x:v>
      </x:c>
      <x:c r="C310" s="9" t="str">
        <x:v>Plantillas de ticket y documentos extensos</x:v>
      </x:c>
      <x:c r="D310" s="9" t="str">
        <x:v>P1</x:v>
      </x:c>
      <x:c r="E310" s="9" t="str">
        <x:v>Positiva</x:v>
      </x:c>
      <x:c r="F310" s="9" t="str">
        <x:v>Navegador + HTTP + persistencia</x:v>
      </x:c>
      <x:c r="G310" s="10" t="str">
        <x:v>Pendiente</x:v>
      </x:c>
      <x:c r="H310" s="10"/>
      <x:c r="I310" s="10"/>
      <x:c r="J310" s="10"/>
      <x:c r="K310" s="10"/>
      <x:c r="L310" s="11"/>
      <x:c r="M310" s="12"/>
      <x:c r="N310" s="10"/>
    </x:row>
    <x:row r="311" ht="25" customHeight="1">
      <x:c r="A311" s="9" t="str">
        <x:v>QA-COR-001</x:v>
      </x:c>
      <x:c r="B311" s="9" t="str">
        <x:v>COR</x:v>
      </x:c>
      <x:c r="C311" s="9" t="str">
        <x:v>Solicitud manual de correo HKA</x:v>
      </x:c>
      <x:c r="D311" s="9" t="str">
        <x:v>P0</x:v>
      </x:c>
      <x:c r="E311" s="9" t="str">
        <x:v>Positiva</x:v>
      </x:c>
      <x:c r="F311" s="9" t="str">
        <x:v>Navegador + HTTP + persistencia</x:v>
      </x:c>
      <x:c r="G311" s="10" t="str">
        <x:v>Pendiente</x:v>
      </x:c>
      <x:c r="H311" s="10"/>
      <x:c r="I311" s="10"/>
      <x:c r="J311" s="10"/>
      <x:c r="K311" s="10"/>
      <x:c r="L311" s="11"/>
      <x:c r="M311" s="12"/>
      <x:c r="N311" s="10"/>
    </x:row>
    <x:row r="312" ht="25" customHeight="1">
      <x:c r="A312" s="9" t="str">
        <x:v>QA-COR-002</x:v>
      </x:c>
      <x:c r="B312" s="9" t="str">
        <x:v>COR</x:v>
      </x:c>
      <x:c r="C312" s="9" t="str">
        <x:v>Correo desde POS y Garage</x:v>
      </x:c>
      <x:c r="D312" s="9" t="str">
        <x:v>P0</x:v>
      </x:c>
      <x:c r="E312" s="9" t="str">
        <x:v>Positiva</x:v>
      </x:c>
      <x:c r="F312" s="9" t="str">
        <x:v>Navegador + HTTP + persistencia</x:v>
      </x:c>
      <x:c r="G312" s="10" t="str">
        <x:v>Pendiente</x:v>
      </x:c>
      <x:c r="H312" s="10"/>
      <x:c r="I312" s="10"/>
      <x:c r="J312" s="10"/>
      <x:c r="K312" s="10"/>
      <x:c r="L312" s="11"/>
      <x:c r="M312" s="12"/>
      <x:c r="N312" s="10"/>
    </x:row>
    <x:row r="313" ht="25" customHeight="1">
      <x:c r="A313" s="9" t="str">
        <x:v>QA-COR-003</x:v>
      </x:c>
      <x:c r="B313" s="9" t="str">
        <x:v>COR</x:v>
      </x:c>
      <x:c r="C313" s="9" t="str">
        <x:v>Correo bloqueado sin confirmar</x:v>
      </x:c>
      <x:c r="D313" s="9" t="str">
        <x:v>P0</x:v>
      </x:c>
      <x:c r="E313" s="9" t="str">
        <x:v>Negativa</x:v>
      </x:c>
      <x:c r="F313" s="9" t="str">
        <x:v>Navegador + HTTP + persistencia</x:v>
      </x:c>
      <x:c r="G313" s="10" t="str">
        <x:v>Pendiente</x:v>
      </x:c>
      <x:c r="H313" s="10"/>
      <x:c r="I313" s="10"/>
      <x:c r="J313" s="10"/>
      <x:c r="K313" s="10"/>
      <x:c r="L313" s="11"/>
      <x:c r="M313" s="12"/>
      <x:c r="N313" s="10"/>
    </x:row>
    <x:row r="314" ht="25" customHeight="1">
      <x:c r="A314" s="9" t="str">
        <x:v>QA-COR-004</x:v>
      </x:c>
      <x:c r="B314" s="9" t="str">
        <x:v>COR</x:v>
      </x:c>
      <x:c r="C314" s="9" t="str">
        <x:v>Destinatarios inválidos</x:v>
      </x:c>
      <x:c r="D314" s="9" t="str">
        <x:v>P1</x:v>
      </x:c>
      <x:c r="E314" s="9" t="str">
        <x:v>Negativa</x:v>
      </x:c>
      <x:c r="F314" s="9" t="str">
        <x:v>Navegador + HTTP + persistencia</x:v>
      </x:c>
      <x:c r="G314" s="10" t="str">
        <x:v>Pendiente</x:v>
      </x:c>
      <x:c r="H314" s="10"/>
      <x:c r="I314" s="10"/>
      <x:c r="J314" s="10"/>
      <x:c r="K314" s="10"/>
      <x:c r="L314" s="11"/>
      <x:c r="M314" s="12"/>
      <x:c r="N314" s="10"/>
    </x:row>
    <x:row r="315" ht="25" customHeight="1">
      <x:c r="A315" s="9" t="str">
        <x:v>QA-COR-005</x:v>
      </x:c>
      <x:c r="B315" s="9" t="str">
        <x:v>COR</x:v>
      </x:c>
      <x:c r="C315" s="9" t="str">
        <x:v>UUID y doble clic de correo</x:v>
      </x:c>
      <x:c r="D315" s="9" t="str">
        <x:v>P0</x:v>
      </x:c>
      <x:c r="E315" s="9" t="str">
        <x:v>Concurrencia</x:v>
      </x:c>
      <x:c r="F315" s="9" t="str">
        <x:v>Navegador + HTTP + persistencia</x:v>
      </x:c>
      <x:c r="G315" s="10" t="str">
        <x:v>Pendiente</x:v>
      </x:c>
      <x:c r="H315" s="10"/>
      <x:c r="I315" s="10"/>
      <x:c r="J315" s="10"/>
      <x:c r="K315" s="10"/>
      <x:c r="L315" s="11"/>
      <x:c r="M315" s="12"/>
      <x:c r="N315" s="10"/>
    </x:row>
    <x:row r="316" ht="25" customHeight="1">
      <x:c r="A316" s="9" t="str">
        <x:v>QA-COR-006</x:v>
      </x:c>
      <x:c r="B316" s="9" t="str">
        <x:v>COR</x:v>
      </x:c>
      <x:c r="C316" s="9" t="str">
        <x:v>Reenvío explícito</x:v>
      </x:c>
      <x:c r="D316" s="9" t="str">
        <x:v>P1</x:v>
      </x:c>
      <x:c r="E316" s="9" t="str">
        <x:v>Positiva</x:v>
      </x:c>
      <x:c r="F316" s="9" t="str">
        <x:v>Navegador + HTTP + persistencia</x:v>
      </x:c>
      <x:c r="G316" s="10" t="str">
        <x:v>Pendiente</x:v>
      </x:c>
      <x:c r="H316" s="10"/>
      <x:c r="I316" s="10"/>
      <x:c r="J316" s="10"/>
      <x:c r="K316" s="10"/>
      <x:c r="L316" s="11"/>
      <x:c r="M316" s="12"/>
      <x:c r="N316" s="10"/>
    </x:row>
    <x:row r="317" ht="25" customHeight="1">
      <x:c r="A317" s="9" t="str">
        <x:v>QA-COR-007</x:v>
      </x:c>
      <x:c r="B317" s="9" t="str">
        <x:v>COR</x:v>
      </x:c>
      <x:c r="C317" s="9" t="str">
        <x:v>Rechazo definitivo de correo</x:v>
      </x:c>
      <x:c r="D317" s="9" t="str">
        <x:v>P1</x:v>
      </x:c>
      <x:c r="E317" s="9" t="str">
        <x:v>Negativa</x:v>
      </x:c>
      <x:c r="F317" s="9" t="str">
        <x:v>Navegador + HTTP + persistencia</x:v>
      </x:c>
      <x:c r="G317" s="10" t="str">
        <x:v>Pendiente</x:v>
      </x:c>
      <x:c r="H317" s="10"/>
      <x:c r="I317" s="10"/>
      <x:c r="J317" s="10"/>
      <x:c r="K317" s="10"/>
      <x:c r="L317" s="11"/>
      <x:c r="M317" s="12"/>
      <x:c r="N317" s="10"/>
    </x:row>
    <x:row r="318" ht="25" customHeight="1">
      <x:c r="A318" s="9" t="str">
        <x:v>QA-COR-008</x:v>
      </x:c>
      <x:c r="B318" s="9" t="str">
        <x:v>COR</x:v>
      </x:c>
      <x:c r="C318" s="9" t="str">
        <x:v>Timeout de correo</x:v>
      </x:c>
      <x:c r="D318" s="9" t="str">
        <x:v>P0</x:v>
      </x:c>
      <x:c r="E318" s="9" t="str">
        <x:v>Negativa</x:v>
      </x:c>
      <x:c r="F318" s="9" t="str">
        <x:v>Navegador + HTTP + persistencia</x:v>
      </x:c>
      <x:c r="G318" s="10" t="str">
        <x:v>Pendiente</x:v>
      </x:c>
      <x:c r="H318" s="10"/>
      <x:c r="I318" s="10"/>
      <x:c r="J318" s="10"/>
      <x:c r="K318" s="10"/>
      <x:c r="L318" s="11"/>
      <x:c r="M318" s="12"/>
      <x:c r="N318" s="10"/>
    </x:row>
    <x:row r="319" ht="25" customHeight="1">
      <x:c r="A319" s="9" t="str">
        <x:v>QA-COR-009</x:v>
      </x:c>
      <x:c r="B319" s="9" t="str">
        <x:v>COR</x:v>
      </x:c>
      <x:c r="C319" s="9" t="str">
        <x:v>Recuperación pending 50 segundos</x:v>
      </x:c>
      <x:c r="D319" s="9" t="str">
        <x:v>P1</x:v>
      </x:c>
      <x:c r="E319" s="9" t="str">
        <x:v>Simulación</x:v>
      </x:c>
      <x:c r="F319" s="9" t="str">
        <x:v>Navegador + HTTP + persistencia</x:v>
      </x:c>
      <x:c r="G319" s="10" t="str">
        <x:v>Pendiente</x:v>
      </x:c>
      <x:c r="H319" s="10"/>
      <x:c r="I319" s="10"/>
      <x:c r="J319" s="10"/>
      <x:c r="K319" s="10"/>
      <x:c r="L319" s="11"/>
      <x:c r="M319" s="12"/>
      <x:c r="N319" s="10"/>
    </x:row>
    <x:row r="320" ht="25" customHeight="1">
      <x:c r="A320" s="9" t="str">
        <x:v>QA-COR-010</x:v>
      </x:c>
      <x:c r="B320" s="9" t="str">
        <x:v>COR</x:v>
      </x:c>
      <x:c r="C320" s="9" t="str">
        <x:v>Rastreo por destinatario eintento</x:v>
      </x:c>
      <x:c r="D320" s="9" t="str">
        <x:v>P0</x:v>
      </x:c>
      <x:c r="E320" s="9" t="str">
        <x:v>Positiva</x:v>
      </x:c>
      <x:c r="F320" s="9" t="str">
        <x:v>Navegador + HTTP + persistencia</x:v>
      </x:c>
      <x:c r="G320" s="10" t="str">
        <x:v>Pendiente</x:v>
      </x:c>
      <x:c r="H320" s="10"/>
      <x:c r="I320" s="10"/>
      <x:c r="J320" s="10"/>
      <x:c r="K320" s="10"/>
      <x:c r="L320" s="11"/>
      <x:c r="M320" s="12"/>
      <x:c r="N320" s="10"/>
    </x:row>
    <x:row r="321" ht="25" customHeight="1">
      <x:c r="A321" s="9" t="str">
        <x:v>QA-COR-011</x:v>
      </x:c>
      <x:c r="B321" s="9" t="str">
        <x:v>COR</x:v>
      </x:c>
      <x:c r="C321" s="9" t="str">
        <x:v>Rastreo vacío no acredita entrega</x:v>
      </x:c>
      <x:c r="D321" s="9" t="str">
        <x:v>P0</x:v>
      </x:c>
      <x:c r="E321" s="9" t="str">
        <x:v>Negativa</x:v>
      </x:c>
      <x:c r="F321" s="9" t="str">
        <x:v>Navegador + HTTP + persistencia</x:v>
      </x:c>
      <x:c r="G321" s="10" t="str">
        <x:v>Pendiente</x:v>
      </x:c>
      <x:c r="H321" s="10"/>
      <x:c r="I321" s="10"/>
      <x:c r="J321" s="10"/>
      <x:c r="K321" s="10"/>
      <x:c r="L321" s="11"/>
      <x:c r="M321" s="12"/>
      <x:c r="N321" s="10"/>
    </x:row>
    <x:row r="322" ht="25" customHeight="1">
      <x:c r="A322" s="9" t="str">
        <x:v>QA-COR-012</x:v>
      </x:c>
      <x:c r="B322" s="9" t="str">
        <x:v>COR</x:v>
      </x:c>
      <x:c r="C322" s="9" t="str">
        <x:v>Correo automático después de confirmar</x:v>
      </x:c>
      <x:c r="D322" s="9" t="str">
        <x:v>P0</x:v>
      </x:c>
      <x:c r="E322" s="9" t="str">
        <x:v>Positiva</x:v>
      </x:c>
      <x:c r="F322" s="9" t="str">
        <x:v>Navegador + HTTP + persistencia</x:v>
      </x:c>
      <x:c r="G322" s="10" t="str">
        <x:v>Pendiente</x:v>
      </x:c>
      <x:c r="H322" s="10"/>
      <x:c r="I322" s="10"/>
      <x:c r="J322" s="10"/>
      <x:c r="K322" s="10"/>
      <x:c r="L322" s="11"/>
      <x:c r="M322" s="12"/>
      <x:c r="N322" s="10"/>
    </x:row>
    <x:row r="323" ht="25" customHeight="1">
      <x:c r="A323" s="9" t="str">
        <x:v>QA-COR-013</x:v>
      </x:c>
      <x:c r="B323" s="9" t="str">
        <x:v>COR</x:v>
      </x:c>
      <x:c r="C323" s="9" t="str">
        <x:v>Correo automático sin contacto</x:v>
      </x:c>
      <x:c r="D323" s="9" t="str">
        <x:v>P1</x:v>
      </x:c>
      <x:c r="E323" s="9" t="str">
        <x:v>Positiva</x:v>
      </x:c>
      <x:c r="F323" s="9" t="str">
        <x:v>Navegador + HTTP + persistencia</x:v>
      </x:c>
      <x:c r="G323" s="10" t="str">
        <x:v>Pendiente</x:v>
      </x:c>
      <x:c r="H323" s="10"/>
      <x:c r="I323" s="10"/>
      <x:c r="J323" s="10"/>
      <x:c r="K323" s="10"/>
      <x:c r="L323" s="11"/>
      <x:c r="M323" s="12"/>
      <x:c r="N323" s="10"/>
    </x:row>
    <x:row r="324" ht="25" customHeight="1">
      <x:c r="A324" s="9" t="str">
        <x:v>QA-COR-014</x:v>
      </x:c>
      <x:c r="B324" s="9" t="str">
        <x:v>COR</x:v>
      </x:c>
      <x:c r="C324" s="9" t="str">
        <x:v>Fallo de correo auto no degrada factura</x:v>
      </x:c>
      <x:c r="D324" s="9" t="str">
        <x:v>P0</x:v>
      </x:c>
      <x:c r="E324" s="9" t="str">
        <x:v>Negativa</x:v>
      </x:c>
      <x:c r="F324" s="9" t="str">
        <x:v>Navegador + HTTP + persistencia</x:v>
      </x:c>
      <x:c r="G324" s="10" t="str">
        <x:v>Pendiente</x:v>
      </x:c>
      <x:c r="H324" s="10"/>
      <x:c r="I324" s="10"/>
      <x:c r="J324" s="10"/>
      <x:c r="K324" s="10"/>
      <x:c r="L324" s="11"/>
      <x:c r="M324" s="12"/>
      <x:c r="N324" s="10"/>
    </x:row>
    <x:row r="325" ht="25" customHeight="1">
      <x:c r="A325" s="9" t="str">
        <x:v>QA-COR-015</x:v>
      </x:c>
      <x:c r="B325" s="9" t="str">
        <x:v>COR</x:v>
      </x:c>
      <x:c r="C325" s="9" t="str">
        <x:v>Abrir/cerrar diálogo y respuesta tardía</x:v>
      </x:c>
      <x:c r="D325" s="9" t="str">
        <x:v>P1</x:v>
      </x:c>
      <x:c r="E325" s="9" t="str">
        <x:v>Concurrencia</x:v>
      </x:c>
      <x:c r="F325" s="9" t="str">
        <x:v>Navegador + HTTP + persistencia</x:v>
      </x:c>
      <x:c r="G325" s="10" t="str">
        <x:v>Pendiente</x:v>
      </x:c>
      <x:c r="H325" s="10"/>
      <x:c r="I325" s="10"/>
      <x:c r="J325" s="10"/>
      <x:c r="K325" s="10"/>
      <x:c r="L325" s="11"/>
      <x:c r="M325" s="12"/>
      <x:c r="N325" s="10"/>
    </x:row>
    <x:row r="326" ht="25" customHeight="1">
      <x:c r="A326" s="9" t="str">
        <x:v>QA-COR-016</x:v>
      </x:c>
      <x:c r="B326" s="9" t="str">
        <x:v>COR</x:v>
      </x:c>
      <x:c r="C326" s="9" t="str">
        <x:v>Configuración opcional y focus</x:v>
      </x:c>
      <x:c r="D326" s="9" t="str">
        <x:v>P1</x:v>
      </x:c>
      <x:c r="E326" s="9" t="str">
        <x:v>Positiva</x:v>
      </x:c>
      <x:c r="F326" s="9" t="str">
        <x:v>Navegador + HTTP + persistencia</x:v>
      </x:c>
      <x:c r="G326" s="10" t="str">
        <x:v>Pendiente</x:v>
      </x:c>
      <x:c r="H326" s="10"/>
      <x:c r="I326" s="10"/>
      <x:c r="J326" s="10"/>
      <x:c r="K326" s="10"/>
      <x:c r="L326" s="11"/>
      <x:c r="M326" s="12"/>
      <x:c r="N326" s="10"/>
    </x:row>
    <x:row r="327" ht="25" customHeight="1">
      <x:c r="A327" s="9" t="str">
        <x:v>QA-COR-017</x:v>
      </x:c>
      <x:c r="B327" s="9" t="str">
        <x:v>COR</x:v>
      </x:c>
      <x:c r="C327" s="9" t="str">
        <x:v>WhatsApp y prefijo venezolano</x:v>
      </x:c>
      <x:c r="D327" s="9" t="str">
        <x:v>P1</x:v>
      </x:c>
      <x:c r="E327" s="9" t="str">
        <x:v>Positiva</x:v>
      </x:c>
      <x:c r="F327" s="9" t="str">
        <x:v>Navegador + HTTP + persistencia</x:v>
      </x:c>
      <x:c r="G327" s="10" t="str">
        <x:v>Pendiente</x:v>
      </x:c>
      <x:c r="H327" s="10"/>
      <x:c r="I327" s="10"/>
      <x:c r="J327" s="10"/>
      <x:c r="K327" s="10"/>
      <x:c r="L327" s="11"/>
      <x:c r="M327" s="12"/>
      <x:c r="N327" s="10"/>
    </x:row>
    <x:row r="328" ht="25" customHeight="1">
      <x:c r="A328" s="9" t="str">
        <x:v>QA-COR-018</x:v>
      </x:c>
      <x:c r="B328" s="9" t="str">
        <x:v>COR</x:v>
      </x:c>
      <x:c r="C328" s="9" t="str">
        <x:v>WhatsApp no habilitado/no PDF</x:v>
      </x:c>
      <x:c r="D328" s="9" t="str">
        <x:v>P1</x:v>
      </x:c>
      <x:c r="E328" s="9" t="str">
        <x:v>Negativa</x:v>
      </x:c>
      <x:c r="F328" s="9" t="str">
        <x:v>Navegador + HTTP + persistencia</x:v>
      </x:c>
      <x:c r="G328" s="10" t="str">
        <x:v>Pendiente</x:v>
      </x:c>
      <x:c r="H328" s="10"/>
      <x:c r="I328" s="10"/>
      <x:c r="J328" s="10"/>
      <x:c r="K328" s="10"/>
      <x:c r="L328" s="11"/>
      <x:c r="M328" s="12"/>
      <x:c r="N328" s="10"/>
    </x:row>
    <x:row r="329" ht="25" customHeight="1">
      <x:c r="A329" s="9" t="str">
        <x:v>QA-COR-019</x:v>
      </x:c>
      <x:c r="B329" s="9" t="str">
        <x:v>COR</x:v>
      </x:c>
      <x:c r="C329" s="9" t="str">
        <x:v>Distribución por orden fuera de etapa</x:v>
      </x:c>
      <x:c r="D329" s="9" t="str">
        <x:v>P2</x:v>
      </x:c>
      <x:c r="E329" s="9" t="str">
        <x:v>Límite conocido</x:v>
      </x:c>
      <x:c r="F329" s="9" t="str">
        <x:v>Navegador + HTTP + persistencia</x:v>
      </x:c>
      <x:c r="G329" s="10" t="str">
        <x:v>Pendiente</x:v>
      </x:c>
      <x:c r="H329" s="10"/>
      <x:c r="I329" s="10"/>
      <x:c r="J329" s="10"/>
      <x:c r="K329" s="10"/>
      <x:c r="L329" s="11"/>
      <x:c r="M329" s="12"/>
      <x:c r="N329" s="10"/>
    </x:row>
    <x:row r="330" ht="25" customHeight="1">
      <x:c r="A330" s="9" t="str">
        <x:v>QA-LIS-001</x:v>
      </x:c>
      <x:c r="B330" s="9" t="str">
        <x:v>LIS</x:v>
      </x:c>
      <x:c r="C330" s="9" t="str">
        <x:v>Listado de todos los tipos presentes</x:v>
      </x:c>
      <x:c r="D330" s="9" t="str">
        <x:v>P1</x:v>
      </x:c>
      <x:c r="E330" s="9" t="str">
        <x:v>Positiva</x:v>
      </x:c>
      <x:c r="F330" s="9" t="str">
        <x:v>Navegador + HTTP + persistencia</x:v>
      </x:c>
      <x:c r="G330" s="10" t="str">
        <x:v>Pendiente</x:v>
      </x:c>
      <x:c r="H330" s="10"/>
      <x:c r="I330" s="10"/>
      <x:c r="J330" s="10"/>
      <x:c r="K330" s="10"/>
      <x:c r="L330" s="11"/>
      <x:c r="M330" s="12"/>
      <x:c r="N330" s="10"/>
    </x:row>
    <x:row r="331" ht="25" customHeight="1">
      <x:c r="A331" s="9" t="str">
        <x:v>QA-LIS-002</x:v>
      </x:c>
      <x:c r="B331" s="9" t="str">
        <x:v>LIS</x:v>
      </x:c>
      <x:c r="C331" s="9" t="str">
        <x:v>Estados locales y fiscales</x:v>
      </x:c>
      <x:c r="D331" s="9" t="str">
        <x:v>P0</x:v>
      </x:c>
      <x:c r="E331" s="9" t="str">
        <x:v>Positiva</x:v>
      </x:c>
      <x:c r="F331" s="9" t="str">
        <x:v>Navegador + HTTP + persistencia</x:v>
      </x:c>
      <x:c r="G331" s="10" t="str">
        <x:v>Pendiente</x:v>
      </x:c>
      <x:c r="H331" s="10"/>
      <x:c r="I331" s="10"/>
      <x:c r="J331" s="10"/>
      <x:c r="K331" s="10"/>
      <x:c r="L331" s="11"/>
      <x:c r="M331" s="12"/>
      <x:c r="N331" s="10"/>
    </x:row>
    <x:row r="332" ht="25" customHeight="1">
      <x:c r="A332" s="9" t="str">
        <x:v>QA-LIS-003</x:v>
      </x:c>
      <x:c r="B332" s="9" t="str">
        <x:v>LIS</x:v>
      </x:c>
      <x:c r="C332" s="9" t="str">
        <x:v>Prioridad de anulación/rechazo local</x:v>
      </x:c>
      <x:c r="D332" s="9" t="str">
        <x:v>P0</x:v>
      </x:c>
      <x:c r="E332" s="9" t="str">
        <x:v>Positiva</x:v>
      </x:c>
      <x:c r="F332" s="9" t="str">
        <x:v>Navegador + HTTP + persistencia</x:v>
      </x:c>
      <x:c r="G332" s="10" t="str">
        <x:v>Pendiente</x:v>
      </x:c>
      <x:c r="H332" s="10"/>
      <x:c r="I332" s="10"/>
      <x:c r="J332" s="10"/>
      <x:c r="K332" s="10"/>
      <x:c r="L332" s="11"/>
      <x:c r="M332" s="12"/>
      <x:c r="N332" s="10"/>
    </x:row>
    <x:row r="333" ht="25" customHeight="1">
      <x:c r="A333" s="9" t="str">
        <x:v>QA-LIS-004</x:v>
      </x:c>
      <x:c r="B333" s="9" t="str">
        <x:v>LIS</x:v>
      </x:c>
      <x:c r="C333" s="9" t="str">
        <x:v>Control y motivo completos</x:v>
      </x:c>
      <x:c r="D333" s="9" t="str">
        <x:v>P1</x:v>
      </x:c>
      <x:c r="E333" s="9" t="str">
        <x:v>Positiva</x:v>
      </x:c>
      <x:c r="F333" s="9" t="str">
        <x:v>Navegador + HTTP + persistencia</x:v>
      </x:c>
      <x:c r="G333" s="10" t="str">
        <x:v>Pendiente</x:v>
      </x:c>
      <x:c r="H333" s="10"/>
      <x:c r="I333" s="10"/>
      <x:c r="J333" s="10"/>
      <x:c r="K333" s="10"/>
      <x:c r="L333" s="11"/>
      <x:c r="M333" s="12"/>
      <x:c r="N333" s="10"/>
    </x:row>
    <x:row r="334" ht="25" customHeight="1">
      <x:c r="A334" s="9" t="str">
        <x:v>QA-LIS-005</x:v>
      </x:c>
      <x:c r="B334" s="9" t="str">
        <x:v>LIS</x:v>
      </x:c>
      <x:c r="C334" s="9" t="str">
        <x:v>Acciones de consulta y envío</x:v>
      </x:c>
      <x:c r="D334" s="9" t="str">
        <x:v>P1</x:v>
      </x:c>
      <x:c r="E334" s="9" t="str">
        <x:v>Positiva</x:v>
      </x:c>
      <x:c r="F334" s="9" t="str">
        <x:v>Navegador + HTTP + persistencia</x:v>
      </x:c>
      <x:c r="G334" s="10" t="str">
        <x:v>Pendiente</x:v>
      </x:c>
      <x:c r="H334" s="10"/>
      <x:c r="I334" s="10"/>
      <x:c r="J334" s="10"/>
      <x:c r="K334" s="10"/>
      <x:c r="L334" s="11"/>
      <x:c r="M334" s="12"/>
      <x:c r="N334" s="10"/>
    </x:row>
    <x:row r="335" ht="25" customHeight="1">
      <x:c r="A335" s="9" t="str">
        <x:v>QA-LIS-006</x:v>
      </x:c>
      <x:c r="B335" s="9" t="str">
        <x:v>LIS</x:v>
      </x:c>
      <x:c r="C335" s="9" t="str">
        <x:v>Columna PDF retirada y menú móvil</x:v>
      </x:c>
      <x:c r="D335" s="9" t="str">
        <x:v>P1</x:v>
      </x:c>
      <x:c r="E335" s="9" t="str">
        <x:v>Positiva</x:v>
      </x:c>
      <x:c r="F335" s="9" t="str">
        <x:v>Navegador + HTTP + persistencia</x:v>
      </x:c>
      <x:c r="G335" s="10" t="str">
        <x:v>Pendiente</x:v>
      </x:c>
      <x:c r="H335" s="10"/>
      <x:c r="I335" s="10"/>
      <x:c r="J335" s="10"/>
      <x:c r="K335" s="10"/>
      <x:c r="L335" s="11"/>
      <x:c r="M335" s="12"/>
      <x:c r="N335" s="10"/>
    </x:row>
    <x:row r="336" ht="25" customHeight="1">
      <x:c r="A336" s="9" t="str">
        <x:v>QA-LIS-007</x:v>
      </x:c>
      <x:c r="B336" s="9" t="str">
        <x:v>LIS</x:v>
      </x:c>
      <x:c r="C336" s="9" t="str">
        <x:v>Total permanente y columnas configurables</x:v>
      </x:c>
      <x:c r="D336" s="9" t="str">
        <x:v>P1</x:v>
      </x:c>
      <x:c r="E336" s="9" t="str">
        <x:v>Positiva</x:v>
      </x:c>
      <x:c r="F336" s="9" t="str">
        <x:v>Navegador + HTTP + persistencia</x:v>
      </x:c>
      <x:c r="G336" s="10" t="str">
        <x:v>Pendiente</x:v>
      </x:c>
      <x:c r="H336" s="10"/>
      <x:c r="I336" s="10"/>
      <x:c r="J336" s="10"/>
      <x:c r="K336" s="10"/>
      <x:c r="L336" s="11"/>
      <x:c r="M336" s="12"/>
      <x:c r="N336" s="10"/>
    </x:row>
    <x:row r="337" ht="25" customHeight="1">
      <x:c r="A337" s="9" t="str">
        <x:v>QA-LIS-008</x:v>
      </x:c>
      <x:c r="B337" s="9" t="str">
        <x:v>LIS</x:v>
      </x:c>
      <x:c r="C337" s="9" t="str">
        <x:v>Filtros por número, serie y cliente</x:v>
      </x:c>
      <x:c r="D337" s="9" t="str">
        <x:v>P1</x:v>
      </x:c>
      <x:c r="E337" s="9" t="str">
        <x:v>Positiva</x:v>
      </x:c>
      <x:c r="F337" s="9" t="str">
        <x:v>Navegador + HTTP + persistencia</x:v>
      </x:c>
      <x:c r="G337" s="10" t="str">
        <x:v>Pendiente</x:v>
      </x:c>
      <x:c r="H337" s="10"/>
      <x:c r="I337" s="10"/>
      <x:c r="J337" s="10"/>
      <x:c r="K337" s="10"/>
      <x:c r="L337" s="11"/>
      <x:c r="M337" s="12"/>
      <x:c r="N337" s="10"/>
    </x:row>
    <x:row r="338" ht="25" customHeight="1">
      <x:c r="A338" s="9" t="str">
        <x:v>QA-LIS-009</x:v>
      </x:c>
      <x:c r="B338" s="9" t="str">
        <x:v>LIS</x:v>
      </x:c>
      <x:c r="C338" s="9" t="str">
        <x:v>Filtros por fecha, moneda, estado y tipo</x:v>
      </x:c>
      <x:c r="D338" s="9" t="str">
        <x:v>P0</x:v>
      </x:c>
      <x:c r="E338" s="9" t="str">
        <x:v>Positiva</x:v>
      </x:c>
      <x:c r="F338" s="9" t="str">
        <x:v>Navegador + HTTP + persistencia</x:v>
      </x:c>
      <x:c r="G338" s="10" t="str">
        <x:v>Pendiente</x:v>
      </x:c>
      <x:c r="H338" s="10"/>
      <x:c r="I338" s="10"/>
      <x:c r="J338" s="10"/>
      <x:c r="K338" s="10"/>
      <x:c r="L338" s="11"/>
      <x:c r="M338" s="12"/>
      <x:c r="N338" s="10"/>
    </x:row>
    <x:row r="339" ht="25" customHeight="1">
      <x:c r="A339" s="9" t="str">
        <x:v>QA-LIS-010</x:v>
      </x:c>
      <x:c r="B339" s="9" t="str">
        <x:v>LIS</x:v>
      </x:c>
      <x:c r="C339" s="9" t="str">
        <x:v>Paginación, orden y selección masiva</x:v>
      </x:c>
      <x:c r="D339" s="9" t="str">
        <x:v>P1</x:v>
      </x:c>
      <x:c r="E339" s="9" t="str">
        <x:v>Positiva</x:v>
      </x:c>
      <x:c r="F339" s="9" t="str">
        <x:v>Navegador + HTTP + persistencia</x:v>
      </x:c>
      <x:c r="G339" s="10" t="str">
        <x:v>Pendiente</x:v>
      </x:c>
      <x:c r="H339" s="10"/>
      <x:c r="I339" s="10"/>
      <x:c r="J339" s="10"/>
      <x:c r="K339" s="10"/>
      <x:c r="L339" s="11"/>
      <x:c r="M339" s="12"/>
      <x:c r="N339" s="10"/>
    </x:row>
    <x:row r="340" ht="25" customHeight="1">
      <x:c r="A340" s="9" t="str">
        <x:v>QA-LIS-011</x:v>
      </x:c>
      <x:c r="B340" s="9" t="str">
        <x:v>LIS</x:v>
      </x:c>
      <x:c r="C340" s="9" t="str">
        <x:v>Recarga después de acción fiscal</x:v>
      </x:c>
      <x:c r="D340" s="9" t="str">
        <x:v>P0</x:v>
      </x:c>
      <x:c r="E340" s="9" t="str">
        <x:v>Positiva</x:v>
      </x:c>
      <x:c r="F340" s="9" t="str">
        <x:v>Navegador + HTTP + persistencia</x:v>
      </x:c>
      <x:c r="G340" s="10" t="str">
        <x:v>Pendiente</x:v>
      </x:c>
      <x:c r="H340" s="10"/>
      <x:c r="I340" s="10"/>
      <x:c r="J340" s="10"/>
      <x:c r="K340" s="10"/>
      <x:c r="L340" s="11"/>
      <x:c r="M340" s="12"/>
      <x:c r="N340" s="10"/>
    </x:row>
    <x:row r="341" ht="25" customHeight="1">
      <x:c r="A341" s="9" t="str">
        <x:v>QA-LIS-012</x:v>
      </x:c>
      <x:c r="B341" s="9" t="str">
        <x:v>LIS</x:v>
      </x:c>
      <x:c r="C341" s="9" t="str">
        <x:v>Respuesta tardía en detalle</x:v>
      </x:c>
      <x:c r="D341" s="9" t="str">
        <x:v>P1</x:v>
      </x:c>
      <x:c r="E341" s="9" t="str">
        <x:v>Concurrencia</x:v>
      </x:c>
      <x:c r="F341" s="9" t="str">
        <x:v>Navegador + HTTP + persistencia</x:v>
      </x:c>
      <x:c r="G341" s="10" t="str">
        <x:v>Pendiente</x:v>
      </x:c>
      <x:c r="H341" s="10"/>
      <x:c r="I341" s="10"/>
      <x:c r="J341" s="10"/>
      <x:c r="K341" s="10"/>
      <x:c r="L341" s="11"/>
      <x:c r="M341" s="12"/>
      <x:c r="N341" s="10"/>
    </x:row>
    <x:row r="342" ht="25" customHeight="1">
      <x:c r="A342" s="9" t="str">
        <x:v>QA-LIS-013</x:v>
      </x:c>
      <x:c r="B342" s="9" t="str">
        <x:v>LIS</x:v>
      </x:c>
      <x:c r="C342" s="9" t="str">
        <x:v>Cache por tenant y actualización</x:v>
      </x:c>
      <x:c r="D342" s="9" t="str">
        <x:v>P0</x:v>
      </x:c>
      <x:c r="E342" s="9" t="str">
        <x:v>Seguridad</x:v>
      </x:c>
      <x:c r="F342" s="9" t="str">
        <x:v>Navegador + HTTP + persistencia</x:v>
      </x:c>
      <x:c r="G342" s="10" t="str">
        <x:v>Pendiente</x:v>
      </x:c>
      <x:c r="H342" s="10"/>
      <x:c r="I342" s="10"/>
      <x:c r="J342" s="10"/>
      <x:c r="K342" s="10"/>
      <x:c r="L342" s="11"/>
      <x:c r="M342" s="12"/>
      <x:c r="N342" s="10"/>
    </x:row>
    <x:row r="343" ht="25" customHeight="1">
      <x:c r="A343" s="9" t="str">
        <x:v>QA-LIS-014</x:v>
      </x:c>
      <x:c r="B343" s="9" t="str">
        <x:v>LIS</x:v>
      </x:c>
      <x:c r="C343" s="9" t="str">
        <x:v>Campos personalizados</x:v>
      </x:c>
      <x:c r="D343" s="9" t="str">
        <x:v>P1</x:v>
      </x:c>
      <x:c r="E343" s="9" t="str">
        <x:v>Positiva</x:v>
      </x:c>
      <x:c r="F343" s="9" t="str">
        <x:v>Navegador + HTTP + persistencia</x:v>
      </x:c>
      <x:c r="G343" s="10" t="str">
        <x:v>Pendiente</x:v>
      </x:c>
      <x:c r="H343" s="10"/>
      <x:c r="I343" s="10"/>
      <x:c r="J343" s="10"/>
      <x:c r="K343" s="10"/>
      <x:c r="L343" s="11"/>
      <x:c r="M343" s="12"/>
      <x:c r="N343" s="10"/>
    </x:row>
    <x:row r="344" ht="25" customHeight="1">
      <x:c r="A344" s="9" t="str">
        <x:v>QA-LIS-015</x:v>
      </x:c>
      <x:c r="B344" s="9" t="str">
        <x:v>LIS</x:v>
      </x:c>
      <x:c r="C344" s="9" t="str">
        <x:v>Responsividad y teclado</x:v>
      </x:c>
      <x:c r="D344" s="9" t="str">
        <x:v>P1</x:v>
      </x:c>
      <x:c r="E344" s="9" t="str">
        <x:v>Positiva</x:v>
      </x:c>
      <x:c r="F344" s="9" t="str">
        <x:v>Navegador + HTTP + persistencia</x:v>
      </x:c>
      <x:c r="G344" s="10" t="str">
        <x:v>Pendiente</x:v>
      </x:c>
      <x:c r="H344" s="10"/>
      <x:c r="I344" s="10"/>
      <x:c r="J344" s="10"/>
      <x:c r="K344" s="10"/>
      <x:c r="L344" s="11"/>
      <x:c r="M344" s="12"/>
      <x:c r="N344" s="10"/>
    </x:row>
    <x:row r="345" ht="25" customHeight="1">
      <x:c r="A345" s="9" t="str">
        <x:v>QA-LIS-016</x:v>
      </x:c>
      <x:c r="B345" s="9" t="str">
        <x:v>LIS</x:v>
      </x:c>
      <x:c r="C345" s="9" t="str">
        <x:v>Sin registros y fallo de red</x:v>
      </x:c>
      <x:c r="D345" s="9" t="str">
        <x:v>P1</x:v>
      </x:c>
      <x:c r="E345" s="9" t="str">
        <x:v>Positiva</x:v>
      </x:c>
      <x:c r="F345" s="9" t="str">
        <x:v>Navegador + HTTP + persistencia</x:v>
      </x:c>
      <x:c r="G345" s="10" t="str">
        <x:v>Pendiente</x:v>
      </x:c>
      <x:c r="H345" s="10"/>
      <x:c r="I345" s="10"/>
      <x:c r="J345" s="10"/>
      <x:c r="K345" s="10"/>
      <x:c r="L345" s="11"/>
      <x:c r="M345" s="12"/>
      <x:c r="N345" s="10"/>
    </x:row>
    <x:row r="346" ht="25" customHeight="1">
      <x:c r="A346" s="9" t="str">
        <x:v>QA-NVE-001</x:v>
      </x:c>
      <x:c r="B346" s="9" t="str">
        <x:v>NVE</x:v>
      </x:c>
      <x:c r="C346" s="9" t="str">
        <x:v>Crear nota de venta 80 digital tenant</x:v>
      </x:c>
      <x:c r="D346" s="9" t="str">
        <x:v>P0</x:v>
      </x:c>
      <x:c r="E346" s="9" t="str">
        <x:v>Positiva</x:v>
      </x:c>
      <x:c r="F346" s="9" t="str">
        <x:v>Navegador + HTTP + persistencia</x:v>
      </x:c>
      <x:c r="G346" s="10" t="str">
        <x:v>Pendiente</x:v>
      </x:c>
      <x:c r="H346" s="10"/>
      <x:c r="I346" s="10"/>
      <x:c r="J346" s="10"/>
      <x:c r="K346" s="10"/>
      <x:c r="L346" s="11"/>
      <x:c r="M346" s="12"/>
      <x:c r="N346" s="10"/>
    </x:row>
    <x:row r="347" ht="25" customHeight="1">
      <x:c r="A347" s="9" t="str">
        <x:v>QA-NVE-002</x:v>
      </x:c>
      <x:c r="B347" s="9" t="str">
        <x:v>NVE</x:v>
      </x:c>
      <x:c r="C347" s="9" t="str">
        <x:v>Nota de venta contado y crédito</x:v>
      </x:c>
      <x:c r="D347" s="9" t="str">
        <x:v>P1</x:v>
      </x:c>
      <x:c r="E347" s="9" t="str">
        <x:v>Positiva</x:v>
      </x:c>
      <x:c r="F347" s="9" t="str">
        <x:v>Navegador + HTTP + persistencia</x:v>
      </x:c>
      <x:c r="G347" s="10" t="str">
        <x:v>Pendiente</x:v>
      </x:c>
      <x:c r="H347" s="10"/>
      <x:c r="I347" s="10"/>
      <x:c r="J347" s="10"/>
      <x:c r="K347" s="10"/>
      <x:c r="L347" s="11"/>
      <x:c r="M347" s="12"/>
      <x:c r="N347" s="10"/>
    </x:row>
    <x:row r="348" ht="25" customHeight="1">
      <x:c r="A348" s="9" t="str">
        <x:v>QA-NVE-003</x:v>
      </x:c>
      <x:c r="B348" s="9" t="str">
        <x:v>NVE</x:v>
      </x:c>
      <x:c r="C348" s="9" t="str">
        <x:v>Editar, duplicar y anular NV</x:v>
      </x:c>
      <x:c r="D348" s="9" t="str">
        <x:v>P1</x:v>
      </x:c>
      <x:c r="E348" s="9" t="str">
        <x:v>Positiva</x:v>
      </x:c>
      <x:c r="F348" s="9" t="str">
        <x:v>Navegador + HTTP + persistencia</x:v>
      </x:c>
      <x:c r="G348" s="10" t="str">
        <x:v>Pendiente</x:v>
      </x:c>
      <x:c r="H348" s="10"/>
      <x:c r="I348" s="10"/>
      <x:c r="J348" s="10"/>
      <x:c r="K348" s="10"/>
      <x:c r="L348" s="11"/>
      <x:c r="M348" s="12"/>
      <x:c r="N348" s="10"/>
    </x:row>
    <x:row r="349" ht="25" customHeight="1">
      <x:c r="A349" s="9" t="str">
        <x:v>QA-NVE-004</x:v>
      </x:c>
      <x:c r="B349" s="9" t="str">
        <x:v>NVE</x:v>
      </x:c>
      <x:c r="C349" s="9" t="str">
        <x:v>Convertir una NV a Factura</x:v>
      </x:c>
      <x:c r="D349" s="9" t="str">
        <x:v>P0</x:v>
      </x:c>
      <x:c r="E349" s="9" t="str">
        <x:v>Positiva</x:v>
      </x:c>
      <x:c r="F349" s="9" t="str">
        <x:v>Navegador + HTTP + persistencia</x:v>
      </x:c>
      <x:c r="G349" s="10" t="str">
        <x:v>Pendiente</x:v>
      </x:c>
      <x:c r="H349" s="10"/>
      <x:c r="I349" s="10"/>
      <x:c r="J349" s="10"/>
      <x:c r="K349" s="10"/>
      <x:c r="L349" s="11"/>
      <x:c r="M349" s="12"/>
      <x:c r="N349" s="10"/>
    </x:row>
    <x:row r="350" ht="25" customHeight="1">
      <x:c r="A350" s="9" t="str">
        <x:v>QA-NVE-005</x:v>
      </x:c>
      <x:c r="B350" s="9" t="str">
        <x:v>NVE</x:v>
      </x:c>
      <x:c r="C350" s="9" t="str">
        <x:v>Convertir varias NV mismo cliente</x:v>
      </x:c>
      <x:c r="D350" s="9" t="str">
        <x:v>P0</x:v>
      </x:c>
      <x:c r="E350" s="9" t="str">
        <x:v>Positiva</x:v>
      </x:c>
      <x:c r="F350" s="9" t="str">
        <x:v>Navegador + HTTP + persistencia</x:v>
      </x:c>
      <x:c r="G350" s="10" t="str">
        <x:v>Pendiente</x:v>
      </x:c>
      <x:c r="H350" s="10"/>
      <x:c r="I350" s="10"/>
      <x:c r="J350" s="10"/>
      <x:c r="K350" s="10"/>
      <x:c r="L350" s="11"/>
      <x:c r="M350" s="12"/>
      <x:c r="N350" s="10"/>
    </x:row>
    <x:row r="351" ht="25" customHeight="1">
      <x:c r="A351" s="9" t="str">
        <x:v>QA-NVE-006</x:v>
      </x:c>
      <x:c r="B351" s="9" t="str">
        <x:v>NVE</x:v>
      </x:c>
      <x:c r="C351" s="9" t="str">
        <x:v>Convertir NV incompatibles</x:v>
      </x:c>
      <x:c r="D351" s="9" t="str">
        <x:v>P0</x:v>
      </x:c>
      <x:c r="E351" s="9" t="str">
        <x:v>Negativa</x:v>
      </x:c>
      <x:c r="F351" s="9" t="str">
        <x:v>Navegador + HTTP + persistencia</x:v>
      </x:c>
      <x:c r="G351" s="10" t="str">
        <x:v>Pendiente</x:v>
      </x:c>
      <x:c r="H351" s="10"/>
      <x:c r="I351" s="10"/>
      <x:c r="J351" s="10"/>
      <x:c r="K351" s="10"/>
      <x:c r="L351" s="11"/>
      <x:c r="M351" s="12"/>
      <x:c r="N351" s="10"/>
    </x:row>
    <x:row r="352" ht="25" customHeight="1">
      <x:c r="A352" s="9" t="str">
        <x:v>QA-NVE-007</x:v>
      </x:c>
      <x:c r="B352" s="9" t="str">
        <x:v>NVE</x:v>
      </x:c>
      <x:c r="C352" s="9" t="str">
        <x:v>Cliente precargado paginado</x:v>
      </x:c>
      <x:c r="D352" s="9" t="str">
        <x:v>P0</x:v>
      </x:c>
      <x:c r="E352" s="9" t="str">
        <x:v>Positiva</x:v>
      </x:c>
      <x:c r="F352" s="9" t="str">
        <x:v>Navegador + HTTP + persistencia</x:v>
      </x:c>
      <x:c r="G352" s="10" t="str">
        <x:v>Pendiente</x:v>
      </x:c>
      <x:c r="H352" s="10"/>
      <x:c r="I352" s="10"/>
      <x:c r="J352" s="10"/>
      <x:c r="K352" s="10"/>
      <x:c r="L352" s="11"/>
      <x:c r="M352" s="12"/>
      <x:c r="N352" s="10"/>
    </x:row>
    <x:row r="353" ht="25" customHeight="1">
      <x:c r="A353" s="9" t="str">
        <x:v>QA-NVE-008</x:v>
      </x:c>
      <x:c r="B353" s="9" t="str">
        <x:v>NVE</x:v>
      </x:c>
      <x:c r="C353" s="9" t="str">
        <x:v>Conversión con identidad inactiva</x:v>
      </x:c>
      <x:c r="D353" s="9" t="str">
        <x:v>P0</x:v>
      </x:c>
      <x:c r="E353" s="9" t="str">
        <x:v>Negativa</x:v>
      </x:c>
      <x:c r="F353" s="9" t="str">
        <x:v>Navegador + HTTP + persistencia</x:v>
      </x:c>
      <x:c r="G353" s="10" t="str">
        <x:v>Pendiente</x:v>
      </x:c>
      <x:c r="H353" s="10"/>
      <x:c r="I353" s="10"/>
      <x:c r="J353" s="10"/>
      <x:c r="K353" s="10"/>
      <x:c r="L353" s="11"/>
      <x:c r="M353" s="12"/>
      <x:c r="N353" s="10"/>
    </x:row>
    <x:row r="354" ht="25" customHeight="1">
      <x:c r="A354" s="9" t="str">
        <x:v>QA-NVE-009</x:v>
      </x:c>
      <x:c r="B354" s="9" t="str">
        <x:v>NVE</x:v>
      </x:c>
      <x:c r="C354" s="9" t="str">
        <x:v>Conversión doble o concurrente</x:v>
      </x:c>
      <x:c r="D354" s="9" t="str">
        <x:v>P0</x:v>
      </x:c>
      <x:c r="E354" s="9" t="str">
        <x:v>Concurrencia</x:v>
      </x:c>
      <x:c r="F354" s="9" t="str">
        <x:v>Navegador + HTTP + persistencia</x:v>
      </x:c>
      <x:c r="G354" s="10" t="str">
        <x:v>Pendiente</x:v>
      </x:c>
      <x:c r="H354" s="10"/>
      <x:c r="I354" s="10"/>
      <x:c r="J354" s="10"/>
      <x:c r="K354" s="10"/>
      <x:c r="L354" s="11"/>
      <x:c r="M354" s="12"/>
      <x:c r="N354" s="10"/>
    </x:row>
    <x:row r="355" ht="25" customHeight="1">
      <x:c r="A355" s="9" t="str">
        <x:v>QA-NVE-010</x:v>
      </x:c>
      <x:c r="B355" s="9" t="str">
        <x:v>NVE</x:v>
      </x:c>
      <x:c r="C355" s="9" t="str">
        <x:v>Cotización a Factura</x:v>
      </x:c>
      <x:c r="D355" s="9" t="str">
        <x:v>P1</x:v>
      </x:c>
      <x:c r="E355" s="9" t="str">
        <x:v>Positiva</x:v>
      </x:c>
      <x:c r="F355" s="9" t="str">
        <x:v>Navegador + HTTP + persistencia</x:v>
      </x:c>
      <x:c r="G355" s="10" t="str">
        <x:v>Pendiente</x:v>
      </x:c>
      <x:c r="H355" s="10"/>
      <x:c r="I355" s="10"/>
      <x:c r="J355" s="10"/>
      <x:c r="K355" s="10"/>
      <x:c r="L355" s="11"/>
      <x:c r="M355" s="12"/>
      <x:c r="N355" s="10"/>
    </x:row>
    <x:row r="356" ht="25" customHeight="1">
      <x:c r="A356" s="9" t="str">
        <x:v>QA-NVE-011</x:v>
      </x:c>
      <x:c r="B356" s="9" t="str">
        <x:v>NVE</x:v>
      </x:c>
      <x:c r="C356" s="9" t="str">
        <x:v>Pedido o Nota de pedido a venta</x:v>
      </x:c>
      <x:c r="D356" s="9" t="str">
        <x:v>P1</x:v>
      </x:c>
      <x:c r="E356" s="9" t="str">
        <x:v>Positiva</x:v>
      </x:c>
      <x:c r="F356" s="9" t="str">
        <x:v>Navegador + HTTP + persistencia</x:v>
      </x:c>
      <x:c r="G356" s="10" t="str">
        <x:v>Pendiente</x:v>
      </x:c>
      <x:c r="H356" s="10"/>
      <x:c r="I356" s="10"/>
      <x:c r="J356" s="10"/>
      <x:c r="K356" s="10"/>
      <x:c r="L356" s="11"/>
      <x:c r="M356" s="12"/>
      <x:c r="N356" s="10"/>
    </x:row>
    <x:row r="357" ht="25" customHeight="1">
      <x:c r="A357" s="9" t="str">
        <x:v>QA-NVE-012</x:v>
      </x:c>
      <x:c r="B357" s="9" t="str">
        <x:v>NVE</x:v>
      </x:c>
      <x:c r="C357" s="9" t="str">
        <x:v>Orden de entrega a Factura</x:v>
      </x:c>
      <x:c r="D357" s="9" t="str">
        <x:v>P1</x:v>
      </x:c>
      <x:c r="E357" s="9" t="str">
        <x:v>Positiva</x:v>
      </x:c>
      <x:c r="F357" s="9" t="str">
        <x:v>Navegador + HTTP + persistencia</x:v>
      </x:c>
      <x:c r="G357" s="10" t="str">
        <x:v>Pendiente</x:v>
      </x:c>
      <x:c r="H357" s="10"/>
      <x:c r="I357" s="10"/>
      <x:c r="J357" s="10"/>
      <x:c r="K357" s="10"/>
      <x:c r="L357" s="11"/>
      <x:c r="M357" s="12"/>
      <x:c r="N357" s="10"/>
    </x:row>
    <x:row r="358" ht="25" customHeight="1">
      <x:c r="A358" s="9" t="str">
        <x:v>QA-NVE-013</x:v>
      </x:c>
      <x:c r="B358" s="9" t="str">
        <x:v>NVE</x:v>
      </x:c>
      <x:c r="C358" s="9" t="str">
        <x:v>Factura a Orden de entrega</x:v>
      </x:c>
      <x:c r="D358" s="9" t="str">
        <x:v>P1</x:v>
      </x:c>
      <x:c r="E358" s="9" t="str">
        <x:v>Positiva</x:v>
      </x:c>
      <x:c r="F358" s="9" t="str">
        <x:v>Navegador + HTTP + persistencia</x:v>
      </x:c>
      <x:c r="G358" s="10" t="str">
        <x:v>Pendiente</x:v>
      </x:c>
      <x:c r="H358" s="10"/>
      <x:c r="I358" s="10"/>
      <x:c r="J358" s="10"/>
      <x:c r="K358" s="10"/>
      <x:c r="L358" s="11"/>
      <x:c r="M358" s="12"/>
      <x:c r="N358" s="10"/>
    </x:row>
    <x:row r="359" ht="25" customHeight="1">
      <x:c r="A359" s="9" t="str">
        <x:v>QA-NVE-014</x:v>
      </x:c>
      <x:c r="B359" s="9" t="str">
        <x:v>NVE</x:v>
      </x:c>
      <x:c r="C359" s="9" t="str">
        <x:v>Boleta y tipos ajenos en conversión</x:v>
      </x:c>
      <x:c r="D359" s="9" t="str">
        <x:v>P0</x:v>
      </x:c>
      <x:c r="E359" s="9" t="str">
        <x:v>Negativa</x:v>
      </x:c>
      <x:c r="F359" s="9" t="str">
        <x:v>Navegador + HTTP + persistencia</x:v>
      </x:c>
      <x:c r="G359" s="10" t="str">
        <x:v>Pendiente</x:v>
      </x:c>
      <x:c r="H359" s="10"/>
      <x:c r="I359" s="10"/>
      <x:c r="J359" s="10"/>
      <x:c r="K359" s="10"/>
      <x:c r="L359" s="11"/>
      <x:c r="M359" s="12"/>
      <x:c r="N359" s="10"/>
    </x:row>
    <x:row r="360" ht="25" customHeight="1">
      <x:c r="A360" s="9" t="str">
        <x:v>QA-CAN-001</x:v>
      </x:c>
      <x:c r="B360" s="9" t="str">
        <x:v>CAN</x:v>
      </x:c>
      <x:c r="C360" s="9" t="str">
        <x:v>Comprobantes web: venta Factura 01</x:v>
      </x:c>
      <x:c r="D360" s="9" t="str">
        <x:v>P0</x:v>
      </x:c>
      <x:c r="E360" s="9" t="str">
        <x:v>Positiva</x:v>
      </x:c>
      <x:c r="F360" s="9" t="str">
        <x:v>Navegador + HTTP + persistencia</x:v>
      </x:c>
      <x:c r="G360" s="10" t="str">
        <x:v>Pendiente</x:v>
      </x:c>
      <x:c r="H360" s="10"/>
      <x:c r="I360" s="10"/>
      <x:c r="J360" s="10"/>
      <x:c r="K360" s="10"/>
      <x:c r="L360" s="11"/>
      <x:c r="M360" s="12"/>
      <x:c r="N360" s="10"/>
    </x:row>
    <x:row r="361" ht="25" customHeight="1">
      <x:c r="A361" s="9" t="str">
        <x:v>QA-CAN-002</x:v>
      </x:c>
      <x:c r="B361" s="9" t="str">
        <x:v>CAN</x:v>
      </x:c>
      <x:c r="C361" s="9" t="str">
        <x:v>Comprobantes web: venta Nota de venta 80</x:v>
      </x:c>
      <x:c r="D361" s="9" t="str">
        <x:v>P0</x:v>
      </x:c>
      <x:c r="E361" s="9" t="str">
        <x:v>Positiva</x:v>
      </x:c>
      <x:c r="F361" s="9" t="str">
        <x:v>Navegador + HTTP + persistencia</x:v>
      </x:c>
      <x:c r="G361" s="10" t="str">
        <x:v>Pendiente</x:v>
      </x:c>
      <x:c r="H361" s="10"/>
      <x:c r="I361" s="10"/>
      <x:c r="J361" s="10"/>
      <x:c r="K361" s="10"/>
      <x:c r="L361" s="11"/>
      <x:c r="M361" s="12"/>
      <x:c r="N361" s="10"/>
    </x:row>
    <x:row r="362" ht="25" customHeight="1">
      <x:c r="A362" s="9" t="str">
        <x:v>QA-CAN-003</x:v>
      </x:c>
      <x:c r="B362" s="9" t="str">
        <x:v>CAN</x:v>
      </x:c>
      <x:c r="C362" s="9" t="str">
        <x:v>POS: venta Factura 01</x:v>
      </x:c>
      <x:c r="D362" s="9" t="str">
        <x:v>P0</x:v>
      </x:c>
      <x:c r="E362" s="9" t="str">
        <x:v>Positiva</x:v>
      </x:c>
      <x:c r="F362" s="9" t="str">
        <x:v>Navegador + HTTP + persistencia</x:v>
      </x:c>
      <x:c r="G362" s="10" t="str">
        <x:v>Pendiente</x:v>
      </x:c>
      <x:c r="H362" s="10"/>
      <x:c r="I362" s="10"/>
      <x:c r="J362" s="10"/>
      <x:c r="K362" s="10"/>
      <x:c r="L362" s="11"/>
      <x:c r="M362" s="12"/>
      <x:c r="N362" s="10"/>
    </x:row>
    <x:row r="363" ht="25" customHeight="1">
      <x:c r="A363" s="9" t="str">
        <x:v>QA-CAN-004</x:v>
      </x:c>
      <x:c r="B363" s="9" t="str">
        <x:v>CAN</x:v>
      </x:c>
      <x:c r="C363" s="9" t="str">
        <x:v>POS: venta Nota de venta 80</x:v>
      </x:c>
      <x:c r="D363" s="9" t="str">
        <x:v>P0</x:v>
      </x:c>
      <x:c r="E363" s="9" t="str">
        <x:v>Positiva</x:v>
      </x:c>
      <x:c r="F363" s="9" t="str">
        <x:v>Navegador + HTTP + persistencia</x:v>
      </x:c>
      <x:c r="G363" s="10" t="str">
        <x:v>Pendiente</x:v>
      </x:c>
      <x:c r="H363" s="10"/>
      <x:c r="I363" s="10"/>
      <x:c r="J363" s="10"/>
      <x:c r="K363" s="10"/>
      <x:c r="L363" s="11"/>
      <x:c r="M363" s="12"/>
      <x:c r="N363" s="10"/>
    </x:row>
    <x:row r="364" ht="25" customHeight="1">
      <x:c r="A364" s="9" t="str">
        <x:v>QA-CAN-005</x:v>
      </x:c>
      <x:c r="B364" s="9" t="str">
        <x:v>CAN</x:v>
      </x:c>
      <x:c r="C364" s="9" t="str">
        <x:v>Vende Ya / Garage: venta Factura 01</x:v>
      </x:c>
      <x:c r="D364" s="9" t="str">
        <x:v>P0</x:v>
      </x:c>
      <x:c r="E364" s="9" t="str">
        <x:v>Positiva</x:v>
      </x:c>
      <x:c r="F364" s="9" t="str">
        <x:v>Navegador + HTTP + persistencia</x:v>
      </x:c>
      <x:c r="G364" s="10" t="str">
        <x:v>Pendiente</x:v>
      </x:c>
      <x:c r="H364" s="10"/>
      <x:c r="I364" s="10"/>
      <x:c r="J364" s="10"/>
      <x:c r="K364" s="10"/>
      <x:c r="L364" s="11"/>
      <x:c r="M364" s="12"/>
      <x:c r="N364" s="10"/>
    </x:row>
    <x:row r="365" ht="25" customHeight="1">
      <x:c r="A365" s="9" t="str">
        <x:v>QA-CAN-006</x:v>
      </x:c>
      <x:c r="B365" s="9" t="str">
        <x:v>CAN</x:v>
      </x:c>
      <x:c r="C365" s="9" t="str">
        <x:v>Vende Ya / Garage: venta Nota de venta 80</x:v>
      </x:c>
      <x:c r="D365" s="9" t="str">
        <x:v>P0</x:v>
      </x:c>
      <x:c r="E365" s="9" t="str">
        <x:v>Positiva</x:v>
      </x:c>
      <x:c r="F365" s="9" t="str">
        <x:v>Navegador + HTTP + persistencia</x:v>
      </x:c>
      <x:c r="G365" s="10" t="str">
        <x:v>Pendiente</x:v>
      </x:c>
      <x:c r="H365" s="10"/>
      <x:c r="I365" s="10"/>
      <x:c r="J365" s="10"/>
      <x:c r="K365" s="10"/>
      <x:c r="L365" s="11"/>
      <x:c r="M365" s="12"/>
      <x:c r="N365" s="10"/>
    </x:row>
    <x:row r="366" ht="25" customHeight="1">
      <x:c r="A366" s="9" t="str">
        <x:v>QA-CAN-007</x:v>
      </x:c>
      <x:c r="B366" s="9" t="str">
        <x:v>CAN</x:v>
      </x:c>
      <x:c r="C366" s="9" t="str">
        <x:v>Venta rápida: venta Factura 01</x:v>
      </x:c>
      <x:c r="D366" s="9" t="str">
        <x:v>P0</x:v>
      </x:c>
      <x:c r="E366" s="9" t="str">
        <x:v>Positiva</x:v>
      </x:c>
      <x:c r="F366" s="9" t="str">
        <x:v>Navegador + HTTP + persistencia</x:v>
      </x:c>
      <x:c r="G366" s="10" t="str">
        <x:v>Pendiente</x:v>
      </x:c>
      <x:c r="H366" s="10"/>
      <x:c r="I366" s="10"/>
      <x:c r="J366" s="10"/>
      <x:c r="K366" s="10"/>
      <x:c r="L366" s="11"/>
      <x:c r="M366" s="12"/>
      <x:c r="N366" s="10"/>
    </x:row>
    <x:row r="367" ht="25" customHeight="1">
      <x:c r="A367" s="9" t="str">
        <x:v>QA-CAN-008</x:v>
      </x:c>
      <x:c r="B367" s="9" t="str">
        <x:v>CAN</x:v>
      </x:c>
      <x:c r="C367" s="9" t="str">
        <x:v>Venta rápida: venta Nota de venta 80</x:v>
      </x:c>
      <x:c r="D367" s="9" t="str">
        <x:v>P0</x:v>
      </x:c>
      <x:c r="E367" s="9" t="str">
        <x:v>Positiva</x:v>
      </x:c>
      <x:c r="F367" s="9" t="str">
        <x:v>Navegador + HTTP + persistencia</x:v>
      </x:c>
      <x:c r="G367" s="10" t="str">
        <x:v>Pendiente</x:v>
      </x:c>
      <x:c r="H367" s="10"/>
      <x:c r="I367" s="10"/>
      <x:c r="J367" s="10"/>
      <x:c r="K367" s="10"/>
      <x:c r="L367" s="11"/>
      <x:c r="M367" s="12"/>
      <x:c r="N367" s="10"/>
    </x:row>
    <x:row r="368" ht="25" customHeight="1">
      <x:c r="A368" s="9" t="str">
        <x:v>QA-CAN-009</x:v>
      </x:c>
      <x:c r="B368" s="9" t="str">
        <x:v>CAN</x:v>
      </x:c>
      <x:c r="C368" s="9" t="str">
        <x:v>API de venta: venta Factura 01</x:v>
      </x:c>
      <x:c r="D368" s="9" t="str">
        <x:v>P0</x:v>
      </x:c>
      <x:c r="E368" s="9" t="str">
        <x:v>Positiva</x:v>
      </x:c>
      <x:c r="F368" s="9" t="str">
        <x:v>Navegador + HTTP + persistencia</x:v>
      </x:c>
      <x:c r="G368" s="10" t="str">
        <x:v>Pendiente</x:v>
      </x:c>
      <x:c r="H368" s="10"/>
      <x:c r="I368" s="10"/>
      <x:c r="J368" s="10"/>
      <x:c r="K368" s="10"/>
      <x:c r="L368" s="11"/>
      <x:c r="M368" s="12"/>
      <x:c r="N368" s="10"/>
    </x:row>
    <x:row r="369" ht="25" customHeight="1">
      <x:c r="A369" s="9" t="str">
        <x:v>QA-CAN-010</x:v>
      </x:c>
      <x:c r="B369" s="9" t="str">
        <x:v>CAN</x:v>
      </x:c>
      <x:c r="C369" s="9" t="str">
        <x:v>API de venta: venta Nota de venta 80</x:v>
      </x:c>
      <x:c r="D369" s="9" t="str">
        <x:v>P0</x:v>
      </x:c>
      <x:c r="E369" s="9" t="str">
        <x:v>Positiva</x:v>
      </x:c>
      <x:c r="F369" s="9" t="str">
        <x:v>Navegador + HTTP + persistencia</x:v>
      </x:c>
      <x:c r="G369" s="10" t="str">
        <x:v>Pendiente</x:v>
      </x:c>
      <x:c r="H369" s="10"/>
      <x:c r="I369" s="10"/>
      <x:c r="J369" s="10"/>
      <x:c r="K369" s="10"/>
      <x:c r="L369" s="11"/>
      <x:c r="M369" s="12"/>
      <x:c r="N369" s="10"/>
    </x:row>
    <x:row r="370" ht="25" customHeight="1">
      <x:c r="A370" s="9" t="str">
        <x:v>QA-CAN-011</x:v>
      </x:c>
      <x:c r="B370" s="9" t="str">
        <x:v>CAN</x:v>
      </x:c>
      <x:c r="C370" s="9" t="str">
        <x:v>Hotel: venta Factura 01</x:v>
      </x:c>
      <x:c r="D370" s="9" t="str">
        <x:v>P0</x:v>
      </x:c>
      <x:c r="E370" s="9" t="str">
        <x:v>Positiva</x:v>
      </x:c>
      <x:c r="F370" s="9" t="str">
        <x:v>Navegador + HTTP + persistencia</x:v>
      </x:c>
      <x:c r="G370" s="10" t="str">
        <x:v>Pendiente</x:v>
      </x:c>
      <x:c r="H370" s="10"/>
      <x:c r="I370" s="10"/>
      <x:c r="J370" s="10"/>
      <x:c r="K370" s="10"/>
      <x:c r="L370" s="11"/>
      <x:c r="M370" s="12"/>
      <x:c r="N370" s="10"/>
    </x:row>
    <x:row r="371" ht="25" customHeight="1">
      <x:c r="A371" s="9" t="str">
        <x:v>QA-CAN-012</x:v>
      </x:c>
      <x:c r="B371" s="9" t="str">
        <x:v>CAN</x:v>
      </x:c>
      <x:c r="C371" s="9" t="str">
        <x:v>Hotel: venta Nota de venta 80</x:v>
      </x:c>
      <x:c r="D371" s="9" t="str">
        <x:v>P0</x:v>
      </x:c>
      <x:c r="E371" s="9" t="str">
        <x:v>Positiva</x:v>
      </x:c>
      <x:c r="F371" s="9" t="str">
        <x:v>Navegador + HTTP + persistencia</x:v>
      </x:c>
      <x:c r="G371" s="10" t="str">
        <x:v>Pendiente</x:v>
      </x:c>
      <x:c r="H371" s="10"/>
      <x:c r="I371" s="10"/>
      <x:c r="J371" s="10"/>
      <x:c r="K371" s="10"/>
      <x:c r="L371" s="11"/>
      <x:c r="M371" s="12"/>
      <x:c r="N371" s="10"/>
    </x:row>
    <x:row r="372" ht="25" customHeight="1">
      <x:c r="A372" s="9" t="str">
        <x:v>QA-CAN-013</x:v>
      </x:c>
      <x:c r="B372" s="9" t="str">
        <x:v>CAN</x:v>
      </x:c>
      <x:c r="C372" s="9" t="str">
        <x:v>Restaurante: venta Factura 01</x:v>
      </x:c>
      <x:c r="D372" s="9" t="str">
        <x:v>P0</x:v>
      </x:c>
      <x:c r="E372" s="9" t="str">
        <x:v>Positiva</x:v>
      </x:c>
      <x:c r="F372" s="9" t="str">
        <x:v>Navegador + HTTP + persistencia</x:v>
      </x:c>
      <x:c r="G372" s="10" t="str">
        <x:v>Pendiente</x:v>
      </x:c>
      <x:c r="H372" s="10"/>
      <x:c r="I372" s="10"/>
      <x:c r="J372" s="10"/>
      <x:c r="K372" s="10"/>
      <x:c r="L372" s="11"/>
      <x:c r="M372" s="12"/>
      <x:c r="N372" s="10"/>
    </x:row>
    <x:row r="373" ht="25" customHeight="1">
      <x:c r="A373" s="9" t="str">
        <x:v>QA-CAN-014</x:v>
      </x:c>
      <x:c r="B373" s="9" t="str">
        <x:v>CAN</x:v>
      </x:c>
      <x:c r="C373" s="9" t="str">
        <x:v>Restaurante: venta Nota de venta 80</x:v>
      </x:c>
      <x:c r="D373" s="9" t="str">
        <x:v>P0</x:v>
      </x:c>
      <x:c r="E373" s="9" t="str">
        <x:v>Positiva</x:v>
      </x:c>
      <x:c r="F373" s="9" t="str">
        <x:v>Navegador + HTTP + persistencia</x:v>
      </x:c>
      <x:c r="G373" s="10" t="str">
        <x:v>Pendiente</x:v>
      </x:c>
      <x:c r="H373" s="10"/>
      <x:c r="I373" s="10"/>
      <x:c r="J373" s="10"/>
      <x:c r="K373" s="10"/>
      <x:c r="L373" s="11"/>
      <x:c r="M373" s="12"/>
      <x:c r="N373" s="10"/>
    </x:row>
    <x:row r="374" ht="25" customHeight="1">
      <x:c r="A374" s="9" t="str">
        <x:v>QA-CAN-015</x:v>
      </x:c>
      <x:c r="B374" s="9" t="str">
        <x:v>CAN</x:v>
      </x:c>
      <x:c r="C374" s="9" t="str">
        <x:v>Ecommerce: venta Factura 01</x:v>
      </x:c>
      <x:c r="D374" s="9" t="str">
        <x:v>P0</x:v>
      </x:c>
      <x:c r="E374" s="9" t="str">
        <x:v>Positiva</x:v>
      </x:c>
      <x:c r="F374" s="9" t="str">
        <x:v>Navegador + HTTP + persistencia</x:v>
      </x:c>
      <x:c r="G374" s="10" t="str">
        <x:v>Pendiente</x:v>
      </x:c>
      <x:c r="H374" s="10"/>
      <x:c r="I374" s="10"/>
      <x:c r="J374" s="10"/>
      <x:c r="K374" s="10"/>
      <x:c r="L374" s="11"/>
      <x:c r="M374" s="12"/>
      <x:c r="N374" s="10"/>
    </x:row>
    <x:row r="375" ht="25" customHeight="1">
      <x:c r="A375" s="9" t="str">
        <x:v>QA-CAN-016</x:v>
      </x:c>
      <x:c r="B375" s="9" t="str">
        <x:v>CAN</x:v>
      </x:c>
      <x:c r="C375" s="9" t="str">
        <x:v>Ecommerce: venta Nota de venta 80</x:v>
      </x:c>
      <x:c r="D375" s="9" t="str">
        <x:v>P0</x:v>
      </x:c>
      <x:c r="E375" s="9" t="str">
        <x:v>Positiva</x:v>
      </x:c>
      <x:c r="F375" s="9" t="str">
        <x:v>Navegador + HTTP + persistencia</x:v>
      </x:c>
      <x:c r="G375" s="10" t="str">
        <x:v>Pendiente</x:v>
      </x:c>
      <x:c r="H375" s="10"/>
      <x:c r="I375" s="10"/>
      <x:c r="J375" s="10"/>
      <x:c r="K375" s="10"/>
      <x:c r="L375" s="11"/>
      <x:c r="M375" s="12"/>
      <x:c r="N375" s="10"/>
    </x:row>
    <x:row r="376" ht="25" customHeight="1">
      <x:c r="A376" s="9" t="str">
        <x:v>QA-CAN-017</x:v>
      </x:c>
      <x:c r="B376" s="9" t="str">
        <x:v>CAN</x:v>
      </x:c>
      <x:c r="C376" s="9" t="str">
        <x:v>Mi Tienda / Store: venta Factura 01</x:v>
      </x:c>
      <x:c r="D376" s="9" t="str">
        <x:v>P0</x:v>
      </x:c>
      <x:c r="E376" s="9" t="str">
        <x:v>Positiva</x:v>
      </x:c>
      <x:c r="F376" s="9" t="str">
        <x:v>Navegador + HTTP + persistencia</x:v>
      </x:c>
      <x:c r="G376" s="10" t="str">
        <x:v>Pendiente</x:v>
      </x:c>
      <x:c r="H376" s="10"/>
      <x:c r="I376" s="10"/>
      <x:c r="J376" s="10"/>
      <x:c r="K376" s="10"/>
      <x:c r="L376" s="11"/>
      <x:c r="M376" s="12"/>
      <x:c r="N376" s="10"/>
    </x:row>
    <x:row r="377" ht="25" customHeight="1">
      <x:c r="A377" s="9" t="str">
        <x:v>QA-CAN-018</x:v>
      </x:c>
      <x:c r="B377" s="9" t="str">
        <x:v>CAN</x:v>
      </x:c>
      <x:c r="C377" s="9" t="str">
        <x:v>Mi Tienda / Store: venta Nota de venta 80</x:v>
      </x:c>
      <x:c r="D377" s="9" t="str">
        <x:v>P0</x:v>
      </x:c>
      <x:c r="E377" s="9" t="str">
        <x:v>Positiva</x:v>
      </x:c>
      <x:c r="F377" s="9" t="str">
        <x:v>Navegador + HTTP + persistencia</x:v>
      </x:c>
      <x:c r="G377" s="10" t="str">
        <x:v>Pendiente</x:v>
      </x:c>
      <x:c r="H377" s="10"/>
      <x:c r="I377" s="10"/>
      <x:c r="J377" s="10"/>
      <x:c r="K377" s="10"/>
      <x:c r="L377" s="11"/>
      <x:c r="M377" s="12"/>
      <x:c r="N377" s="10"/>
    </x:row>
    <x:row r="378" ht="25" customHeight="1">
      <x:c r="A378" s="9" t="str">
        <x:v>QA-CAN-019</x:v>
      </x:c>
      <x:c r="B378" s="9" t="str">
        <x:v>CAN</x:v>
      </x:c>
      <x:c r="C378" s="9" t="str">
        <x:v>Pedidos: venta Factura 01</x:v>
      </x:c>
      <x:c r="D378" s="9" t="str">
        <x:v>P0</x:v>
      </x:c>
      <x:c r="E378" s="9" t="str">
        <x:v>Positiva</x:v>
      </x:c>
      <x:c r="F378" s="9" t="str">
        <x:v>Navegador + HTTP + persistencia</x:v>
      </x:c>
      <x:c r="G378" s="10" t="str">
        <x:v>Pendiente</x:v>
      </x:c>
      <x:c r="H378" s="10"/>
      <x:c r="I378" s="10"/>
      <x:c r="J378" s="10"/>
      <x:c r="K378" s="10"/>
      <x:c r="L378" s="11"/>
      <x:c r="M378" s="12"/>
      <x:c r="N378" s="10"/>
    </x:row>
    <x:row r="379" ht="25" customHeight="1">
      <x:c r="A379" s="9" t="str">
        <x:v>QA-CAN-020</x:v>
      </x:c>
      <x:c r="B379" s="9" t="str">
        <x:v>CAN</x:v>
      </x:c>
      <x:c r="C379" s="9" t="str">
        <x:v>Pedidos: venta Nota de venta 80</x:v>
      </x:c>
      <x:c r="D379" s="9" t="str">
        <x:v>P0</x:v>
      </x:c>
      <x:c r="E379" s="9" t="str">
        <x:v>Positiva</x:v>
      </x:c>
      <x:c r="F379" s="9" t="str">
        <x:v>Navegador + HTTP + persistencia</x:v>
      </x:c>
      <x:c r="G379" s="10" t="str">
        <x:v>Pendiente</x:v>
      </x:c>
      <x:c r="H379" s="10"/>
      <x:c r="I379" s="10"/>
      <x:c r="J379" s="10"/>
      <x:c r="K379" s="10"/>
      <x:c r="L379" s="11"/>
      <x:c r="M379" s="12"/>
      <x:c r="N379" s="10"/>
    </x:row>
    <x:row r="380" ht="25" customHeight="1">
      <x:c r="A380" s="9" t="str">
        <x:v>QA-CAN-021</x:v>
      </x:c>
      <x:c r="B380" s="9" t="str">
        <x:v>CAN</x:v>
      </x:c>
      <x:c r="C380" s="9" t="str">
        <x:v>Servicio técnico: venta Factura 01</x:v>
      </x:c>
      <x:c r="D380" s="9" t="str">
        <x:v>P0</x:v>
      </x:c>
      <x:c r="E380" s="9" t="str">
        <x:v>Positiva</x:v>
      </x:c>
      <x:c r="F380" s="9" t="str">
        <x:v>Navegador + HTTP + persistencia</x:v>
      </x:c>
      <x:c r="G380" s="10" t="str">
        <x:v>Pendiente</x:v>
      </x:c>
      <x:c r="H380" s="10"/>
      <x:c r="I380" s="10"/>
      <x:c r="J380" s="10"/>
      <x:c r="K380" s="10"/>
      <x:c r="L380" s="11"/>
      <x:c r="M380" s="12"/>
      <x:c r="N380" s="10"/>
    </x:row>
    <x:row r="381" ht="25" customHeight="1">
      <x:c r="A381" s="9" t="str">
        <x:v>QA-CAN-022</x:v>
      </x:c>
      <x:c r="B381" s="9" t="str">
        <x:v>CAN</x:v>
      </x:c>
      <x:c r="C381" s="9" t="str">
        <x:v>Servicio técnico: venta Nota de venta nv</x:v>
      </x:c>
      <x:c r="D381" s="9" t="str">
        <x:v>P0</x:v>
      </x:c>
      <x:c r="E381" s="9" t="str">
        <x:v>Positiva</x:v>
      </x:c>
      <x:c r="F381" s="9" t="str">
        <x:v>Navegador + HTTP + persistencia</x:v>
      </x:c>
      <x:c r="G381" s="10" t="str">
        <x:v>Pendiente</x:v>
      </x:c>
      <x:c r="H381" s="10"/>
      <x:c r="I381" s="10"/>
      <x:c r="J381" s="10"/>
      <x:c r="K381" s="10"/>
      <x:c r="L381" s="11"/>
      <x:c r="M381" s="12"/>
      <x:c r="N381" s="10"/>
    </x:row>
    <x:row r="382" ht="25" customHeight="1">
      <x:c r="A382" s="9" t="str">
        <x:v>QA-CAN-023</x:v>
      </x:c>
      <x:c r="B382" s="9" t="str">
        <x:v>CAN</x:v>
      </x:c>
      <x:c r="C382" s="9" t="str">
        <x:v>WhatsApp Bot: venta Factura 01</x:v>
      </x:c>
      <x:c r="D382" s="9" t="str">
        <x:v>P0</x:v>
      </x:c>
      <x:c r="E382" s="9" t="str">
        <x:v>Positiva</x:v>
      </x:c>
      <x:c r="F382" s="9" t="str">
        <x:v>Navegador + HTTP + persistencia</x:v>
      </x:c>
      <x:c r="G382" s="10" t="str">
        <x:v>Pendiente</x:v>
      </x:c>
      <x:c r="H382" s="10"/>
      <x:c r="I382" s="10"/>
      <x:c r="J382" s="10"/>
      <x:c r="K382" s="10"/>
      <x:c r="L382" s="11"/>
      <x:c r="M382" s="12"/>
      <x:c r="N382" s="10"/>
    </x:row>
    <x:row r="383" ht="25" customHeight="1">
      <x:c r="A383" s="9" t="str">
        <x:v>QA-CAN-024</x:v>
      </x:c>
      <x:c r="B383" s="9" t="str">
        <x:v>CAN</x:v>
      </x:c>
      <x:c r="C383" s="9" t="str">
        <x:v>WhatsApp Bot: venta Nota de venta 80</x:v>
      </x:c>
      <x:c r="D383" s="9" t="str">
        <x:v>P0</x:v>
      </x:c>
      <x:c r="E383" s="9" t="str">
        <x:v>Positiva</x:v>
      </x:c>
      <x:c r="F383" s="9" t="str">
        <x:v>Navegador + HTTP + persistencia</x:v>
      </x:c>
      <x:c r="G383" s="10" t="str">
        <x:v>Pendiente</x:v>
      </x:c>
      <x:c r="H383" s="10"/>
      <x:c r="I383" s="10"/>
      <x:c r="J383" s="10"/>
      <x:c r="K383" s="10"/>
      <x:c r="L383" s="11"/>
      <x:c r="M383" s="12"/>
      <x:c r="N383" s="10"/>
    </x:row>
    <x:row r="384" ht="25" customHeight="1">
      <x:c r="A384" s="9" t="str">
        <x:v>QA-CAN-025</x:v>
      </x:c>
      <x:c r="B384" s="9" t="str">
        <x:v>CAN</x:v>
      </x:c>
      <x:c r="C384" s="9" t="str">
        <x:v>POS cambio de moneda</x:v>
      </x:c>
      <x:c r="D384" s="9" t="str">
        <x:v>P0</x:v>
      </x:c>
      <x:c r="E384" s="9" t="str">
        <x:v>Positiva</x:v>
      </x:c>
      <x:c r="F384" s="9" t="str">
        <x:v>Navegador + HTTP + persistencia</x:v>
      </x:c>
      <x:c r="G384" s="10" t="str">
        <x:v>Pendiente</x:v>
      </x:c>
      <x:c r="H384" s="10"/>
      <x:c r="I384" s="10"/>
      <x:c r="J384" s="10"/>
      <x:c r="K384" s="10"/>
      <x:c r="L384" s="11"/>
      <x:c r="M384" s="12"/>
      <x:c r="N384" s="10"/>
    </x:row>
    <x:row r="385" ht="25" customHeight="1">
      <x:c r="A385" s="9" t="str">
        <x:v>QA-CAN-026</x:v>
      </x:c>
      <x:c r="B385" s="9" t="str">
        <x:v>CAN</x:v>
      </x:c>
      <x:c r="C385" s="9" t="str">
        <x:v>POS efectivo sin denominaciones</x:v>
      </x:c>
      <x:c r="D385" s="9" t="str">
        <x:v>P1</x:v>
      </x:c>
      <x:c r="E385" s="9" t="str">
        <x:v>Positiva</x:v>
      </x:c>
      <x:c r="F385" s="9" t="str">
        <x:v>Navegador + HTTP + persistencia</x:v>
      </x:c>
      <x:c r="G385" s="10" t="str">
        <x:v>Pendiente</x:v>
      </x:c>
      <x:c r="H385" s="10"/>
      <x:c r="I385" s="10"/>
      <x:c r="J385" s="10"/>
      <x:c r="K385" s="10"/>
      <x:c r="L385" s="11"/>
      <x:c r="M385" s="12"/>
      <x:c r="N385" s="10"/>
    </x:row>
    <x:row r="386" ht="25" customHeight="1">
      <x:c r="A386" s="9" t="str">
        <x:v>QA-CAN-027</x:v>
      </x:c>
      <x:c r="B386" s="9" t="str">
        <x:v>CAN</x:v>
      </x:c>
      <x:c r="C386" s="9" t="str">
        <x:v>POS descuento con permiso</x:v>
      </x:c>
      <x:c r="D386" s="9" t="str">
        <x:v>P0</x:v>
      </x:c>
      <x:c r="E386" s="9" t="str">
        <x:v>Seguridad</x:v>
      </x:c>
      <x:c r="F386" s="9" t="str">
        <x:v>Navegador + HTTP + persistencia</x:v>
      </x:c>
      <x:c r="G386" s="10" t="str">
        <x:v>Pendiente</x:v>
      </x:c>
      <x:c r="H386" s="10"/>
      <x:c r="I386" s="10"/>
      <x:c r="J386" s="10"/>
      <x:c r="K386" s="10"/>
      <x:c r="L386" s="11"/>
      <x:c r="M386" s="12"/>
      <x:c r="N386" s="10"/>
    </x:row>
    <x:row r="387" ht="25" customHeight="1">
      <x:c r="A387" s="9" t="str">
        <x:v>QA-CAN-028</x:v>
      </x:c>
      <x:c r="B387" s="9" t="str">
        <x:v>CAN</x:v>
      </x:c>
      <x:c r="C387" s="9" t="str">
        <x:v>Garage conserva serie seleccionada</x:v>
      </x:c>
      <x:c r="D387" s="9" t="str">
        <x:v>P0</x:v>
      </x:c>
      <x:c r="E387" s="9" t="str">
        <x:v>Positiva</x:v>
      </x:c>
      <x:c r="F387" s="9" t="str">
        <x:v>Navegador + HTTP + persistencia</x:v>
      </x:c>
      <x:c r="G387" s="10" t="str">
        <x:v>Pendiente</x:v>
      </x:c>
      <x:c r="H387" s="10"/>
      <x:c r="I387" s="10"/>
      <x:c r="J387" s="10"/>
      <x:c r="K387" s="10"/>
      <x:c r="L387" s="11"/>
      <x:c r="M387" s="12"/>
      <x:c r="N387" s="10"/>
    </x:row>
    <x:row r="388" ht="25" customHeight="1">
      <x:c r="A388" s="9" t="str">
        <x:v>QA-CAN-029</x:v>
      </x:c>
      <x:c r="B388" s="9" t="str">
        <x:v>CAN</x:v>
      </x:c>
      <x:c r="C388" s="9" t="str">
        <x:v>POS sus pe nd id o y recuperado</x:v>
      </x:c>
      <x:c r="D388" s="9" t="str">
        <x:v>P1</x:v>
      </x:c>
      <x:c r="E388" s="9" t="str">
        <x:v>Positiva</x:v>
      </x:c>
      <x:c r="F388" s="9" t="str">
        <x:v>Navegador + HTTP + persistencia</x:v>
      </x:c>
      <x:c r="G388" s="10" t="str">
        <x:v>Pendiente</x:v>
      </x:c>
      <x:c r="H388" s="10"/>
      <x:c r="I388" s="10"/>
      <x:c r="J388" s="10"/>
      <x:c r="K388" s="10"/>
      <x:c r="L388" s="11"/>
      <x:c r="M388" s="12"/>
      <x:c r="N388" s="10"/>
    </x:row>
    <x:row r="389" ht="25" customHeight="1">
      <x:c r="A389" s="9" t="str">
        <x:v>QA-CAN-030</x:v>
      </x:c>
      <x:c r="B389" s="9" t="str">
        <x:v>CAN</x:v>
      </x:c>
      <x:c r="C389" s="9" t="str">
        <x:v>Hotel factura y NV presentación</x:v>
      </x:c>
      <x:c r="D389" s="9" t="str">
        <x:v>P1</x:v>
      </x:c>
      <x:c r="E389" s="9" t="str">
        <x:v>Positiva</x:v>
      </x:c>
      <x:c r="F389" s="9" t="str">
        <x:v>Navegador + HTTP + persistencia</x:v>
      </x:c>
      <x:c r="G389" s="10" t="str">
        <x:v>Pendiente</x:v>
      </x:c>
      <x:c r="H389" s="10"/>
      <x:c r="I389" s="10"/>
      <x:c r="J389" s="10"/>
      <x:c r="K389" s="10"/>
      <x:c r="L389" s="11"/>
      <x:c r="M389" s="12"/>
      <x:c r="N389" s="10"/>
    </x:row>
    <x:row r="390" ht="25" customHeight="1">
      <x:c r="A390" s="9" t="str">
        <x:v>QA-CAN-031</x:v>
      </x:c>
      <x:c r="B390" s="9" t="str">
        <x:v>CAN</x:v>
      </x:c>
      <x:c r="C390" s="9" t="str">
        <x:v>Restaurante consumos y propina</x:v>
      </x:c>
      <x:c r="D390" s="9" t="str">
        <x:v>P1</x:v>
      </x:c>
      <x:c r="E390" s="9" t="str">
        <x:v>Positiva</x:v>
      </x:c>
      <x:c r="F390" s="9" t="str">
        <x:v>Navegador + HTTP + persistencia</x:v>
      </x:c>
      <x:c r="G390" s="10" t="str">
        <x:v>Pendiente</x:v>
      </x:c>
      <x:c r="H390" s="10"/>
      <x:c r="I390" s="10"/>
      <x:c r="J390" s="10"/>
      <x:c r="K390" s="10"/>
      <x:c r="L390" s="11"/>
      <x:c r="M390" s="12"/>
      <x:c r="N390" s="10"/>
    </x:row>
    <x:row r="391" ht="25" customHeight="1">
      <x:c r="A391" s="9" t="str">
        <x:v>QA-CAN-032</x:v>
      </x:c>
      <x:c r="B391" s="9" t="str">
        <x:v>CAN</x:v>
      </x:c>
      <x:c r="C391" s="9" t="str">
        <x:v>Ecommerce precio manipulado</x:v>
      </x:c>
      <x:c r="D391" s="9" t="str">
        <x:v>P0</x:v>
      </x:c>
      <x:c r="E391" s="9" t="str">
        <x:v>Seguridad</x:v>
      </x:c>
      <x:c r="F391" s="9" t="str">
        <x:v>Navegador + HTTP + persistencia</x:v>
      </x:c>
      <x:c r="G391" s="10" t="str">
        <x:v>Pendiente</x:v>
      </x:c>
      <x:c r="H391" s="10"/>
      <x:c r="I391" s="10"/>
      <x:c r="J391" s="10"/>
      <x:c r="K391" s="10"/>
      <x:c r="L391" s="11"/>
      <x:c r="M391" s="12"/>
      <x:c r="N391" s="10"/>
    </x:row>
    <x:row r="392" ht="25" customHeight="1">
      <x:c r="A392" s="9" t="str">
        <x:v>QA-CAN-033</x:v>
      </x:c>
      <x:c r="B392" s="9" t="str">
        <x:v>CAN</x:v>
      </x:c>
      <x:c r="C392" s="9" t="str">
        <x:v>Ecommerce pago atribuido e idempotente</x:v>
      </x:c>
      <x:c r="D392" s="9" t="str">
        <x:v>P0</x:v>
      </x:c>
      <x:c r="E392" s="9" t="str">
        <x:v>Seguridad</x:v>
      </x:c>
      <x:c r="F392" s="9" t="str">
        <x:v>Navegador + HTTP + persistencia</x:v>
      </x:c>
      <x:c r="G392" s="10" t="str">
        <x:v>Pendiente</x:v>
      </x:c>
      <x:c r="H392" s="10"/>
      <x:c r="I392" s="10"/>
      <x:c r="J392" s="10"/>
      <x:c r="K392" s="10"/>
      <x:c r="L392" s="11"/>
      <x:c r="M392" s="12"/>
      <x:c r="N392" s="10"/>
    </x:row>
    <x:row r="393" ht="25" customHeight="1">
      <x:c r="A393" s="9" t="str">
        <x:v>QA-CAN-034</x:v>
      </x:c>
      <x:c r="B393" s="9" t="str">
        <x:v>CAN</x:v>
      </x:c>
      <x:c r="C393" s="9" t="str">
        <x:v>Mi Tienda sin serie de Boleta</x:v>
      </x:c>
      <x:c r="D393" s="9" t="str">
        <x:v>P1</x:v>
      </x:c>
      <x:c r="E393" s="9" t="str">
        <x:v>Positiva</x:v>
      </x:c>
      <x:c r="F393" s="9" t="str">
        <x:v>Navegador + HTTP + persistencia</x:v>
      </x:c>
      <x:c r="G393" s="10" t="str">
        <x:v>Pendiente</x:v>
      </x:c>
      <x:c r="H393" s="10"/>
      <x:c r="I393" s="10"/>
      <x:c r="J393" s="10"/>
      <x:c r="K393" s="10"/>
      <x:c r="L393" s="11"/>
      <x:c r="M393" s="12"/>
      <x:c r="N393" s="10"/>
    </x:row>
    <x:row r="394" ht="25" customHeight="1">
      <x:c r="A394" s="9" t="str">
        <x:v>QA-CAN-035</x:v>
      </x:c>
      <x:c r="B394" s="9" t="str">
        <x:v>CAN</x:v>
      </x:c>
      <x:c r="C394" s="9" t="str">
        <x:v>Servicio técnico alias nv</x:v>
      </x:c>
      <x:c r="D394" s="9" t="str">
        <x:v>P1</x:v>
      </x:c>
      <x:c r="E394" s="9" t="str">
        <x:v>Positiva</x:v>
      </x:c>
      <x:c r="F394" s="9" t="str">
        <x:v>Navegador + HTTP + persistencia</x:v>
      </x:c>
      <x:c r="G394" s="10" t="str">
        <x:v>Pendiente</x:v>
      </x:c>
      <x:c r="H394" s="10"/>
      <x:c r="I394" s="10"/>
      <x:c r="J394" s="10"/>
      <x:c r="K394" s="10"/>
      <x:c r="L394" s="11"/>
      <x:c r="M394" s="12"/>
      <x:c r="N394" s="10"/>
    </x:row>
    <x:row r="395" ht="25" customHeight="1">
      <x:c r="A395" s="9" t="str">
        <x:v>QA-CAN-036</x:v>
      </x:c>
      <x:c r="B395" s="9" t="str">
        <x:v>CAN</x:v>
      </x:c>
      <x:c r="C395" s="9" t="str">
        <x:v>Bot sin mensajes reales</x:v>
      </x:c>
      <x:c r="D395" s="9" t="str">
        <x:v>P0</x:v>
      </x:c>
      <x:c r="E395" s="9" t="str">
        <x:v>Simulación</x:v>
      </x:c>
      <x:c r="F395" s="9" t="str">
        <x:v>Navegador + HTTP + persistencia</x:v>
      </x:c>
      <x:c r="G395" s="10" t="str">
        <x:v>Pendiente</x:v>
      </x:c>
      <x:c r="H395" s="10"/>
      <x:c r="I395" s="10"/>
      <x:c r="J395" s="10"/>
      <x:c r="K395" s="10"/>
      <x:c r="L395" s="11"/>
      <x:c r="M395" s="12"/>
      <x:c r="N395" s="10"/>
    </x:row>
    <x:row r="396" ht="25" customHeight="1">
      <x:c r="A396" s="9" t="str">
        <x:v>QA-CAN-037</x:v>
      </x:c>
      <x:c r="B396" s="9" t="str">
        <x:v>CAN</x:v>
      </x:c>
      <x:c r="C396" s="9" t="str">
        <x:v>API/móvil DTO de documento</x:v>
      </x:c>
      <x:c r="D396" s="9" t="str">
        <x:v>P0</x:v>
      </x:c>
      <x:c r="E396" s="9" t="str">
        <x:v>Positiva</x:v>
      </x:c>
      <x:c r="F396" s="9" t="str">
        <x:v>Navegador + HTTP + persistencia</x:v>
      </x:c>
      <x:c r="G396" s="10" t="str">
        <x:v>Pendiente</x:v>
      </x:c>
      <x:c r="H396" s="10"/>
      <x:c r="I396" s="10"/>
      <x:c r="J396" s="10"/>
      <x:c r="K396" s="10"/>
      <x:c r="L396" s="11"/>
      <x:c r="M396" s="12"/>
      <x:c r="N396" s="10"/>
    </x:row>
    <x:row r="397" ht="25" customHeight="1">
      <x:c r="A397" s="9" t="str">
        <x:v>QA-CAN-038</x:v>
      </x:c>
      <x:c r="B397" s="9" t="str">
        <x:v>CAN</x:v>
      </x:c>
      <x:c r="C397" s="9" t="str">
        <x:v>Offline y sincronización</x:v>
      </x:c>
      <x:c r="D397" s="9" t="str">
        <x:v>P1</x:v>
      </x:c>
      <x:c r="E397" s="9" t="str">
        <x:v>Positiva</x:v>
      </x:c>
      <x:c r="F397" s="9" t="str">
        <x:v>Navegador + HTTP + persistencia</x:v>
      </x:c>
      <x:c r="G397" s="10" t="str">
        <x:v>Pendiente</x:v>
      </x:c>
      <x:c r="H397" s="10"/>
      <x:c r="I397" s="10"/>
      <x:c r="J397" s="10"/>
      <x:c r="K397" s="10"/>
      <x:c r="L397" s="11"/>
      <x:c r="M397" s="12"/>
      <x:c r="N397" s="10"/>
    </x:row>
    <x:row r="398" ht="25" customHeight="1">
      <x:c r="A398" s="9" t="str">
        <x:v>QA-CAN-039</x:v>
      </x:c>
      <x:c r="B398" s="9" t="str">
        <x:v>CAN</x:v>
      </x:c>
      <x:c r="C398" s="9" t="str">
        <x:v>Suscripciones y ventas periódicas</x:v>
      </x:c>
      <x:c r="D398" s="9" t="str">
        <x:v>P1</x:v>
      </x:c>
      <x:c r="E398" s="9" t="str">
        <x:v>Positiva</x:v>
      </x:c>
      <x:c r="F398" s="9" t="str">
        <x:v>Navegador + HTTP + persistencia</x:v>
      </x:c>
      <x:c r="G398" s="10" t="str">
        <x:v>Pendiente</x:v>
      </x:c>
      <x:c r="H398" s="10"/>
      <x:c r="I398" s="10"/>
      <x:c r="J398" s="10"/>
      <x:c r="K398" s="10"/>
      <x:c r="L398" s="11"/>
      <x:c r="M398" s="12"/>
      <x:c r="N398" s="10"/>
    </x:row>
    <x:row r="399" ht="25" customHeight="1">
      <x:c r="A399" s="9" t="str">
        <x:v>QA-CAN-040</x:v>
      </x:c>
      <x:c r="B399" s="9" t="str">
        <x:v>CAN</x:v>
      </x:c>
      <x:c r="C399" s="9" t="str">
        <x:v>Consignación y anticipos de otros módulos</x:v>
      </x:c>
      <x:c r="D399" s="9" t="str">
        <x:v>P0</x:v>
      </x:c>
      <x:c r="E399" s="9" t="str">
        <x:v>Positiva</x:v>
      </x:c>
      <x:c r="F399" s="9" t="str">
        <x:v>Navegador + HTTP + persistencia</x:v>
      </x:c>
      <x:c r="G399" s="10" t="str">
        <x:v>Pendiente</x:v>
      </x:c>
      <x:c r="H399" s="10"/>
      <x:c r="I399" s="10"/>
      <x:c r="J399" s="10"/>
      <x:c r="K399" s="10"/>
      <x:c r="L399" s="11"/>
      <x:c r="M399" s="12"/>
      <x:c r="N399" s="10"/>
    </x:row>
    <x:row r="400" ht="25" customHeight="1">
      <x:c r="A400" s="9" t="str">
        <x:v>QA-API-001</x:v>
      </x:c>
      <x:c r="B400" s="9" t="str">
        <x:v>API</x:v>
      </x:c>
      <x:c r="C400" s="9" t="str">
        <x:v>Creación externa de Factura</x:v>
      </x:c>
      <x:c r="D400" s="9" t="str">
        <x:v>P0</x:v>
      </x:c>
      <x:c r="E400" s="9" t="str">
        <x:v>Positiva</x:v>
      </x:c>
      <x:c r="F400" s="9" t="str">
        <x:v>Navegador + HTTP + persistencia</x:v>
      </x:c>
      <x:c r="G400" s="10" t="str">
        <x:v>Pendiente</x:v>
      </x:c>
      <x:c r="H400" s="10"/>
      <x:c r="I400" s="10"/>
      <x:c r="J400" s="10"/>
      <x:c r="K400" s="10"/>
      <x:c r="L400" s="11"/>
      <x:c r="M400" s="12"/>
      <x:c r="N400" s="10"/>
    </x:row>
    <x:row r="401" ht="25" customHeight="1">
      <x:c r="A401" s="9" t="str">
        <x:v>QA-API-002</x:v>
      </x:c>
      <x:c r="B401" s="9" t="str">
        <x:v>API</x:v>
      </x:c>
      <x:c r="C401" s="9" t="str">
        <x:v>Creación NC/ND por API</x:v>
      </x:c>
      <x:c r="D401" s="9" t="str">
        <x:v>P1</x:v>
      </x:c>
      <x:c r="E401" s="9" t="str">
        <x:v>Positiva</x:v>
      </x:c>
      <x:c r="F401" s="9" t="str">
        <x:v>Navegador + HTTP + persistencia</x:v>
      </x:c>
      <x:c r="G401" s="10" t="str">
        <x:v>Pendiente</x:v>
      </x:c>
      <x:c r="H401" s="10"/>
      <x:c r="I401" s="10"/>
      <x:c r="J401" s="10"/>
      <x:c r="K401" s="10"/>
      <x:c r="L401" s="11"/>
      <x:c r="M401" s="12"/>
      <x:c r="N401" s="10"/>
    </x:row>
    <x:row r="402" ht="25" customHeight="1">
      <x:c r="A402" s="9" t="str">
        <x:v>QA-API-003</x:v>
      </x:c>
      <x:c r="B402" s="9" t="str">
        <x:v>API</x:v>
      </x:c>
      <x:c r="C402" s="9" t="str">
        <x:v>Payload incompleto o JSON inválido</x:v>
      </x:c>
      <x:c r="D402" s="9" t="str">
        <x:v>P1</x:v>
      </x:c>
      <x:c r="E402" s="9" t="str">
        <x:v>Negativa</x:v>
      </x:c>
      <x:c r="F402" s="9" t="str">
        <x:v>Navegador + HTTP + persistencia</x:v>
      </x:c>
      <x:c r="G402" s="10" t="str">
        <x:v>Pendiente</x:v>
      </x:c>
      <x:c r="H402" s="10"/>
      <x:c r="I402" s="10"/>
      <x:c r="J402" s="10"/>
      <x:c r="K402" s="10"/>
      <x:c r="L402" s="11"/>
      <x:c r="M402" s="12"/>
      <x:c r="N402" s="10"/>
    </x:row>
    <x:row r="403" ht="25" customHeight="1">
      <x:c r="A403" s="9" t="str">
        <x:v>QA-API-004</x:v>
      </x:c>
      <x:c r="B403" s="9" t="str">
        <x:v>API</x:v>
      </x:c>
      <x:c r="C403" s="9" t="str">
        <x:v>Campos desconocidos y retirados</x:v>
      </x:c>
      <x:c r="D403" s="9" t="str">
        <x:v>P1</x:v>
      </x:c>
      <x:c r="E403" s="9" t="str">
        <x:v>Negativa</x:v>
      </x:c>
      <x:c r="F403" s="9" t="str">
        <x:v>Navegador + HTTP + persistencia</x:v>
      </x:c>
      <x:c r="G403" s="10" t="str">
        <x:v>Pendiente</x:v>
      </x:c>
      <x:c r="H403" s="10"/>
      <x:c r="I403" s="10"/>
      <x:c r="J403" s="10"/>
      <x:c r="K403" s="10"/>
      <x:c r="L403" s="11"/>
      <x:c r="M403" s="12"/>
      <x:c r="N403" s="10"/>
    </x:row>
    <x:row r="404" ht="25" customHeight="1">
      <x:c r="A404" s="9" t="str">
        <x:v>QA-API-005</x:v>
      </x:c>
      <x:c r="B404" s="9" t="str">
        <x:v>API</x:v>
      </x:c>
      <x:c r="C404" s="9" t="str">
        <x:v>Token sin alcance o inválido</x:v>
      </x:c>
      <x:c r="D404" s="9" t="str">
        <x:v>P0</x:v>
      </x:c>
      <x:c r="E404" s="9" t="str">
        <x:v>Seguridad</x:v>
      </x:c>
      <x:c r="F404" s="9" t="str">
        <x:v>Navegador + HTTP + persistencia</x:v>
      </x:c>
      <x:c r="G404" s="10" t="str">
        <x:v>Pendiente</x:v>
      </x:c>
      <x:c r="H404" s="10"/>
      <x:c r="I404" s="10"/>
      <x:c r="J404" s="10"/>
      <x:c r="K404" s="10"/>
      <x:c r="L404" s="11"/>
      <x:c r="M404" s="12"/>
      <x:c r="N404" s="10"/>
    </x:row>
    <x:row r="405" ht="25" customHeight="1">
      <x:c r="A405" s="9" t="str">
        <x:v>QA-API-006</x:v>
      </x:c>
      <x:c r="B405" s="9" t="str">
        <x:v>API</x:v>
      </x:c>
      <x:c r="C405" s="9" t="str">
        <x:v>Repetir misma creación HTTP</x:v>
      </x:c>
      <x:c r="D405" s="9" t="str">
        <x:v>P0</x:v>
      </x:c>
      <x:c r="E405" s="9" t="str">
        <x:v>Concurrencia</x:v>
      </x:c>
      <x:c r="F405" s="9" t="str">
        <x:v>Navegador + HTTP + persistencia</x:v>
      </x:c>
      <x:c r="G405" s="10" t="str">
        <x:v>Pendiente</x:v>
      </x:c>
      <x:c r="H405" s="10"/>
      <x:c r="I405" s="10"/>
      <x:c r="J405" s="10"/>
      <x:c r="K405" s="10"/>
      <x:c r="L405" s="11"/>
      <x:c r="M405" s="12"/>
      <x:c r="N405" s="10"/>
    </x:row>
    <x:row r="406" ht="25" customHeight="1">
      <x:c r="A406" s="9" t="str">
        <x:v>QA-API-007</x:v>
      </x:c>
      <x:c r="B406" s="9" t="str">
        <x:v>API</x:v>
      </x:c>
      <x:c r="C406" s="9" t="str">
        <x:v>API rechaza exportación/terceros</x:v>
      </x:c>
      <x:c r="D406" s="9" t="str">
        <x:v>P0</x:v>
      </x:c>
      <x:c r="E406" s="9" t="str">
        <x:v>Negativa</x:v>
      </x:c>
      <x:c r="F406" s="9" t="str">
        <x:v>Navegador + HTTP + persistencia</x:v>
      </x:c>
      <x:c r="G406" s="10" t="str">
        <x:v>Pendiente</x:v>
      </x:c>
      <x:c r="H406" s="10"/>
      <x:c r="I406" s="10"/>
      <x:c r="J406" s="10"/>
      <x:c r="K406" s="10"/>
      <x:c r="L406" s="11"/>
      <x:c r="M406" s="12"/>
      <x:c r="N406" s="10"/>
    </x:row>
    <x:row r="407" ht="25" customHeight="1">
      <x:c r="A407" s="9" t="str">
        <x:v>QA-API-008</x:v>
      </x:c>
      <x:c r="B407" s="9" t="str">
        <x:v>API</x:v>
      </x:c>
      <x:c r="C407" s="9" t="str">
        <x:v>Datos sensibles anidados</x:v>
      </x:c>
      <x:c r="D407" s="9" t="str">
        <x:v>P0</x:v>
      </x:c>
      <x:c r="E407" s="9" t="str">
        <x:v>Seguridad</x:v>
      </x:c>
      <x:c r="F407" s="9" t="str">
        <x:v>Navegador + HTTP + persistencia</x:v>
      </x:c>
      <x:c r="G407" s="10" t="str">
        <x:v>Pendiente</x:v>
      </x:c>
      <x:c r="H407" s="10"/>
      <x:c r="I407" s="10"/>
      <x:c r="J407" s="10"/>
      <x:c r="K407" s="10"/>
      <x:c r="L407" s="11"/>
      <x:c r="M407" s="12"/>
      <x:c r="N407" s="10"/>
    </x:row>
    <x:row r="408" ht="25" customHeight="1">
      <x:c r="A408" s="9" t="str">
        <x:v>QA-IMP-001</x:v>
      </x:c>
      <x:c r="B408" s="9" t="str">
        <x:v>IMP</x:v>
      </x:c>
      <x:c r="C408" s="9" t="str">
        <x:v>Descargar plantillas actuales</x:v>
      </x:c>
      <x:c r="D408" s="9" t="str">
        <x:v>P1</x:v>
      </x:c>
      <x:c r="E408" s="9" t="str">
        <x:v>Positiva</x:v>
      </x:c>
      <x:c r="F408" s="9" t="str">
        <x:v>Navegador + HTTP + persistencia</x:v>
      </x:c>
      <x:c r="G408" s="10" t="str">
        <x:v>Pendiente</x:v>
      </x:c>
      <x:c r="H408" s="10"/>
      <x:c r="I408" s="10"/>
      <x:c r="J408" s="10"/>
      <x:c r="K408" s="10"/>
      <x:c r="L408" s="11"/>
      <x:c r="M408" s="12"/>
      <x:c r="N408" s="10"/>
    </x:row>
    <x:row r="409" ht="25" customHeight="1">
      <x:c r="A409" s="9" t="str">
        <x:v>QA-IMP-002</x:v>
      </x:c>
      <x:c r="B409" s="9" t="str">
        <x:v>IMP</x:v>
      </x:c>
      <x:c r="C409" s="9" t="str">
        <x:v>Importación documento válido</x:v>
      </x:c>
      <x:c r="D409" s="9" t="str">
        <x:v>P0</x:v>
      </x:c>
      <x:c r="E409" s="9" t="str">
        <x:v>Positiva</x:v>
      </x:c>
      <x:c r="F409" s="9" t="str">
        <x:v>Navegador + HTTP + persistencia</x:v>
      </x:c>
      <x:c r="G409" s="10" t="str">
        <x:v>Pendiente</x:v>
      </x:c>
      <x:c r="H409" s="10"/>
      <x:c r="I409" s="10"/>
      <x:c r="J409" s="10"/>
      <x:c r="K409" s="10"/>
      <x:c r="L409" s="11"/>
      <x:c r="M409" s="12"/>
      <x:c r="N409" s="10"/>
    </x:row>
    <x:row r="410" ht="25" customHeight="1">
      <x:c r="A410" s="9" t="str">
        <x:v>QA-IMP-003</x:v>
      </x:c>
      <x:c r="B410" s="9" t="str">
        <x:v>IMP</x:v>
      </x:c>
      <x:c r="C410" s="9" t="str">
        <x:v>Segundo formato válido</x:v>
      </x:c>
      <x:c r="D410" s="9" t="str">
        <x:v>P1</x:v>
      </x:c>
      <x:c r="E410" s="9" t="str">
        <x:v>Positiva</x:v>
      </x:c>
      <x:c r="F410" s="9" t="str">
        <x:v>Navegador + HTTP + persistencia</x:v>
      </x:c>
      <x:c r="G410" s="10" t="str">
        <x:v>Pendiente</x:v>
      </x:c>
      <x:c r="H410" s="10"/>
      <x:c r="I410" s="10"/>
      <x:c r="J410" s="10"/>
      <x:c r="K410" s="10"/>
      <x:c r="L410" s="11"/>
      <x:c r="M410" s="12"/>
      <x:c r="N410" s="10"/>
    </x:row>
    <x:row r="411" ht="25" customHeight="1">
      <x:c r="A411" s="9" t="str">
        <x:v>QA-IMP-004</x:v>
      </x:c>
      <x:c r="B411" s="9" t="str">
        <x:v>IMP</x:v>
      </x:c>
      <x:c r="C411" s="9" t="str">
        <x:v>Importación Excel de comprobantes</x:v>
      </x:c>
      <x:c r="D411" s="9" t="str">
        <x:v>P1</x:v>
      </x:c>
      <x:c r="E411" s="9" t="str">
        <x:v>Positiva</x:v>
      </x:c>
      <x:c r="F411" s="9" t="str">
        <x:v>Navegador + HTTP + persistencia</x:v>
      </x:c>
      <x:c r="G411" s="10" t="str">
        <x:v>Pendiente</x:v>
      </x:c>
      <x:c r="H411" s="10"/>
      <x:c r="I411" s="10"/>
      <x:c r="J411" s="10"/>
      <x:c r="K411" s="10"/>
      <x:c r="L411" s="11"/>
      <x:c r="M411" s="12"/>
      <x:c r="N411" s="10"/>
    </x:row>
    <x:row r="412" ht="25" customHeight="1">
      <x:c r="A412" s="9" t="str">
        <x:v>QA-IMP-005</x:v>
      </x:c>
      <x:c r="B412" s="9" t="str">
        <x:v>IMP</x:v>
      </x:c>
      <x:c r="C412" s="9" t="str">
        <x:v>Fila inválida y archivo mixto</x:v>
      </x:c>
      <x:c r="D412" s="9" t="str">
        <x:v>P0</x:v>
      </x:c>
      <x:c r="E412" s="9" t="str">
        <x:v>Negativa</x:v>
      </x:c>
      <x:c r="F412" s="9" t="str">
        <x:v>Navegador + HTTP + persistencia</x:v>
      </x:c>
      <x:c r="G412" s="10" t="str">
        <x:v>Pendiente</x:v>
      </x:c>
      <x:c r="H412" s="10"/>
      <x:c r="I412" s="10"/>
      <x:c r="J412" s="10"/>
      <x:c r="K412" s="10"/>
      <x:c r="L412" s="11"/>
      <x:c r="M412" s="12"/>
      <x:c r="N412" s="10"/>
    </x:row>
    <x:row r="413" ht="25" customHeight="1">
      <x:c r="A413" s="9" t="str">
        <x:v>QA-IMP-006</x:v>
      </x:c>
      <x:c r="B413" s="9" t="str">
        <x:v>IMP</x:v>
      </x:c>
      <x:c r="C413" s="9" t="str">
        <x:v>Reimportación y duplicado</x:v>
      </x:c>
      <x:c r="D413" s="9" t="str">
        <x:v>P0</x:v>
      </x:c>
      <x:c r="E413" s="9" t="str">
        <x:v>Concurrencia</x:v>
      </x:c>
      <x:c r="F413" s="9" t="str">
        <x:v>Navegador + HTTP + persistencia</x:v>
      </x:c>
      <x:c r="G413" s="10" t="str">
        <x:v>Pendiente</x:v>
      </x:c>
      <x:c r="H413" s="10"/>
      <x:c r="I413" s="10"/>
      <x:c r="J413" s="10"/>
      <x:c r="K413" s="10"/>
      <x:c r="L413" s="11"/>
      <x:c r="M413" s="12"/>
      <x:c r="N413" s="10"/>
    </x:row>
    <x:row r="414" ht="25" customHeight="1">
      <x:c r="A414" s="9" t="str">
        <x:v>QA-IMP-007</x:v>
      </x:c>
      <x:c r="B414" s="9" t="str">
        <x:v>IMP</x:v>
      </x:c>
      <x:c r="C414" s="9" t="str">
        <x:v>Serie vacía y con guiones en importación</x:v>
      </x:c>
      <x:c r="D414" s="9" t="str">
        <x:v>P1</x:v>
      </x:c>
      <x:c r="E414" s="9" t="str">
        <x:v>Positiva</x:v>
      </x:c>
      <x:c r="F414" s="9" t="str">
        <x:v>Navegador + HTTP + persistencia</x:v>
      </x:c>
      <x:c r="G414" s="10" t="str">
        <x:v>Pendiente</x:v>
      </x:c>
      <x:c r="H414" s="10"/>
      <x:c r="I414" s="10"/>
      <x:c r="J414" s="10"/>
      <x:c r="K414" s="10"/>
      <x:c r="L414" s="11"/>
      <x:c r="M414" s="12"/>
      <x:c r="N414" s="10"/>
    </x:row>
    <x:row r="415" ht="25" customHeight="1">
      <x:c r="A415" s="9" t="str">
        <x:v>QA-IMP-008</x:v>
      </x:c>
      <x:c r="B415" s="9" t="str">
        <x:v>IMP</x:v>
      </x:c>
      <x:c r="C415" s="9" t="str">
        <x:v>Exportación/terceros importados no habilitados</x:v>
      </x:c>
      <x:c r="D415" s="9" t="str">
        <x:v>P0</x:v>
      </x:c>
      <x:c r="E415" s="9" t="str">
        <x:v>Negativa</x:v>
      </x:c>
      <x:c r="F415" s="9" t="str">
        <x:v>Navegador + HTTP + persistencia</x:v>
      </x:c>
      <x:c r="G415" s="10" t="str">
        <x:v>Pendiente</x:v>
      </x:c>
      <x:c r="H415" s="10"/>
      <x:c r="I415" s="10"/>
      <x:c r="J415" s="10"/>
      <x:c r="K415" s="10"/>
      <x:c r="L415" s="11"/>
      <x:c r="M415" s="12"/>
      <x:c r="N415" s="10"/>
    </x:row>
    <x:row r="416" ht="25" customHeight="1">
      <x:c r="A416" s="9" t="str">
        <x:v>QA-IMP-009</x:v>
      </x:c>
      <x:c r="B416" s="9" t="str">
        <x:v>IMP</x:v>
      </x:c>
      <x:c r="C416" s="9" t="str">
        <x:v>Masiva superadmin carga y proceso</x:v>
      </x:c>
      <x:c r="D416" s="9" t="str">
        <x:v>P0</x:v>
      </x:c>
      <x:c r="E416" s="9" t="str">
        <x:v>Positiva</x:v>
      </x:c>
      <x:c r="F416" s="9" t="str">
        <x:v>Navegador + HTTP + persistencia</x:v>
      </x:c>
      <x:c r="G416" s="10" t="str">
        <x:v>Pendiente</x:v>
      </x:c>
      <x:c r="H416" s="10"/>
      <x:c r="I416" s="10"/>
      <x:c r="J416" s="10"/>
      <x:c r="K416" s="10"/>
      <x:c r="L416" s="11"/>
      <x:c r="M416" s="12"/>
      <x:c r="N416" s="10"/>
    </x:row>
    <x:row r="417" ht="25" customHeight="1">
      <x:c r="A417" s="9" t="str">
        <x:v>QA-IMP-010</x:v>
      </x:c>
      <x:c r="B417" s="9" t="str">
        <x:v>IMP</x:v>
      </x:c>
      <x:c r="C417" s="9" t="str">
        <x:v>Masiva errores parciales y acceso</x:v>
      </x:c>
      <x:c r="D417" s="9" t="str">
        <x:v>P0</x:v>
      </x:c>
      <x:c r="E417" s="9" t="str">
        <x:v>Negativa</x:v>
      </x:c>
      <x:c r="F417" s="9" t="str">
        <x:v>Navegador + HTTP + persistencia</x:v>
      </x:c>
      <x:c r="G417" s="10" t="str">
        <x:v>Pendiente</x:v>
      </x:c>
      <x:c r="H417" s="10"/>
      <x:c r="I417" s="10"/>
      <x:c r="J417" s="10"/>
      <x:c r="K417" s="10"/>
      <x:c r="L417" s="11"/>
      <x:c r="M417" s="12"/>
      <x:c r="N417" s="10"/>
    </x:row>
    <x:row r="418" ht="25" customHeight="1">
      <x:c r="A418" s="9" t="str">
        <x:v>QA-IMP-011</x:v>
      </x:c>
      <x:c r="B418" s="9" t="str">
        <x:v>IMP</x:v>
      </x:c>
      <x:c r="C418" s="9" t="str">
        <x:v>Masiva PDF y exportación de resultados</x:v>
      </x:c>
      <x:c r="D418" s="9" t="str">
        <x:v>P1</x:v>
      </x:c>
      <x:c r="E418" s="9" t="str">
        <x:v>Positiva</x:v>
      </x:c>
      <x:c r="F418" s="9" t="str">
        <x:v>Navegador + HTTP + persistencia</x:v>
      </x:c>
      <x:c r="G418" s="10" t="str">
        <x:v>Pendiente</x:v>
      </x:c>
      <x:c r="H418" s="10"/>
      <x:c r="I418" s="10"/>
      <x:c r="J418" s="10"/>
      <x:c r="K418" s="10"/>
      <x:c r="L418" s="11"/>
      <x:c r="M418" s="12"/>
      <x:c r="N418" s="10"/>
    </x:row>
    <x:row r="419" ht="25" customHeight="1">
      <x:c r="A419" s="9" t="str">
        <x:v>QA-IMP-012</x:v>
      </x:c>
      <x:c r="B419" s="9" t="str">
        <x:v>IMP</x:v>
      </x:c>
      <x:c r="C419" s="9" t="str">
        <x:v>Archivo indebido y volumen</x:v>
      </x:c>
      <x:c r="D419" s="9" t="str">
        <x:v>P1</x:v>
      </x:c>
      <x:c r="E419" s="9" t="str">
        <x:v>Negativa</x:v>
      </x:c>
      <x:c r="F419" s="9" t="str">
        <x:v>Navegador + HTTP + persistencia</x:v>
      </x:c>
      <x:c r="G419" s="10" t="str">
        <x:v>Pendiente</x:v>
      </x:c>
      <x:c r="H419" s="10"/>
      <x:c r="I419" s="10"/>
      <x:c r="J419" s="10"/>
      <x:c r="K419" s="10"/>
      <x:c r="L419" s="11"/>
      <x:c r="M419" s="12"/>
      <x:c r="N419" s="10"/>
    </x:row>
    <x:row r="420" ht="25" customHeight="1">
      <x:c r="A420" s="9" t="str">
        <x:v>QA-ANU-001</x:v>
      </x:c>
      <x:c r="B420" s="9" t="str">
        <x:v>ANU</x:v>
      </x:c>
      <x:c r="C420" s="9" t="str">
        <x:v>Anulación local y estado</x:v>
      </x:c>
      <x:c r="D420" s="9" t="str">
        <x:v>P0</x:v>
      </x:c>
      <x:c r="E420" s="9" t="str">
        <x:v>Positiva</x:v>
      </x:c>
      <x:c r="F420" s="9" t="str">
        <x:v>Navegador + HTTP + persistencia</x:v>
      </x:c>
      <x:c r="G420" s="10" t="str">
        <x:v>Pendiente</x:v>
      </x:c>
      <x:c r="H420" s="10"/>
      <x:c r="I420" s="10"/>
      <x:c r="J420" s="10"/>
      <x:c r="K420" s="10"/>
      <x:c r="L420" s="11"/>
      <x:c r="M420" s="12"/>
      <x:c r="N420" s="10"/>
    </x:row>
    <x:row r="421" ht="25" customHeight="1">
      <x:c r="A421" s="9" t="str">
        <x:v>QA-ANU-002</x:v>
      </x:c>
      <x:c r="B421" s="9" t="str">
        <x:v>ANU</x:v>
      </x:c>
      <x:c r="C421" s="9" t="str">
        <x:v>Anulado prevalece sobre confirmed</x:v>
      </x:c>
      <x:c r="D421" s="9" t="str">
        <x:v>P0</x:v>
      </x:c>
      <x:c r="E421" s="9" t="str">
        <x:v>Negativa</x:v>
      </x:c>
      <x:c r="F421" s="9" t="str">
        <x:v>Navegador + HTTP + persistencia</x:v>
      </x:c>
      <x:c r="G421" s="10" t="str">
        <x:v>Pendiente</x:v>
      </x:c>
      <x:c r="H421" s="10"/>
      <x:c r="I421" s="10"/>
      <x:c r="J421" s="10"/>
      <x:c r="K421" s="10"/>
      <x:c r="L421" s="11"/>
      <x:c r="M421" s="12"/>
      <x:c r="N421" s="10"/>
    </x:row>
    <x:row r="422" ht="25" customHeight="1">
      <x:c r="A422" s="9" t="str">
        <x:v>QA-ANU-003</x:v>
      </x:c>
      <x:c r="B422" s="9" t="str">
        <x:v>ANU</x:v>
      </x:c>
      <x:c r="C422" s="9" t="str">
        <x:v>Restricción por fecha de anulación</x:v>
      </x:c>
      <x:c r="D422" s="9" t="str">
        <x:v>P1</x:v>
      </x:c>
      <x:c r="E422" s="9" t="str">
        <x:v>Negativa</x:v>
      </x:c>
      <x:c r="F422" s="9" t="str">
        <x:v>Navegador + HTTP + persistencia</x:v>
      </x:c>
      <x:c r="G422" s="10" t="str">
        <x:v>Pendiente</x:v>
      </x:c>
      <x:c r="H422" s="10"/>
      <x:c r="I422" s="10"/>
      <x:c r="J422" s="10"/>
      <x:c r="K422" s="10"/>
      <x:c r="L422" s="11"/>
      <x:c r="M422" s="12"/>
      <x:c r="N422" s="10"/>
    </x:row>
    <x:row r="423" ht="25" customHeight="1">
      <x:c r="A423" s="9" t="str">
        <x:v>QA-ANU-004</x:v>
      </x:c>
      <x:c r="B423" s="9" t="str">
        <x:v>ANU</x:v>
      </x:c>
      <x:c r="C423" s="9" t="str">
        <x:v>Solicitud por anular y cancelación local</x:v>
      </x:c>
      <x:c r="D423" s="9" t="str">
        <x:v>P1</x:v>
      </x:c>
      <x:c r="E423" s="9" t="str">
        <x:v>Positiva</x:v>
      </x:c>
      <x:c r="F423" s="9" t="str">
        <x:v>Navegador + HTTP + persistencia</x:v>
      </x:c>
      <x:c r="G423" s="10" t="str">
        <x:v>Pendiente</x:v>
      </x:c>
      <x:c r="H423" s="10"/>
      <x:c r="I423" s="10"/>
      <x:c r="J423" s="10"/>
      <x:c r="K423" s="10"/>
      <x:c r="L423" s="11"/>
      <x:c r="M423" s="12"/>
      <x:c r="N423" s="10"/>
    </x:row>
    <x:row r="424" ht="25" customHeight="1">
      <x:c r="A424" s="9" t="str">
        <x:v>QA-ANU-005</x:v>
      </x:c>
      <x:c r="B424" s="9" t="str">
        <x:v>ANU</x:v>
      </x:c>
      <x:c r="C424" s="9" t="str">
        <x:v>Anulación repetida/concurrente</x:v>
      </x:c>
      <x:c r="D424" s="9" t="str">
        <x:v>P0</x:v>
      </x:c>
      <x:c r="E424" s="9" t="str">
        <x:v>Concurrencia</x:v>
      </x:c>
      <x:c r="F424" s="9" t="str">
        <x:v>Navegador + HTTP + persistencia</x:v>
      </x:c>
      <x:c r="G424" s="10" t="str">
        <x:v>Pendiente</x:v>
      </x:c>
      <x:c r="H424" s="10"/>
      <x:c r="I424" s="10"/>
      <x:c r="J424" s="10"/>
      <x:c r="K424" s="10"/>
      <x:c r="L424" s="11"/>
      <x:c r="M424" s="12"/>
      <x:c r="N424" s="10"/>
    </x:row>
    <x:row r="425" ht="25" customHeight="1">
      <x:c r="A425" s="9" t="str">
        <x:v>QA-ANU-006</x:v>
      </x:c>
      <x:c r="B425" s="9" t="str">
        <x:v>ANU</x:v>
      </x:c>
      <x:c r="C425" s="9" t="str">
        <x:v>Recrear o registrar estado</x:v>
      </x:c>
      <x:c r="D425" s="9" t="str">
        <x:v>P0</x:v>
      </x:c>
      <x:c r="E425" s="9" t="str">
        <x:v>Positiva</x:v>
      </x:c>
      <x:c r="F425" s="9" t="str">
        <x:v>Navegador + HTTP + persistencia</x:v>
      </x:c>
      <x:c r="G425" s="10" t="str">
        <x:v>Pendiente</x:v>
      </x:c>
      <x:c r="H425" s="10"/>
      <x:c r="I425" s="10"/>
      <x:c r="J425" s="10"/>
      <x:c r="K425" s="10"/>
      <x:c r="L425" s="11"/>
      <x:c r="M425" s="12"/>
      <x:c r="N425" s="10"/>
    </x:row>
    <x:row r="426" ht="25" customHeight="1">
      <x:c r="A426" s="9" t="str">
        <x:v>QA-ANU-007</x:v>
      </x:c>
      <x:c r="B426" s="9" t="str">
        <x:v>ANU</x:v>
      </x:c>
      <x:c r="C426" s="9" t="str">
        <x:v>Eliminar documento con relaciones</x:v>
      </x:c>
      <x:c r="D426" s="9" t="str">
        <x:v>P0</x:v>
      </x:c>
      <x:c r="E426" s="9" t="str">
        <x:v>Negativa</x:v>
      </x:c>
      <x:c r="F426" s="9" t="str">
        <x:v>Navegador + HTTP + persistencia</x:v>
      </x:c>
      <x:c r="G426" s="10" t="str">
        <x:v>Pendiente</x:v>
      </x:c>
      <x:c r="H426" s="10"/>
      <x:c r="I426" s="10"/>
      <x:c r="J426" s="10"/>
      <x:c r="K426" s="10"/>
      <x:c r="L426" s="11"/>
      <x:c r="M426" s="12"/>
      <x:c r="N426" s="10"/>
    </x:row>
    <x:row r="427" ht="25" customHeight="1">
      <x:c r="A427" s="9" t="str">
        <x:v>QA-ANU-008</x:v>
      </x:c>
      <x:c r="B427" s="9" t="str">
        <x:v>ANU</x:v>
      </x:c>
      <x:c r="C427" s="9" t="str">
        <x:v>Herramienta de eliminación de datos DEMO</x:v>
      </x:c>
      <x:c r="D427" s="9" t="str">
        <x:v>P0</x:v>
      </x:c>
      <x:c r="E427" s="9" t="str">
        <x:v>Positiva</x:v>
      </x:c>
      <x:c r="F427" s="9" t="str">
        <x:v>Navegador + HTTP + persistencia</x:v>
      </x:c>
      <x:c r="G427" s="10" t="str">
        <x:v>Pendiente</x:v>
      </x:c>
      <x:c r="H427" s="10"/>
      <x:c r="I427" s="10"/>
      <x:c r="J427" s="10"/>
      <x:c r="K427" s="10"/>
      <x:c r="L427" s="11"/>
      <x:c r="M427" s="12"/>
      <x:c r="N427" s="10"/>
    </x:row>
    <x:row r="428" ht="25" customHeight="1">
      <x:c r="A428" s="9" t="str">
        <x:v>QA-ANU-009</x:v>
      </x:c>
      <x:c r="B428" s="9" t="str">
        <x:v>ANU</x:v>
      </x:c>
      <x:c r="C428" s="9" t="str">
        <x:v>Permisos de anular/recrear/eliminar</x:v>
      </x:c>
      <x:c r="D428" s="9" t="str">
        <x:v>P0</x:v>
      </x:c>
      <x:c r="E428" s="9" t="str">
        <x:v>Seguridad</x:v>
      </x:c>
      <x:c r="F428" s="9" t="str">
        <x:v>Navegador + HTTP + persistencia</x:v>
      </x:c>
      <x:c r="G428" s="10" t="str">
        <x:v>Pendiente</x:v>
      </x:c>
      <x:c r="H428" s="10"/>
      <x:c r="I428" s="10"/>
      <x:c r="J428" s="10"/>
      <x:c r="K428" s="10"/>
      <x:c r="L428" s="11"/>
      <x:c r="M428" s="12"/>
      <x:c r="N428" s="10"/>
    </x:row>
    <x:row r="429" ht="25" customHeight="1">
      <x:c r="A429" s="9" t="str">
        <x:v>QA-FIN-001</x:v>
      </x:c>
      <x:c r="B429" s="9" t="str">
        <x:v>FIN</x:v>
      </x:c>
      <x:c r="C429" s="9" t="str">
        <x:v>Conciliar venta, cobro y saldo</x:v>
      </x:c>
      <x:c r="D429" s="9" t="str">
        <x:v>P0</x:v>
      </x:c>
      <x:c r="E429" s="9" t="str">
        <x:v>Positiva</x:v>
      </x:c>
      <x:c r="F429" s="9" t="str">
        <x:v>Navegador + HTTP + persistencia</x:v>
      </x:c>
      <x:c r="G429" s="10" t="str">
        <x:v>Pendiente</x:v>
      </x:c>
      <x:c r="H429" s="10"/>
      <x:c r="I429" s="10"/>
      <x:c r="J429" s="10"/>
      <x:c r="K429" s="10"/>
      <x:c r="L429" s="11"/>
      <x:c r="M429" s="12"/>
      <x:c r="N429" s="10"/>
    </x:row>
    <x:row r="430" ht="25" customHeight="1">
      <x:c r="A430" s="9" t="str">
        <x:v>QA-FIN-002</x:v>
      </x:c>
      <x:c r="B430" s="9" t="str">
        <x:v>FIN</x:v>
      </x:c>
      <x:c r="C430" s="9" t="str">
        <x:v>Cierre de caja y bancos</x:v>
      </x:c>
      <x:c r="D430" s="9" t="str">
        <x:v>P0</x:v>
      </x:c>
      <x:c r="E430" s="9" t="str">
        <x:v>Positiva</x:v>
      </x:c>
      <x:c r="F430" s="9" t="str">
        <x:v>Navegador + HTTP + persistencia</x:v>
      </x:c>
      <x:c r="G430" s="10" t="str">
        <x:v>Pendiente</x:v>
      </x:c>
      <x:c r="H430" s="10"/>
      <x:c r="I430" s="10"/>
      <x:c r="J430" s="10"/>
      <x:c r="K430" s="10"/>
      <x:c r="L430" s="11"/>
      <x:c r="M430" s="12"/>
      <x:c r="N430" s="10"/>
    </x:row>
    <x:row r="431" ht="25" customHeight="1">
      <x:c r="A431" s="9" t="str">
        <x:v>QA-FIN-003</x:v>
      </x:c>
      <x:c r="B431" s="9" t="str">
        <x:v>FIN</x:v>
      </x:c>
      <x:c r="C431" s="9" t="str">
        <x:v>Recibos IGTF no duplican ingreso</x:v>
      </x:c>
      <x:c r="D431" s="9" t="str">
        <x:v>P0</x:v>
      </x:c>
      <x:c r="E431" s="9" t="str">
        <x:v>Positiva</x:v>
      </x:c>
      <x:c r="F431" s="9" t="str">
        <x:v>Navegador + HTTP + persistencia</x:v>
      </x:c>
      <x:c r="G431" s="10" t="str">
        <x:v>Pendiente</x:v>
      </x:c>
      <x:c r="H431" s="10"/>
      <x:c r="I431" s="10"/>
      <x:c r="J431" s="10"/>
      <x:c r="K431" s="10"/>
      <x:c r="L431" s="11"/>
      <x:c r="M431" s="12"/>
      <x:c r="N431" s="10"/>
    </x:row>
    <x:row r="432" ht="25" customHeight="1">
      <x:c r="A432" s="9" t="str">
        <x:v>QA-FIN-004</x:v>
      </x:c>
      <x:c r="B432" s="9" t="str">
        <x:v>FIN</x:v>
      </x:c>
      <x:c r="C432" s="9" t="str">
        <x:v>Reversión cambia reportes</x:v>
      </x:c>
      <x:c r="D432" s="9" t="str">
        <x:v>P0</x:v>
      </x:c>
      <x:c r="E432" s="9" t="str">
        <x:v>Positiva</x:v>
      </x:c>
      <x:c r="F432" s="9" t="str">
        <x:v>Navegador + HTTP + persistencia</x:v>
      </x:c>
      <x:c r="G432" s="10" t="str">
        <x:v>Pendiente</x:v>
      </x:c>
      <x:c r="H432" s="10"/>
      <x:c r="I432" s="10"/>
      <x:c r="J432" s="10"/>
      <x:c r="K432" s="10"/>
      <x:c r="L432" s="11"/>
      <x:c r="M432" s="12"/>
      <x:c r="N432" s="10"/>
    </x:row>
    <x:row r="433" ht="25" customHeight="1">
      <x:c r="A433" s="9" t="str">
        <x:v>QA-FIN-005</x:v>
      </x:c>
      <x:c r="B433" s="9" t="str">
        <x:v>FIN</x:v>
      </x:c>
      <x:c r="C433" s="9" t="str">
        <x:v>Facturas crédito y vencimientos</x:v>
      </x:c>
      <x:c r="D433" s="9" t="str">
        <x:v>P1</x:v>
      </x:c>
      <x:c r="E433" s="9" t="str">
        <x:v>Positiva</x:v>
      </x:c>
      <x:c r="F433" s="9" t="str">
        <x:v>Navegador + HTTP + persistencia</x:v>
      </x:c>
      <x:c r="G433" s="10" t="str">
        <x:v>Pendiente</x:v>
      </x:c>
      <x:c r="H433" s="10"/>
      <x:c r="I433" s="10"/>
      <x:c r="J433" s="10"/>
      <x:c r="K433" s="10"/>
      <x:c r="L433" s="11"/>
      <x:c r="M433" s="12"/>
      <x:c r="N433" s="10"/>
    </x:row>
    <x:row r="434" ht="25" customHeight="1">
      <x:c r="A434" s="9" t="str">
        <x:v>QA-FIN-006</x:v>
      </x:c>
      <x:c r="B434" s="9" t="str">
        <x:v>FIN</x:v>
      </x:c>
      <x:c r="C434" s="9" t="str">
        <x:v>Filtrar sucursal, usuario y moneda</x:v>
      </x:c>
      <x:c r="D434" s="9" t="str">
        <x:v>P0</x:v>
      </x:c>
      <x:c r="E434" s="9" t="str">
        <x:v>Positiva</x:v>
      </x:c>
      <x:c r="F434" s="9" t="str">
        <x:v>Navegador + HTTP + persistencia</x:v>
      </x:c>
      <x:c r="G434" s="10" t="str">
        <x:v>Pendiente</x:v>
      </x:c>
      <x:c r="H434" s="10"/>
      <x:c r="I434" s="10"/>
      <x:c r="J434" s="10"/>
      <x:c r="K434" s="10"/>
      <x:c r="L434" s="11"/>
      <x:c r="M434" s="12"/>
      <x:c r="N434" s="10"/>
    </x:row>
    <x:row r="435" ht="25" customHeight="1">
      <x:c r="A435" s="9" t="str">
        <x:v>QA-FIN-007</x:v>
      </x:c>
      <x:c r="B435" s="9" t="str">
        <x:v>FIN</x:v>
      </x:c>
      <x:c r="C435" s="9" t="str">
        <x:v>Todos los reportes de ventas</x:v>
      </x:c>
      <x:c r="D435" s="9" t="str">
        <x:v>P1</x:v>
      </x:c>
      <x:c r="E435" s="9" t="str">
        <x:v>Positiva</x:v>
      </x:c>
      <x:c r="F435" s="9" t="str">
        <x:v>Navegador + HTTP + persistencia</x:v>
      </x:c>
      <x:c r="G435" s="10" t="str">
        <x:v>Pendiente</x:v>
      </x:c>
      <x:c r="H435" s="10"/>
      <x:c r="I435" s="10"/>
      <x:c r="J435" s="10"/>
      <x:c r="K435" s="10"/>
      <x:c r="L435" s="11"/>
      <x:c r="M435" s="12"/>
      <x:c r="N435" s="10"/>
    </x:row>
    <x:row r="436" ht="25" customHeight="1">
      <x:c r="A436" s="9" t="str">
        <x:v>QA-FIN-008</x:v>
      </x:c>
      <x:c r="B436" s="9" t="str">
        <x:v>FIN</x:v>
      </x:c>
      <x:c r="C436" s="9" t="str">
        <x:v>Histórico con tasa actual distinta</x:v>
      </x:c>
      <x:c r="D436" s="9" t="str">
        <x:v>P0</x:v>
      </x:c>
      <x:c r="E436" s="9" t="str">
        <x:v>Positiva</x:v>
      </x:c>
      <x:c r="F436" s="9" t="str">
        <x:v>Navegador + HTTP + persistencia</x:v>
      </x:c>
      <x:c r="G436" s="10" t="str">
        <x:v>Pendiente</x:v>
      </x:c>
      <x:c r="H436" s="10"/>
      <x:c r="I436" s="10"/>
      <x:c r="J436" s="10"/>
      <x:c r="K436" s="10"/>
      <x:c r="L436" s="11"/>
      <x:c r="M436" s="12"/>
      <x:c r="N436" s="10"/>
    </x:row>
    <x:row r="437" ht="25" customHeight="1">
      <x:c r="A437" s="9" t="str">
        <x:v>QA-FIN-009</x:v>
      </x:c>
      <x:c r="B437" s="9" t="str">
        <x:v>FIN</x:v>
      </x:c>
      <x:c r="C437" s="9" t="str">
        <x:v>Estados anulados y notas en reportes</x:v>
      </x:c>
      <x:c r="D437" s="9" t="str">
        <x:v>P0</x:v>
      </x:c>
      <x:c r="E437" s="9" t="str">
        <x:v>Positiva</x:v>
      </x:c>
      <x:c r="F437" s="9" t="str">
        <x:v>Navegador + HTTP + persistencia</x:v>
      </x:c>
      <x:c r="G437" s="10" t="str">
        <x:v>Pendiente</x:v>
      </x:c>
      <x:c r="H437" s="10"/>
      <x:c r="I437" s="10"/>
      <x:c r="J437" s="10"/>
      <x:c r="K437" s="10"/>
      <x:c r="L437" s="11"/>
      <x:c r="M437" s="12"/>
      <x:c r="N437" s="10"/>
    </x:row>
    <x:row r="438" ht="25" customHeight="1">
      <x:c r="A438" s="9" t="str">
        <x:v>QA-FIN-010</x:v>
      </x:c>
      <x:c r="B438" s="9" t="str">
        <x:v>FIN</x:v>
      </x:c>
      <x:c r="C438" s="9" t="str">
        <x:v>Límites de fechas y zona horaria</x:v>
      </x:c>
      <x:c r="D438" s="9" t="str">
        <x:v>P1</x:v>
      </x:c>
      <x:c r="E438" s="9" t="str">
        <x:v>Positiva</x:v>
      </x:c>
      <x:c r="F438" s="9" t="str">
        <x:v>Navegador + HTTP + persistencia</x:v>
      </x:c>
      <x:c r="G438" s="10" t="str">
        <x:v>Pendiente</x:v>
      </x:c>
      <x:c r="H438" s="10"/>
      <x:c r="I438" s="10"/>
      <x:c r="J438" s="10"/>
      <x:c r="K438" s="10"/>
      <x:c r="L438" s="11"/>
      <x:c r="M438" s="12"/>
      <x:c r="N438" s="10"/>
    </x:row>
    <x:row r="439" ht="25" customHeight="1">
      <x:c r="A439" s="9" t="str">
        <x:v>QA-SEG-001</x:v>
      </x:c>
      <x:c r="B439" s="9" t="str">
        <x:v>SEG</x:v>
      </x:c>
      <x:c r="C439" s="9" t="str">
        <x:v>Dos tenants con IDs iguales</x:v>
      </x:c>
      <x:c r="D439" s="9" t="str">
        <x:v>P0</x:v>
      </x:c>
      <x:c r="E439" s="9" t="str">
        <x:v>Seguridad</x:v>
      </x:c>
      <x:c r="F439" s="9" t="str">
        <x:v>Navegador + HTTP + persistencia</x:v>
      </x:c>
      <x:c r="G439" s="10" t="str">
        <x:v>Pendiente</x:v>
      </x:c>
      <x:c r="H439" s="10"/>
      <x:c r="I439" s="10"/>
      <x:c r="J439" s="10"/>
      <x:c r="K439" s="10"/>
      <x:c r="L439" s="11"/>
      <x:c r="M439" s="12"/>
      <x:c r="N439" s="10"/>
    </x:row>
    <x:row r="440" ht="25" customHeight="1">
      <x:c r="A440" s="9" t="str">
        <x:v>QA-SEG-002</x:v>
      </x:c>
      <x:c r="B440" s="9" t="str">
        <x:v>SEG</x:v>
      </x:c>
      <x:c r="C440" s="9" t="str">
        <x:v>Sucursal ajena</x:v>
      </x:c>
      <x:c r="D440" s="9" t="str">
        <x:v>P0</x:v>
      </x:c>
      <x:c r="E440" s="9" t="str">
        <x:v>Seguridad</x:v>
      </x:c>
      <x:c r="F440" s="9" t="str">
        <x:v>Navegador + HTTP + persistencia</x:v>
      </x:c>
      <x:c r="G440" s="10" t="str">
        <x:v>Pendiente</x:v>
      </x:c>
      <x:c r="H440" s="10"/>
      <x:c r="I440" s="10"/>
      <x:c r="J440" s="10"/>
      <x:c r="K440" s="10"/>
      <x:c r="L440" s="11"/>
      <x:c r="M440" s="12"/>
      <x:c r="N440" s="10"/>
    </x:row>
    <x:row r="441" ht="25" customHeight="1">
      <x:c r="A441" s="9" t="str">
        <x:v>QA-SEG-003</x:v>
      </x:c>
      <x:c r="B441" s="9" t="str">
        <x:v>SEG</x:v>
      </x:c>
      <x:c r="C441" s="9" t="str">
        <x:v>Visitante y sesión expirada</x:v>
      </x:c>
      <x:c r="D441" s="9" t="str">
        <x:v>P0</x:v>
      </x:c>
      <x:c r="E441" s="9" t="str">
        <x:v>Seguridad</x:v>
      </x:c>
      <x:c r="F441" s="9" t="str">
        <x:v>Navegador + HTTP + persistencia</x:v>
      </x:c>
      <x:c r="G441" s="10" t="str">
        <x:v>Pendiente</x:v>
      </x:c>
      <x:c r="H441" s="10"/>
      <x:c r="I441" s="10"/>
      <x:c r="J441" s="10"/>
      <x:c r="K441" s="10"/>
      <x:c r="L441" s="11"/>
      <x:c r="M441" s="12"/>
      <x:c r="N441" s="10"/>
    </x:row>
    <x:row r="442" ht="25" customHeight="1">
      <x:c r="A442" s="9" t="str">
        <x:v>QA-SEG-004</x:v>
      </x:c>
      <x:c r="B442" s="9" t="str">
        <x:v>SEG</x:v>
      </x:c>
      <x:c r="C442" s="9" t="str">
        <x:v>CSRF y verbos de HKA</x:v>
      </x:c>
      <x:c r="D442" s="9" t="str">
        <x:v>P0</x:v>
      </x:c>
      <x:c r="E442" s="9" t="str">
        <x:v>Seguridad</x:v>
      </x:c>
      <x:c r="F442" s="9" t="str">
        <x:v>Navegador + HTTP + persistencia</x:v>
      </x:c>
      <x:c r="G442" s="10" t="str">
        <x:v>Pendiente</x:v>
      </x:c>
      <x:c r="H442" s="10"/>
      <x:c r="I442" s="10"/>
      <x:c r="J442" s="10"/>
      <x:c r="K442" s="10"/>
      <x:c r="L442" s="11"/>
      <x:c r="M442" s="12"/>
      <x:c r="N442" s="10"/>
    </x:row>
    <x:row r="443" ht="25" customHeight="1">
      <x:c r="A443" s="9" t="str">
        <x:v>QA-SEG-005</x:v>
      </x:c>
      <x:c r="B443" s="9" t="str">
        <x:v>SEG</x:v>
      </x:c>
      <x:c r="C443" s="9" t="str">
        <x:v>Integrador y permisos de usuario</x:v>
      </x:c>
      <x:c r="D443" s="9" t="str">
        <x:v>P0</x:v>
      </x:c>
      <x:c r="E443" s="9" t="str">
        <x:v>Seguridad</x:v>
      </x:c>
      <x:c r="F443" s="9" t="str">
        <x:v>Navegador + HTTP + persistencia</x:v>
      </x:c>
      <x:c r="G443" s="10" t="str">
        <x:v>Pendiente</x:v>
      </x:c>
      <x:c r="H443" s="10"/>
      <x:c r="I443" s="10"/>
      <x:c r="J443" s="10"/>
      <x:c r="K443" s="10"/>
      <x:c r="L443" s="11"/>
      <x:c r="M443" s="12"/>
      <x:c r="N443" s="10"/>
    </x:row>
    <x:row r="444" ht="25" customHeight="1">
      <x:c r="A444" s="9" t="str">
        <x:v>QA-SEG-006</x:v>
      </x:c>
      <x:c r="B444" s="9" t="str">
        <x:v>SEG</x:v>
      </x:c>
      <x:c r="C444" s="9" t="str">
        <x:v>Enlace público digital con UUID</x:v>
      </x:c>
      <x:c r="D444" s="9" t="str">
        <x:v>P0</x:v>
      </x:c>
      <x:c r="E444" s="9" t="str">
        <x:v>Seguridad</x:v>
      </x:c>
      <x:c r="F444" s="9" t="str">
        <x:v>Navegador + HTTP + persistencia</x:v>
      </x:c>
      <x:c r="G444" s="10" t="str">
        <x:v>Pendiente</x:v>
      </x:c>
      <x:c r="H444" s="10"/>
      <x:c r="I444" s="10"/>
      <x:c r="J444" s="10"/>
      <x:c r="K444" s="10"/>
      <x:c r="L444" s="11"/>
      <x:c r="M444" s="12"/>
      <x:c r="N444" s="10"/>
    </x:row>
    <x:row r="445" ht="25" customHeight="1">
      <x:c r="A445" s="9" t="str">
        <x:v>QA-SEG-007</x:v>
      </x:c>
      <x:c r="B445" s="9" t="str">
        <x:v>SEG</x:v>
      </x:c>
      <x:c r="C445" s="9" t="str">
        <x:v>Nombre de archivo no es acceso</x:v>
      </x:c>
      <x:c r="D445" s="9" t="str">
        <x:v>P0</x:v>
      </x:c>
      <x:c r="E445" s="9" t="str">
        <x:v>Seguridad</x:v>
      </x:c>
      <x:c r="F445" s="9" t="str">
        <x:v>Navegador + HTTP + persistencia</x:v>
      </x:c>
      <x:c r="G445" s="10" t="str">
        <x:v>Pendiente</x:v>
      </x:c>
      <x:c r="H445" s="10"/>
      <x:c r="I445" s="10"/>
      <x:c r="J445" s="10"/>
      <x:c r="K445" s="10"/>
      <x:c r="L445" s="11"/>
      <x:c r="M445" s="12"/>
      <x:c r="N445" s="10"/>
    </x:row>
    <x:row r="446" ht="25" customHeight="1">
      <x:c r="A446" s="9" t="str">
        <x:v>QA-SEG-008</x:v>
      </x:c>
      <x:c r="B446" s="9" t="str">
        <x:v>SEG</x:v>
      </x:c>
      <x:c r="C446" s="9" t="str">
        <x:v>XSS en textos y diagnósticos</x:v>
      </x:c>
      <x:c r="D446" s="9" t="str">
        <x:v>P0</x:v>
      </x:c>
      <x:c r="E446" s="9" t="str">
        <x:v>Seguridad</x:v>
      </x:c>
      <x:c r="F446" s="9" t="str">
        <x:v>Navegador + HTTP + persistencia</x:v>
      </x:c>
      <x:c r="G446" s="10" t="str">
        <x:v>Pendiente</x:v>
      </x:c>
      <x:c r="H446" s="10"/>
      <x:c r="I446" s="10"/>
      <x:c r="J446" s="10"/>
      <x:c r="K446" s="10"/>
      <x:c r="L446" s="11"/>
      <x:c r="M446" s="12"/>
      <x:c r="N446" s="10"/>
    </x:row>
    <x:row r="447" ht="25" customHeight="1">
      <x:c r="A447" s="9" t="str">
        <x:v>QA-SEG-009</x:v>
      </x:c>
      <x:c r="B447" s="9" t="str">
        <x:v>SEG</x:v>
      </x:c>
      <x:c r="C447" s="9" t="str">
        <x:v>Archivos y URLs no autorizadas</x:v>
      </x:c>
      <x:c r="D447" s="9" t="str">
        <x:v>P0</x:v>
      </x:c>
      <x:c r="E447" s="9" t="str">
        <x:v>Seguridad</x:v>
      </x:c>
      <x:c r="F447" s="9" t="str">
        <x:v>Navegador + HTTP + persistencia</x:v>
      </x:c>
      <x:c r="G447" s="10" t="str">
        <x:v>Pendiente</x:v>
      </x:c>
      <x:c r="H447" s="10"/>
      <x:c r="I447" s="10"/>
      <x:c r="J447" s="10"/>
      <x:c r="K447" s="10"/>
      <x:c r="L447" s="11"/>
      <x:c r="M447" s="12"/>
      <x:c r="N447" s="10"/>
    </x:row>
    <x:row r="448" ht="25" customHeight="1">
      <x:c r="A448" s="9" t="str">
        <x:v>QA-SEG-010</x:v>
      </x:c>
      <x:c r="B448" s="9" t="str">
        <x:v>SEG</x:v>
      </x:c>
      <x:c r="C448" s="9" t="str">
        <x:v>Datos sanitizados en informes/logs</x:v>
      </x:c>
      <x:c r="D448" s="9" t="str">
        <x:v>P0</x:v>
      </x:c>
      <x:c r="E448" s="9" t="str">
        <x:v>Seguridad</x:v>
      </x:c>
      <x:c r="F448" s="9" t="str">
        <x:v>Navegador + HTTP + persistencia</x:v>
      </x:c>
      <x:c r="G448" s="10" t="str">
        <x:v>Pendiente</x:v>
      </x:c>
      <x:c r="H448" s="10"/>
      <x:c r="I448" s="10"/>
      <x:c r="J448" s="10"/>
      <x:c r="K448" s="10"/>
      <x:c r="L448" s="11"/>
      <x:c r="M448" s="12"/>
      <x:c r="N448" s="10"/>
    </x:row>
    <x:row r="449" ht="25" customHeight="1">
      <x:c r="A449" s="9" t="str">
        <x:v>QA-SEG-011</x:v>
      </x:c>
      <x:c r="B449" s="9" t="str">
        <x:v>SEG</x:v>
      </x:c>
      <x:c r="C449" s="9" t="str">
        <x:v>Carrera de autorización antes/después PDF</x:v>
      </x:c>
      <x:c r="D449" s="9" t="str">
        <x:v>P0</x:v>
      </x:c>
      <x:c r="E449" s="9" t="str">
        <x:v>Concurrencia</x:v>
      </x:c>
      <x:c r="F449" s="9" t="str">
        <x:v>Navegador + HTTP + persistencia</x:v>
      </x:c>
      <x:c r="G449" s="10" t="str">
        <x:v>Pendiente</x:v>
      </x:c>
      <x:c r="H449" s="10"/>
      <x:c r="I449" s="10"/>
      <x:c r="J449" s="10"/>
      <x:c r="K449" s="10"/>
      <x:c r="L449" s="11"/>
      <x:c r="M449" s="12"/>
      <x:c r="N449" s="10"/>
    </x:row>
    <x:row r="450" ht="25" customHeight="1">
      <x:c r="A450" s="9" t="str">
        <x:v>QA-SEG-012</x:v>
      </x:c>
      <x:c r="B450" s="9" t="str">
        <x:v>SEG</x:v>
      </x:c>
      <x:c r="C450" s="9" t="str">
        <x:v>Permisos de precios,descuentos y pagos</x:v>
      </x:c>
      <x:c r="D450" s="9" t="str">
        <x:v>P0</x:v>
      </x:c>
      <x:c r="E450" s="9" t="str">
        <x:v>Seguridad</x:v>
      </x:c>
      <x:c r="F450" s="9" t="str">
        <x:v>Navegador + HTTP + persistencia</x:v>
      </x:c>
      <x:c r="G450" s="10" t="str">
        <x:v>Pendiente</x:v>
      </x:c>
      <x:c r="H450" s="10"/>
      <x:c r="I450" s="10"/>
      <x:c r="J450" s="10"/>
      <x:c r="K450" s="10"/>
      <x:c r="L450" s="11"/>
      <x:c r="M450" s="12"/>
      <x:c r="N450" s="10"/>
    </x:row>
    <x:row r="451" ht="25" customHeight="1">
      <x:c r="A451" s="9" t="str">
        <x:v>QA-ROB-001</x:v>
      </x:c>
      <x:c r="B451" s="9" t="str">
        <x:v>ROB</x:v>
      </x:c>
      <x:c r="C451" s="9" t="str">
        <x:v>Interrupción y recuperación de aplicación</x:v>
      </x:c>
      <x:c r="D451" s="9" t="str">
        <x:v>P0</x:v>
      </x:c>
      <x:c r="E451" s="9" t="str">
        <x:v>Concurrencia</x:v>
      </x:c>
      <x:c r="F451" s="9" t="str">
        <x:v>Navegador + HTTP + persistencia</x:v>
      </x:c>
      <x:c r="G451" s="10" t="str">
        <x:v>Pendiente</x:v>
      </x:c>
      <x:c r="H451" s="10"/>
      <x:c r="I451" s="10"/>
      <x:c r="J451" s="10"/>
      <x:c r="K451" s="10"/>
      <x:c r="L451" s="11"/>
      <x:c r="M451" s="12"/>
      <x:c r="N451" s="10"/>
    </x:row>
    <x:row r="452" ht="25" customHeight="1">
      <x:c r="A452" s="9" t="str">
        <x:v>QA-ROB-002</x:v>
      </x:c>
      <x:c r="B452" s="9" t="str">
        <x:v>ROB</x:v>
      </x:c>
      <x:c r="C452" s="9" t="str">
        <x:v>Volumen y tiempos de listado</x:v>
      </x:c>
      <x:c r="D452" s="9" t="str">
        <x:v>P1</x:v>
      </x:c>
      <x:c r="E452" s="9" t="str">
        <x:v>Positiva</x:v>
      </x:c>
      <x:c r="F452" s="9" t="str">
        <x:v>Navegador + HTTP + persistencia</x:v>
      </x:c>
      <x:c r="G452" s="10" t="str">
        <x:v>Pendiente</x:v>
      </x:c>
      <x:c r="H452" s="10"/>
      <x:c r="I452" s="10"/>
      <x:c r="J452" s="10"/>
      <x:c r="K452" s="10"/>
      <x:c r="L452" s="11"/>
      <x:c r="M452" s="12"/>
      <x:c r="N452" s="10"/>
    </x:row>
    <x:row r="453" ht="25" customHeight="1">
      <x:c r="A453" s="9" t="str">
        <x:v>QA-ROB-003</x:v>
      </x:c>
      <x:c r="B453" s="9" t="str">
        <x:v>ROB</x:v>
      </x:c>
      <x:c r="C453" s="9" t="str">
        <x:v>Documento extenso</x:v>
      </x:c>
      <x:c r="D453" s="9" t="str">
        <x:v>P1</x:v>
      </x:c>
      <x:c r="E453" s="9" t="str">
        <x:v>Positiva</x:v>
      </x:c>
      <x:c r="F453" s="9" t="str">
        <x:v>Navegador + HTTP + persistencia</x:v>
      </x:c>
      <x:c r="G453" s="10" t="str">
        <x:v>Pendiente</x:v>
      </x:c>
      <x:c r="H453" s="10"/>
      <x:c r="I453" s="10"/>
      <x:c r="J453" s="10"/>
      <x:c r="K453" s="10"/>
      <x:c r="L453" s="11"/>
      <x:c r="M453" s="12"/>
      <x:c r="N453" s="10"/>
    </x:row>
    <x:row r="454" ht="25" customHeight="1">
      <x:c r="A454" s="9" t="str">
        <x:v>QA-ROB-004</x:v>
      </x:c>
      <x:c r="B454" s="9" t="str">
        <x:v>ROB</x:v>
      </x:c>
      <x:c r="C454" s="9" t="str">
        <x:v>Pruebas automatizadas aisladas</x:v>
      </x:c>
      <x:c r="D454" s="9" t="str">
        <x:v>P1</x:v>
      </x:c>
      <x:c r="E454" s="9" t="str">
        <x:v>Positiva</x:v>
      </x:c>
      <x:c r="F454" s="9" t="str">
        <x:v>Navegador + HTTP + persistencia</x:v>
      </x:c>
      <x:c r="G454" s="10" t="str">
        <x:v>Pendiente</x:v>
      </x:c>
      <x:c r="H454" s="10"/>
      <x:c r="I454" s="10"/>
      <x:c r="J454" s="10"/>
      <x:c r="K454" s="10"/>
      <x:c r="L454" s="11"/>
      <x:c r="M454" s="12"/>
      <x:c r="N454" s="10"/>
    </x:row>
    <x:row r="455" ht="25" customHeight="1">
      <x:c r="A455" s="9" t="str">
        <x:v>QA-ROB-005</x:v>
      </x:c>
      <x:c r="B455" s="9" t="str">
        <x:v>ROB</x:v>
      </x:c>
      <x:c r="C455" s="9" t="str">
        <x:v>Retest de defectos y regresión</x:v>
      </x:c>
      <x:c r="D455" s="9" t="str">
        <x:v>P0</x:v>
      </x:c>
      <x:c r="E455" s="9" t="str">
        <x:v>Positiva</x:v>
      </x:c>
      <x:c r="F455" s="9" t="str">
        <x:v>Navegador + HTTP + persistencia</x:v>
      </x:c>
      <x:c r="G455" s="10" t="str">
        <x:v>Pendiente</x:v>
      </x:c>
      <x:c r="H455" s="10"/>
      <x:c r="I455" s="10"/>
      <x:c r="J455" s="10"/>
      <x:c r="K455" s="10"/>
      <x:c r="L455" s="11"/>
      <x:c r="M455" s="12"/>
      <x:c r="N455" s="10"/>
    </x:row>
    <x:row r="456" ht="25" customHeight="1">
      <x:c r="A456" s="9" t="str">
        <x:v>QA-ROB-006</x:v>
      </x:c>
      <x:c r="B456" s="9" t="str">
        <x:v>ROB</x:v>
      </x:c>
      <x:c r="C456" s="9" t="str">
        <x:v>Informe final y conteos</x:v>
      </x:c>
      <x:c r="D456" s="9" t="str">
        <x:v>P0</x:v>
      </x:c>
      <x:c r="E456" s="9" t="str">
        <x:v>Positiva</x:v>
      </x:c>
      <x:c r="F456" s="9" t="str">
        <x:v>Navegador + HTTP + persistencia</x:v>
      </x:c>
      <x:c r="G456" s="10" t="str">
        <x:v>Pendiente</x:v>
      </x:c>
      <x:c r="H456" s="10"/>
      <x:c r="I456" s="10"/>
      <x:c r="J456" s="10"/>
      <x:c r="K456" s="10"/>
      <x:c r="L456" s="11"/>
      <x:c r="M456" s="12"/>
      <x:c r="N456" s="10"/>
    </x:row>
    <x:row r="457" ht="25" customHeight="1">
      <x:c r="A457" s="9" t="str">
        <x:v>QA-MAT-001</x:v>
      </x:c>
      <x:c r="B457" s="9" t="str">
        <x:v>MAT</x:v>
      </x:c>
      <x:c r="C457" s="9" t="str">
        <x:v>Comprobantes web / 01 / identidad 0 Doc.sin.rif</x:v>
      </x:c>
      <x:c r="D457" s="9" t="str">
        <x:v>P1</x:v>
      </x:c>
      <x:c r="E457" s="9" t="str">
        <x:v>Positiva</x:v>
      </x:c>
      <x:c r="F457" s="9" t="str">
        <x:v>Navegador + HTTP + persistencia</x:v>
      </x:c>
      <x:c r="G457" s="10" t="str">
        <x:v>Pendiente</x:v>
      </x:c>
      <x:c r="H457" s="10"/>
      <x:c r="I457" s="10"/>
      <x:c r="J457" s="10"/>
      <x:c r="K457" s="10"/>
      <x:c r="L457" s="11"/>
      <x:c r="M457" s="12"/>
      <x:c r="N457" s="10"/>
    </x:row>
    <x:row r="458" ht="25" customHeight="1">
      <x:c r="A458" s="9" t="str">
        <x:v>QA-MAT-002</x:v>
      </x:c>
      <x:c r="B458" s="9" t="str">
        <x:v>MAT</x:v>
      </x:c>
      <x:c r="C458" s="9" t="str">
        <x:v>Comprobantes web / 01 / identidad 1 Venezolano</x:v>
      </x:c>
      <x:c r="D458" s="9" t="str">
        <x:v>P1</x:v>
      </x:c>
      <x:c r="E458" s="9" t="str">
        <x:v>Positiva</x:v>
      </x:c>
      <x:c r="F458" s="9" t="str">
        <x:v>Navegador + HTTP + persistencia</x:v>
      </x:c>
      <x:c r="G458" s="10" t="str">
        <x:v>Pendiente</x:v>
      </x:c>
      <x:c r="H458" s="10"/>
      <x:c r="I458" s="10"/>
      <x:c r="J458" s="10"/>
      <x:c r="K458" s="10"/>
      <x:c r="L458" s="11"/>
      <x:c r="M458" s="12"/>
      <x:c r="N458" s="10"/>
    </x:row>
    <x:row r="459" ht="25" customHeight="1">
      <x:c r="A459" s="9" t="str">
        <x:v>QA-MAT-003</x:v>
      </x:c>
      <x:c r="B459" s="9" t="str">
        <x:v>MAT</x:v>
      </x:c>
      <x:c r="C459" s="9" t="str">
        <x:v>Comprobantes web / 01 / identidad 6 Juridico</x:v>
      </x:c>
      <x:c r="D459" s="9" t="str">
        <x:v>P1</x:v>
      </x:c>
      <x:c r="E459" s="9" t="str">
        <x:v>Positiva</x:v>
      </x:c>
      <x:c r="F459" s="9" t="str">
        <x:v>Navegador + HTTP + persistencia</x:v>
      </x:c>
      <x:c r="G459" s="10" t="str">
        <x:v>Pendiente</x:v>
      </x:c>
      <x:c r="H459" s="10"/>
      <x:c r="I459" s="10"/>
      <x:c r="J459" s="10"/>
      <x:c r="K459" s="10"/>
      <x:c r="L459" s="11"/>
      <x:c r="M459" s="12"/>
      <x:c r="N459" s="10"/>
    </x:row>
    <x:row r="460" ht="25" customHeight="1">
      <x:c r="A460" s="9" t="str">
        <x:v>QA-MAT-004</x:v>
      </x:c>
      <x:c r="B460" s="9" t="str">
        <x:v>MAT</x:v>
      </x:c>
      <x:c r="C460" s="9" t="str">
        <x:v>Comprobantes web / 01 / identidad 7 Pasaporte</x:v>
      </x:c>
      <x:c r="D460" s="9" t="str">
        <x:v>P1</x:v>
      </x:c>
      <x:c r="E460" s="9" t="str">
        <x:v>Positiva</x:v>
      </x:c>
      <x:c r="F460" s="9" t="str">
        <x:v>Navegador + HTTP + persistencia</x:v>
      </x:c>
      <x:c r="G460" s="10" t="str">
        <x:v>Pendiente</x:v>
      </x:c>
      <x:c r="H460" s="10"/>
      <x:c r="I460" s="10"/>
      <x:c r="J460" s="10"/>
      <x:c r="K460" s="10"/>
      <x:c r="L460" s="11"/>
      <x:c r="M460" s="12"/>
      <x:c r="N460" s="10"/>
    </x:row>
    <x:row r="461" ht="25" customHeight="1">
      <x:c r="A461" s="9" t="str">
        <x:v>QA-MAT-005</x:v>
      </x:c>
      <x:c r="B461" s="9" t="str">
        <x:v>MAT</x:v>
      </x:c>
      <x:c r="C461" s="9" t="str">
        <x:v>Comprobantes web / 01 / identidad E Extranjero</x:v>
      </x:c>
      <x:c r="D461" s="9" t="str">
        <x:v>P1</x:v>
      </x:c>
      <x:c r="E461" s="9" t="str">
        <x:v>Positiva</x:v>
      </x:c>
      <x:c r="F461" s="9" t="str">
        <x:v>Navegador + HTTP + persistencia</x:v>
      </x:c>
      <x:c r="G461" s="10" t="str">
        <x:v>Pendiente</x:v>
      </x:c>
      <x:c r="H461" s="10"/>
      <x:c r="I461" s="10"/>
      <x:c r="J461" s="10"/>
      <x:c r="K461" s="10"/>
      <x:c r="L461" s="11"/>
      <x:c r="M461" s="12"/>
      <x:c r="N461" s="10"/>
    </x:row>
    <x:row r="462" ht="25" customHeight="1">
      <x:c r="A462" s="9" t="str">
        <x:v>QA-MAT-006</x:v>
      </x:c>
      <x:c r="B462" s="9" t="str">
        <x:v>MAT</x:v>
      </x:c>
      <x:c r="C462" s="9" t="str">
        <x:v>Comprobantes web / 01 / identidad C Comuna</x:v>
      </x:c>
      <x:c r="D462" s="9" t="str">
        <x:v>P1</x:v>
      </x:c>
      <x:c r="E462" s="9" t="str">
        <x:v>Positiva</x:v>
      </x:c>
      <x:c r="F462" s="9" t="str">
        <x:v>Navegador + HTTP + persistencia</x:v>
      </x:c>
      <x:c r="G462" s="10" t="str">
        <x:v>Pendiente</x:v>
      </x:c>
      <x:c r="H462" s="10"/>
      <x:c r="I462" s="10"/>
      <x:c r="J462" s="10"/>
      <x:c r="K462" s="10"/>
      <x:c r="L462" s="11"/>
      <x:c r="M462" s="12"/>
      <x:c r="N462" s="10"/>
    </x:row>
    <x:row r="463" ht="25" customHeight="1">
      <x:c r="A463" s="9" t="str">
        <x:v>QA-MAT-007</x:v>
      </x:c>
      <x:c r="B463" s="9" t="str">
        <x:v>MAT</x:v>
      </x:c>
      <x:c r="C463" s="9" t="str">
        <x:v>Comprobantes web / 01 / identidad G Gubernamental</x:v>
      </x:c>
      <x:c r="D463" s="9" t="str">
        <x:v>P1</x:v>
      </x:c>
      <x:c r="E463" s="9" t="str">
        <x:v>Positiva</x:v>
      </x:c>
      <x:c r="F463" s="9" t="str">
        <x:v>Navegador + HTTP + persistencia</x:v>
      </x:c>
      <x:c r="G463" s="10" t="str">
        <x:v>Pendiente</x:v>
      </x:c>
      <x:c r="H463" s="10"/>
      <x:c r="I463" s="10"/>
      <x:c r="J463" s="10"/>
      <x:c r="K463" s="10"/>
      <x:c r="L463" s="11"/>
      <x:c r="M463" s="12"/>
      <x:c r="N463" s="10"/>
    </x:row>
    <x:row r="464" ht="25" customHeight="1">
      <x:c r="A464" s="9" t="str">
        <x:v>QA-MAT-008</x:v>
      </x:c>
      <x:c r="B464" s="9" t="str">
        <x:v>MAT</x:v>
      </x:c>
      <x:c r="C464" s="9" t="str">
        <x:v>Comprobantes web / 01 / identidad R Firma Personal</x:v>
      </x:c>
      <x:c r="D464" s="9" t="str">
        <x:v>P1</x:v>
      </x:c>
      <x:c r="E464" s="9" t="str">
        <x:v>Positiva</x:v>
      </x:c>
      <x:c r="F464" s="9" t="str">
        <x:v>Navegador + HTTP + persistencia</x:v>
      </x:c>
      <x:c r="G464" s="10" t="str">
        <x:v>Pendiente</x:v>
      </x:c>
      <x:c r="H464" s="10"/>
      <x:c r="I464" s="10"/>
      <x:c r="J464" s="10"/>
      <x:c r="K464" s="10"/>
      <x:c r="L464" s="11"/>
      <x:c r="M464" s="12"/>
      <x:c r="N464" s="10"/>
    </x:row>
    <x:row r="465" ht="25" customHeight="1">
      <x:c r="A465" s="9" t="str">
        <x:v>QA-MAT-009</x:v>
      </x:c>
      <x:c r="B465" s="9" t="str">
        <x:v>MAT</x:v>
      </x:c>
      <x:c r="C465" s="9" t="str">
        <x:v>Comprobantes web / 80 / identidad 0 Doc.sin.rif</x:v>
      </x:c>
      <x:c r="D465" s="9" t="str">
        <x:v>P1</x:v>
      </x:c>
      <x:c r="E465" s="9" t="str">
        <x:v>Positiva</x:v>
      </x:c>
      <x:c r="F465" s="9" t="str">
        <x:v>Navegador + HTTP + persistencia</x:v>
      </x:c>
      <x:c r="G465" s="10" t="str">
        <x:v>Pendiente</x:v>
      </x:c>
      <x:c r="H465" s="10"/>
      <x:c r="I465" s="10"/>
      <x:c r="J465" s="10"/>
      <x:c r="K465" s="10"/>
      <x:c r="L465" s="11"/>
      <x:c r="M465" s="12"/>
      <x:c r="N465" s="10"/>
    </x:row>
    <x:row r="466" ht="25" customHeight="1">
      <x:c r="A466" s="9" t="str">
        <x:v>QA-MAT-010</x:v>
      </x:c>
      <x:c r="B466" s="9" t="str">
        <x:v>MAT</x:v>
      </x:c>
      <x:c r="C466" s="9" t="str">
        <x:v>Comprobantes web / 80 / identidad 1 Venezolano</x:v>
      </x:c>
      <x:c r="D466" s="9" t="str">
        <x:v>P1</x:v>
      </x:c>
      <x:c r="E466" s="9" t="str">
        <x:v>Positiva</x:v>
      </x:c>
      <x:c r="F466" s="9" t="str">
        <x:v>Navegador + HTTP + persistencia</x:v>
      </x:c>
      <x:c r="G466" s="10" t="str">
        <x:v>Pendiente</x:v>
      </x:c>
      <x:c r="H466" s="10"/>
      <x:c r="I466" s="10"/>
      <x:c r="J466" s="10"/>
      <x:c r="K466" s="10"/>
      <x:c r="L466" s="11"/>
      <x:c r="M466" s="12"/>
      <x:c r="N466" s="10"/>
    </x:row>
    <x:row r="467" ht="25" customHeight="1">
      <x:c r="A467" s="9" t="str">
        <x:v>QA-MAT-011</x:v>
      </x:c>
      <x:c r="B467" s="9" t="str">
        <x:v>MAT</x:v>
      </x:c>
      <x:c r="C467" s="9" t="str">
        <x:v>Comprobantes web / 80 / identidad 6 Juridico</x:v>
      </x:c>
      <x:c r="D467" s="9" t="str">
        <x:v>P1</x:v>
      </x:c>
      <x:c r="E467" s="9" t="str">
        <x:v>Positiva</x:v>
      </x:c>
      <x:c r="F467" s="9" t="str">
        <x:v>Navegador + HTTP + persistencia</x:v>
      </x:c>
      <x:c r="G467" s="10" t="str">
        <x:v>Pendiente</x:v>
      </x:c>
      <x:c r="H467" s="10"/>
      <x:c r="I467" s="10"/>
      <x:c r="J467" s="10"/>
      <x:c r="K467" s="10"/>
      <x:c r="L467" s="11"/>
      <x:c r="M467" s="12"/>
      <x:c r="N467" s="10"/>
    </x:row>
    <x:row r="468" ht="25" customHeight="1">
      <x:c r="A468" s="9" t="str">
        <x:v>QA-MAT-012</x:v>
      </x:c>
      <x:c r="B468" s="9" t="str">
        <x:v>MAT</x:v>
      </x:c>
      <x:c r="C468" s="9" t="str">
        <x:v>Comprobantes web / 80 / identidad 7 Pasaporte</x:v>
      </x:c>
      <x:c r="D468" s="9" t="str">
        <x:v>P1</x:v>
      </x:c>
      <x:c r="E468" s="9" t="str">
        <x:v>Positiva</x:v>
      </x:c>
      <x:c r="F468" s="9" t="str">
        <x:v>Navegador + HTTP + persistencia</x:v>
      </x:c>
      <x:c r="G468" s="10" t="str">
        <x:v>Pendiente</x:v>
      </x:c>
      <x:c r="H468" s="10"/>
      <x:c r="I468" s="10"/>
      <x:c r="J468" s="10"/>
      <x:c r="K468" s="10"/>
      <x:c r="L468" s="11"/>
      <x:c r="M468" s="12"/>
      <x:c r="N468" s="10"/>
    </x:row>
    <x:row r="469" ht="25" customHeight="1">
      <x:c r="A469" s="9" t="str">
        <x:v>QA-MAT-013</x:v>
      </x:c>
      <x:c r="B469" s="9" t="str">
        <x:v>MAT</x:v>
      </x:c>
      <x:c r="C469" s="9" t="str">
        <x:v>Comprobantes web / 80 / identidad E Extranjero</x:v>
      </x:c>
      <x:c r="D469" s="9" t="str">
        <x:v>P1</x:v>
      </x:c>
      <x:c r="E469" s="9" t="str">
        <x:v>Positiva</x:v>
      </x:c>
      <x:c r="F469" s="9" t="str">
        <x:v>Navegador + HTTP + persistencia</x:v>
      </x:c>
      <x:c r="G469" s="10" t="str">
        <x:v>Pendiente</x:v>
      </x:c>
      <x:c r="H469" s="10"/>
      <x:c r="I469" s="10"/>
      <x:c r="J469" s="10"/>
      <x:c r="K469" s="10"/>
      <x:c r="L469" s="11"/>
      <x:c r="M469" s="12"/>
      <x:c r="N469" s="10"/>
    </x:row>
    <x:row r="470" ht="25" customHeight="1">
      <x:c r="A470" s="9" t="str">
        <x:v>QA-MAT-014</x:v>
      </x:c>
      <x:c r="B470" s="9" t="str">
        <x:v>MAT</x:v>
      </x:c>
      <x:c r="C470" s="9" t="str">
        <x:v>Comprobantes web / 80 / identidad C Comuna</x:v>
      </x:c>
      <x:c r="D470" s="9" t="str">
        <x:v>P1</x:v>
      </x:c>
      <x:c r="E470" s="9" t="str">
        <x:v>Positiva</x:v>
      </x:c>
      <x:c r="F470" s="9" t="str">
        <x:v>Navegador + HTTP + persistencia</x:v>
      </x:c>
      <x:c r="G470" s="10" t="str">
        <x:v>Pendiente</x:v>
      </x:c>
      <x:c r="H470" s="10"/>
      <x:c r="I470" s="10"/>
      <x:c r="J470" s="10"/>
      <x:c r="K470" s="10"/>
      <x:c r="L470" s="11"/>
      <x:c r="M470" s="12"/>
      <x:c r="N470" s="10"/>
    </x:row>
    <x:row r="471" ht="25" customHeight="1">
      <x:c r="A471" s="9" t="str">
        <x:v>QA-MAT-015</x:v>
      </x:c>
      <x:c r="B471" s="9" t="str">
        <x:v>MAT</x:v>
      </x:c>
      <x:c r="C471" s="9" t="str">
        <x:v>Comprobantes web / 80 / identidad G Gubernamental</x:v>
      </x:c>
      <x:c r="D471" s="9" t="str">
        <x:v>P1</x:v>
      </x:c>
      <x:c r="E471" s="9" t="str">
        <x:v>Positiva</x:v>
      </x:c>
      <x:c r="F471" s="9" t="str">
        <x:v>Navegador + HTTP + persistencia</x:v>
      </x:c>
      <x:c r="G471" s="10" t="str">
        <x:v>Pendiente</x:v>
      </x:c>
      <x:c r="H471" s="10"/>
      <x:c r="I471" s="10"/>
      <x:c r="J471" s="10"/>
      <x:c r="K471" s="10"/>
      <x:c r="L471" s="11"/>
      <x:c r="M471" s="12"/>
      <x:c r="N471" s="10"/>
    </x:row>
    <x:row r="472" ht="25" customHeight="1">
      <x:c r="A472" s="9" t="str">
        <x:v>QA-MAT-016</x:v>
      </x:c>
      <x:c r="B472" s="9" t="str">
        <x:v>MAT</x:v>
      </x:c>
      <x:c r="C472" s="9" t="str">
        <x:v>Comprobantes web / 80 / identidad R Firma Personal</x:v>
      </x:c>
      <x:c r="D472" s="9" t="str">
        <x:v>P1</x:v>
      </x:c>
      <x:c r="E472" s="9" t="str">
        <x:v>Positiva</x:v>
      </x:c>
      <x:c r="F472" s="9" t="str">
        <x:v>Navegador + HTTP + persistencia</x:v>
      </x:c>
      <x:c r="G472" s="10" t="str">
        <x:v>Pendiente</x:v>
      </x:c>
      <x:c r="H472" s="10"/>
      <x:c r="I472" s="10"/>
      <x:c r="J472" s="10"/>
      <x:c r="K472" s="10"/>
      <x:c r="L472" s="11"/>
      <x:c r="M472" s="12"/>
      <x:c r="N472" s="10"/>
    </x:row>
    <x:row r="473" ht="25" customHeight="1">
      <x:c r="A473" s="9" t="str">
        <x:v>QA-MAT-017</x:v>
      </x:c>
      <x:c r="B473" s="9" t="str">
        <x:v>MAT</x:v>
      </x:c>
      <x:c r="C473" s="9" t="str">
        <x:v>POS / 01 / identidad 0 Doc.sin.rif</x:v>
      </x:c>
      <x:c r="D473" s="9" t="str">
        <x:v>P1</x:v>
      </x:c>
      <x:c r="E473" s="9" t="str">
        <x:v>Positiva</x:v>
      </x:c>
      <x:c r="F473" s="9" t="str">
        <x:v>Navegador + HTTP + persistencia</x:v>
      </x:c>
      <x:c r="G473" s="10" t="str">
        <x:v>Pendiente</x:v>
      </x:c>
      <x:c r="H473" s="10"/>
      <x:c r="I473" s="10"/>
      <x:c r="J473" s="10"/>
      <x:c r="K473" s="10"/>
      <x:c r="L473" s="11"/>
      <x:c r="M473" s="12"/>
      <x:c r="N473" s="10"/>
    </x:row>
    <x:row r="474" ht="25" customHeight="1">
      <x:c r="A474" s="9" t="str">
        <x:v>QA-MAT-018</x:v>
      </x:c>
      <x:c r="B474" s="9" t="str">
        <x:v>MAT</x:v>
      </x:c>
      <x:c r="C474" s="9" t="str">
        <x:v>POS / 01 / identidad 1 Venezolano</x:v>
      </x:c>
      <x:c r="D474" s="9" t="str">
        <x:v>P1</x:v>
      </x:c>
      <x:c r="E474" s="9" t="str">
        <x:v>Positiva</x:v>
      </x:c>
      <x:c r="F474" s="9" t="str">
        <x:v>Navegador + HTTP + persistencia</x:v>
      </x:c>
      <x:c r="G474" s="10" t="str">
        <x:v>Pendiente</x:v>
      </x:c>
      <x:c r="H474" s="10"/>
      <x:c r="I474" s="10"/>
      <x:c r="J474" s="10"/>
      <x:c r="K474" s="10"/>
      <x:c r="L474" s="11"/>
      <x:c r="M474" s="12"/>
      <x:c r="N474" s="10"/>
    </x:row>
    <x:row r="475" ht="25" customHeight="1">
      <x:c r="A475" s="9" t="str">
        <x:v>QA-MAT-019</x:v>
      </x:c>
      <x:c r="B475" s="9" t="str">
        <x:v>MAT</x:v>
      </x:c>
      <x:c r="C475" s="9" t="str">
        <x:v>POS / 01 / identidad 6 Juridico</x:v>
      </x:c>
      <x:c r="D475" s="9" t="str">
        <x:v>P1</x:v>
      </x:c>
      <x:c r="E475" s="9" t="str">
        <x:v>Positiva</x:v>
      </x:c>
      <x:c r="F475" s="9" t="str">
        <x:v>Navegador + HTTP + persistencia</x:v>
      </x:c>
      <x:c r="G475" s="10" t="str">
        <x:v>Pendiente</x:v>
      </x:c>
      <x:c r="H475" s="10"/>
      <x:c r="I475" s="10"/>
      <x:c r="J475" s="10"/>
      <x:c r="K475" s="10"/>
      <x:c r="L475" s="11"/>
      <x:c r="M475" s="12"/>
      <x:c r="N475" s="10"/>
    </x:row>
    <x:row r="476" ht="25" customHeight="1">
      <x:c r="A476" s="9" t="str">
        <x:v>QA-MAT-020</x:v>
      </x:c>
      <x:c r="B476" s="9" t="str">
        <x:v>MAT</x:v>
      </x:c>
      <x:c r="C476" s="9" t="str">
        <x:v>POS / 01 / identidad 7 Pasaporte</x:v>
      </x:c>
      <x:c r="D476" s="9" t="str">
        <x:v>P1</x:v>
      </x:c>
      <x:c r="E476" s="9" t="str">
        <x:v>Positiva</x:v>
      </x:c>
      <x:c r="F476" s="9" t="str">
        <x:v>Navegador + HTTP + persistencia</x:v>
      </x:c>
      <x:c r="G476" s="10" t="str">
        <x:v>Pendiente</x:v>
      </x:c>
      <x:c r="H476" s="10"/>
      <x:c r="I476" s="10"/>
      <x:c r="J476" s="10"/>
      <x:c r="K476" s="10"/>
      <x:c r="L476" s="11"/>
      <x:c r="M476" s="12"/>
      <x:c r="N476" s="10"/>
    </x:row>
    <x:row r="477" ht="25" customHeight="1">
      <x:c r="A477" s="9" t="str">
        <x:v>QA-MAT-021</x:v>
      </x:c>
      <x:c r="B477" s="9" t="str">
        <x:v>MAT</x:v>
      </x:c>
      <x:c r="C477" s="9" t="str">
        <x:v>POS / 01 / identidad E Extranjero</x:v>
      </x:c>
      <x:c r="D477" s="9" t="str">
        <x:v>P1</x:v>
      </x:c>
      <x:c r="E477" s="9" t="str">
        <x:v>Positiva</x:v>
      </x:c>
      <x:c r="F477" s="9" t="str">
        <x:v>Navegador + HTTP + persistencia</x:v>
      </x:c>
      <x:c r="G477" s="10" t="str">
        <x:v>Pendiente</x:v>
      </x:c>
      <x:c r="H477" s="10"/>
      <x:c r="I477" s="10"/>
      <x:c r="J477" s="10"/>
      <x:c r="K477" s="10"/>
      <x:c r="L477" s="11"/>
      <x:c r="M477" s="12"/>
      <x:c r="N477" s="10"/>
    </x:row>
    <x:row r="478" ht="25" customHeight="1">
      <x:c r="A478" s="9" t="str">
        <x:v>QA-MAT-022</x:v>
      </x:c>
      <x:c r="B478" s="9" t="str">
        <x:v>MAT</x:v>
      </x:c>
      <x:c r="C478" s="9" t="str">
        <x:v>POS / 01 / identidad C Comuna</x:v>
      </x:c>
      <x:c r="D478" s="9" t="str">
        <x:v>P1</x:v>
      </x:c>
      <x:c r="E478" s="9" t="str">
        <x:v>Positiva</x:v>
      </x:c>
      <x:c r="F478" s="9" t="str">
        <x:v>Navegador + HTTP + persistencia</x:v>
      </x:c>
      <x:c r="G478" s="10" t="str">
        <x:v>Pendiente</x:v>
      </x:c>
      <x:c r="H478" s="10"/>
      <x:c r="I478" s="10"/>
      <x:c r="J478" s="10"/>
      <x:c r="K478" s="10"/>
      <x:c r="L478" s="11"/>
      <x:c r="M478" s="12"/>
      <x:c r="N478" s="10"/>
    </x:row>
    <x:row r="479" ht="25" customHeight="1">
      <x:c r="A479" s="9" t="str">
        <x:v>QA-MAT-023</x:v>
      </x:c>
      <x:c r="B479" s="9" t="str">
        <x:v>MAT</x:v>
      </x:c>
      <x:c r="C479" s="9" t="str">
        <x:v>POS / 01 / identidad G Gubernamental</x:v>
      </x:c>
      <x:c r="D479" s="9" t="str">
        <x:v>P1</x:v>
      </x:c>
      <x:c r="E479" s="9" t="str">
        <x:v>Positiva</x:v>
      </x:c>
      <x:c r="F479" s="9" t="str">
        <x:v>Navegador + HTTP + persistencia</x:v>
      </x:c>
      <x:c r="G479" s="10" t="str">
        <x:v>Pendiente</x:v>
      </x:c>
      <x:c r="H479" s="10"/>
      <x:c r="I479" s="10"/>
      <x:c r="J479" s="10"/>
      <x:c r="K479" s="10"/>
      <x:c r="L479" s="11"/>
      <x:c r="M479" s="12"/>
      <x:c r="N479" s="10"/>
    </x:row>
    <x:row r="480" ht="25" customHeight="1">
      <x:c r="A480" s="9" t="str">
        <x:v>QA-MAT-024</x:v>
      </x:c>
      <x:c r="B480" s="9" t="str">
        <x:v>MAT</x:v>
      </x:c>
      <x:c r="C480" s="9" t="str">
        <x:v>POS / 01 / identidad R Firma Personal</x:v>
      </x:c>
      <x:c r="D480" s="9" t="str">
        <x:v>P1</x:v>
      </x:c>
      <x:c r="E480" s="9" t="str">
        <x:v>Positiva</x:v>
      </x:c>
      <x:c r="F480" s="9" t="str">
        <x:v>Navegador + HTTP + persistencia</x:v>
      </x:c>
      <x:c r="G480" s="10" t="str">
        <x:v>Pendiente</x:v>
      </x:c>
      <x:c r="H480" s="10"/>
      <x:c r="I480" s="10"/>
      <x:c r="J480" s="10"/>
      <x:c r="K480" s="10"/>
      <x:c r="L480" s="11"/>
      <x:c r="M480" s="12"/>
      <x:c r="N480" s="10"/>
    </x:row>
    <x:row r="481" ht="25" customHeight="1">
      <x:c r="A481" s="9" t="str">
        <x:v>QA-MAT-025</x:v>
      </x:c>
      <x:c r="B481" s="9" t="str">
        <x:v>MAT</x:v>
      </x:c>
      <x:c r="C481" s="9" t="str">
        <x:v>POS / 80 / identidad 0 Doc.sin.rif</x:v>
      </x:c>
      <x:c r="D481" s="9" t="str">
        <x:v>P1</x:v>
      </x:c>
      <x:c r="E481" s="9" t="str">
        <x:v>Positiva</x:v>
      </x:c>
      <x:c r="F481" s="9" t="str">
        <x:v>Navegador + HTTP + persistencia</x:v>
      </x:c>
      <x:c r="G481" s="10" t="str">
        <x:v>Pendiente</x:v>
      </x:c>
      <x:c r="H481" s="10"/>
      <x:c r="I481" s="10"/>
      <x:c r="J481" s="10"/>
      <x:c r="K481" s="10"/>
      <x:c r="L481" s="11"/>
      <x:c r="M481" s="12"/>
      <x:c r="N481" s="10"/>
    </x:row>
    <x:row r="482" ht="25" customHeight="1">
      <x:c r="A482" s="9" t="str">
        <x:v>QA-MAT-026</x:v>
      </x:c>
      <x:c r="B482" s="9" t="str">
        <x:v>MAT</x:v>
      </x:c>
      <x:c r="C482" s="9" t="str">
        <x:v>POS / 80 / identidad 1 Venezolano</x:v>
      </x:c>
      <x:c r="D482" s="9" t="str">
        <x:v>P1</x:v>
      </x:c>
      <x:c r="E482" s="9" t="str">
        <x:v>Positiva</x:v>
      </x:c>
      <x:c r="F482" s="9" t="str">
        <x:v>Navegador + HTTP + persistencia</x:v>
      </x:c>
      <x:c r="G482" s="10" t="str">
        <x:v>Pendiente</x:v>
      </x:c>
      <x:c r="H482" s="10"/>
      <x:c r="I482" s="10"/>
      <x:c r="J482" s="10"/>
      <x:c r="K482" s="10"/>
      <x:c r="L482" s="11"/>
      <x:c r="M482" s="12"/>
      <x:c r="N482" s="10"/>
    </x:row>
    <x:row r="483" ht="25" customHeight="1">
      <x:c r="A483" s="9" t="str">
        <x:v>QA-MAT-027</x:v>
      </x:c>
      <x:c r="B483" s="9" t="str">
        <x:v>MAT</x:v>
      </x:c>
      <x:c r="C483" s="9" t="str">
        <x:v>POS / 80 / identidad 6 Juridico</x:v>
      </x:c>
      <x:c r="D483" s="9" t="str">
        <x:v>P1</x:v>
      </x:c>
      <x:c r="E483" s="9" t="str">
        <x:v>Positiva</x:v>
      </x:c>
      <x:c r="F483" s="9" t="str">
        <x:v>Navegador + HTTP + persistencia</x:v>
      </x:c>
      <x:c r="G483" s="10" t="str">
        <x:v>Pendiente</x:v>
      </x:c>
      <x:c r="H483" s="10"/>
      <x:c r="I483" s="10"/>
      <x:c r="J483" s="10"/>
      <x:c r="K483" s="10"/>
      <x:c r="L483" s="11"/>
      <x:c r="M483" s="12"/>
      <x:c r="N483" s="10"/>
    </x:row>
    <x:row r="484" ht="25" customHeight="1">
      <x:c r="A484" s="9" t="str">
        <x:v>QA-MAT-028</x:v>
      </x:c>
      <x:c r="B484" s="9" t="str">
        <x:v>MAT</x:v>
      </x:c>
      <x:c r="C484" s="9" t="str">
        <x:v>POS / 80 / identidad 7 Pasaporte</x:v>
      </x:c>
      <x:c r="D484" s="9" t="str">
        <x:v>P1</x:v>
      </x:c>
      <x:c r="E484" s="9" t="str">
        <x:v>Positiva</x:v>
      </x:c>
      <x:c r="F484" s="9" t="str">
        <x:v>Navegador + HTTP + persistencia</x:v>
      </x:c>
      <x:c r="G484" s="10" t="str">
        <x:v>Pendiente</x:v>
      </x:c>
      <x:c r="H484" s="10"/>
      <x:c r="I484" s="10"/>
      <x:c r="J484" s="10"/>
      <x:c r="K484" s="10"/>
      <x:c r="L484" s="11"/>
      <x:c r="M484" s="12"/>
      <x:c r="N484" s="10"/>
    </x:row>
    <x:row r="485" ht="25" customHeight="1">
      <x:c r="A485" s="9" t="str">
        <x:v>QA-MAT-029</x:v>
      </x:c>
      <x:c r="B485" s="9" t="str">
        <x:v>MAT</x:v>
      </x:c>
      <x:c r="C485" s="9" t="str">
        <x:v>POS / 80 / identidad E Extranjero</x:v>
      </x:c>
      <x:c r="D485" s="9" t="str">
        <x:v>P1</x:v>
      </x:c>
      <x:c r="E485" s="9" t="str">
        <x:v>Positiva</x:v>
      </x:c>
      <x:c r="F485" s="9" t="str">
        <x:v>Navegador + HTTP + persistencia</x:v>
      </x:c>
      <x:c r="G485" s="10" t="str">
        <x:v>Pendiente</x:v>
      </x:c>
      <x:c r="H485" s="10"/>
      <x:c r="I485" s="10"/>
      <x:c r="J485" s="10"/>
      <x:c r="K485" s="10"/>
      <x:c r="L485" s="11"/>
      <x:c r="M485" s="12"/>
      <x:c r="N485" s="10"/>
    </x:row>
    <x:row r="486" ht="25" customHeight="1">
      <x:c r="A486" s="9" t="str">
        <x:v>QA-MAT-030</x:v>
      </x:c>
      <x:c r="B486" s="9" t="str">
        <x:v>MAT</x:v>
      </x:c>
      <x:c r="C486" s="9" t="str">
        <x:v>POS / 80 / identidad C Comuna</x:v>
      </x:c>
      <x:c r="D486" s="9" t="str">
        <x:v>P1</x:v>
      </x:c>
      <x:c r="E486" s="9" t="str">
        <x:v>Positiva</x:v>
      </x:c>
      <x:c r="F486" s="9" t="str">
        <x:v>Navegador + HTTP + persistencia</x:v>
      </x:c>
      <x:c r="G486" s="10" t="str">
        <x:v>Pendiente</x:v>
      </x:c>
      <x:c r="H486" s="10"/>
      <x:c r="I486" s="10"/>
      <x:c r="J486" s="10"/>
      <x:c r="K486" s="10"/>
      <x:c r="L486" s="11"/>
      <x:c r="M486" s="12"/>
      <x:c r="N486" s="10"/>
    </x:row>
    <x:row r="487" ht="25" customHeight="1">
      <x:c r="A487" s="9" t="str">
        <x:v>QA-MAT-031</x:v>
      </x:c>
      <x:c r="B487" s="9" t="str">
        <x:v>MAT</x:v>
      </x:c>
      <x:c r="C487" s="9" t="str">
        <x:v>POS / 80 / identidad G Gubernamental</x:v>
      </x:c>
      <x:c r="D487" s="9" t="str">
        <x:v>P1</x:v>
      </x:c>
      <x:c r="E487" s="9" t="str">
        <x:v>Positiva</x:v>
      </x:c>
      <x:c r="F487" s="9" t="str">
        <x:v>Navegador + HTTP + persistencia</x:v>
      </x:c>
      <x:c r="G487" s="10" t="str">
        <x:v>Pendiente</x:v>
      </x:c>
      <x:c r="H487" s="10"/>
      <x:c r="I487" s="10"/>
      <x:c r="J487" s="10"/>
      <x:c r="K487" s="10"/>
      <x:c r="L487" s="11"/>
      <x:c r="M487" s="12"/>
      <x:c r="N487" s="10"/>
    </x:row>
    <x:row r="488" ht="25" customHeight="1">
      <x:c r="A488" s="9" t="str">
        <x:v>QA-MAT-032</x:v>
      </x:c>
      <x:c r="B488" s="9" t="str">
        <x:v>MAT</x:v>
      </x:c>
      <x:c r="C488" s="9" t="str">
        <x:v>POS / 80 / identidad R Firma Personal</x:v>
      </x:c>
      <x:c r="D488" s="9" t="str">
        <x:v>P1</x:v>
      </x:c>
      <x:c r="E488" s="9" t="str">
        <x:v>Positiva</x:v>
      </x:c>
      <x:c r="F488" s="9" t="str">
        <x:v>Navegador + HTTP + persistencia</x:v>
      </x:c>
      <x:c r="G488" s="10" t="str">
        <x:v>Pendiente</x:v>
      </x:c>
      <x:c r="H488" s="10"/>
      <x:c r="I488" s="10"/>
      <x:c r="J488" s="10"/>
      <x:c r="K488" s="10"/>
      <x:c r="L488" s="11"/>
      <x:c r="M488" s="12"/>
      <x:c r="N488" s="10"/>
    </x:row>
    <x:row r="489" ht="25" customHeight="1">
      <x:c r="A489" s="9" t="str">
        <x:v>QA-MAT-033</x:v>
      </x:c>
      <x:c r="B489" s="9" t="str">
        <x:v>MAT</x:v>
      </x:c>
      <x:c r="C489" s="9" t="str">
        <x:v>Vende Ya / Garage / 01 / identidad 0 Doc.sin.rif</x:v>
      </x:c>
      <x:c r="D489" s="9" t="str">
        <x:v>P1</x:v>
      </x:c>
      <x:c r="E489" s="9" t="str">
        <x:v>Positiva</x:v>
      </x:c>
      <x:c r="F489" s="9" t="str">
        <x:v>Navegador + HTTP + persistencia</x:v>
      </x:c>
      <x:c r="G489" s="10" t="str">
        <x:v>Pendiente</x:v>
      </x:c>
      <x:c r="H489" s="10"/>
      <x:c r="I489" s="10"/>
      <x:c r="J489" s="10"/>
      <x:c r="K489" s="10"/>
      <x:c r="L489" s="11"/>
      <x:c r="M489" s="12"/>
      <x:c r="N489" s="10"/>
    </x:row>
    <x:row r="490" ht="25" customHeight="1">
      <x:c r="A490" s="9" t="str">
        <x:v>QA-MAT-034</x:v>
      </x:c>
      <x:c r="B490" s="9" t="str">
        <x:v>MAT</x:v>
      </x:c>
      <x:c r="C490" s="9" t="str">
        <x:v>Vende Ya / Garage / 01 / identidad 1 Venezolano</x:v>
      </x:c>
      <x:c r="D490" s="9" t="str">
        <x:v>P1</x:v>
      </x:c>
      <x:c r="E490" s="9" t="str">
        <x:v>Positiva</x:v>
      </x:c>
      <x:c r="F490" s="9" t="str">
        <x:v>Navegador + HTTP + persistencia</x:v>
      </x:c>
      <x:c r="G490" s="10" t="str">
        <x:v>Pendiente</x:v>
      </x:c>
      <x:c r="H490" s="10"/>
      <x:c r="I490" s="10"/>
      <x:c r="J490" s="10"/>
      <x:c r="K490" s="10"/>
      <x:c r="L490" s="11"/>
      <x:c r="M490" s="12"/>
      <x:c r="N490" s="10"/>
    </x:row>
    <x:row r="491" ht="25" customHeight="1">
      <x:c r="A491" s="9" t="str">
        <x:v>QA-MAT-035</x:v>
      </x:c>
      <x:c r="B491" s="9" t="str">
        <x:v>MAT</x:v>
      </x:c>
      <x:c r="C491" s="9" t="str">
        <x:v>Vende Ya / Garage / 01 / identidad 6 Juridico</x:v>
      </x:c>
      <x:c r="D491" s="9" t="str">
        <x:v>P1</x:v>
      </x:c>
      <x:c r="E491" s="9" t="str">
        <x:v>Positiva</x:v>
      </x:c>
      <x:c r="F491" s="9" t="str">
        <x:v>Navegador + HTTP + persistencia</x:v>
      </x:c>
      <x:c r="G491" s="10" t="str">
        <x:v>Pendiente</x:v>
      </x:c>
      <x:c r="H491" s="10"/>
      <x:c r="I491" s="10"/>
      <x:c r="J491" s="10"/>
      <x:c r="K491" s="10"/>
      <x:c r="L491" s="11"/>
      <x:c r="M491" s="12"/>
      <x:c r="N491" s="10"/>
    </x:row>
    <x:row r="492" ht="25" customHeight="1">
      <x:c r="A492" s="9" t="str">
        <x:v>QA-MAT-036</x:v>
      </x:c>
      <x:c r="B492" s="9" t="str">
        <x:v>MAT</x:v>
      </x:c>
      <x:c r="C492" s="9" t="str">
        <x:v>Vende Ya / Garage / 01 / identidad 7 Pasaporte</x:v>
      </x:c>
      <x:c r="D492" s="9" t="str">
        <x:v>P1</x:v>
      </x:c>
      <x:c r="E492" s="9" t="str">
        <x:v>Positiva</x:v>
      </x:c>
      <x:c r="F492" s="9" t="str">
        <x:v>Navegador + HTTP + persistencia</x:v>
      </x:c>
      <x:c r="G492" s="10" t="str">
        <x:v>Pendiente</x:v>
      </x:c>
      <x:c r="H492" s="10"/>
      <x:c r="I492" s="10"/>
      <x:c r="J492" s="10"/>
      <x:c r="K492" s="10"/>
      <x:c r="L492" s="11"/>
      <x:c r="M492" s="12"/>
      <x:c r="N492" s="10"/>
    </x:row>
    <x:row r="493" ht="25" customHeight="1">
      <x:c r="A493" s="9" t="str">
        <x:v>QA-MAT-037</x:v>
      </x:c>
      <x:c r="B493" s="9" t="str">
        <x:v>MAT</x:v>
      </x:c>
      <x:c r="C493" s="9" t="str">
        <x:v>Vende Ya / Garage / 01 / identidad E Extranjero</x:v>
      </x:c>
      <x:c r="D493" s="9" t="str">
        <x:v>P1</x:v>
      </x:c>
      <x:c r="E493" s="9" t="str">
        <x:v>Positiva</x:v>
      </x:c>
      <x:c r="F493" s="9" t="str">
        <x:v>Navegador + HTTP + persistencia</x:v>
      </x:c>
      <x:c r="G493" s="10" t="str">
        <x:v>Pendiente</x:v>
      </x:c>
      <x:c r="H493" s="10"/>
      <x:c r="I493" s="10"/>
      <x:c r="J493" s="10"/>
      <x:c r="K493" s="10"/>
      <x:c r="L493" s="11"/>
      <x:c r="M493" s="12"/>
      <x:c r="N493" s="10"/>
    </x:row>
    <x:row r="494" ht="25" customHeight="1">
      <x:c r="A494" s="9" t="str">
        <x:v>QA-MAT-038</x:v>
      </x:c>
      <x:c r="B494" s="9" t="str">
        <x:v>MAT</x:v>
      </x:c>
      <x:c r="C494" s="9" t="str">
        <x:v>Vende Ya / Garage / 01 / identidad C Comuna</x:v>
      </x:c>
      <x:c r="D494" s="9" t="str">
        <x:v>P1</x:v>
      </x:c>
      <x:c r="E494" s="9" t="str">
        <x:v>Positiva</x:v>
      </x:c>
      <x:c r="F494" s="9" t="str">
        <x:v>Navegador + HTTP + persistencia</x:v>
      </x:c>
      <x:c r="G494" s="10" t="str">
        <x:v>Pendiente</x:v>
      </x:c>
      <x:c r="H494" s="10"/>
      <x:c r="I494" s="10"/>
      <x:c r="J494" s="10"/>
      <x:c r="K494" s="10"/>
      <x:c r="L494" s="11"/>
      <x:c r="M494" s="12"/>
      <x:c r="N494" s="10"/>
    </x:row>
    <x:row r="495" ht="25" customHeight="1">
      <x:c r="A495" s="9" t="str">
        <x:v>QA-MAT-039</x:v>
      </x:c>
      <x:c r="B495" s="9" t="str">
        <x:v>MAT</x:v>
      </x:c>
      <x:c r="C495" s="9" t="str">
        <x:v>Vende Ya / Garage / 01 / identidad G Gubernamental</x:v>
      </x:c>
      <x:c r="D495" s="9" t="str">
        <x:v>P1</x:v>
      </x:c>
      <x:c r="E495" s="9" t="str">
        <x:v>Positiva</x:v>
      </x:c>
      <x:c r="F495" s="9" t="str">
        <x:v>Navegador + HTTP + persistencia</x:v>
      </x:c>
      <x:c r="G495" s="10" t="str">
        <x:v>Pendiente</x:v>
      </x:c>
      <x:c r="H495" s="10"/>
      <x:c r="I495" s="10"/>
      <x:c r="J495" s="10"/>
      <x:c r="K495" s="10"/>
      <x:c r="L495" s="11"/>
      <x:c r="M495" s="12"/>
      <x:c r="N495" s="10"/>
    </x:row>
    <x:row r="496" ht="25" customHeight="1">
      <x:c r="A496" s="9" t="str">
        <x:v>QA-MAT-040</x:v>
      </x:c>
      <x:c r="B496" s="9" t="str">
        <x:v>MAT</x:v>
      </x:c>
      <x:c r="C496" s="9" t="str">
        <x:v>Vende Ya / Garage / 01 / identidad R Firma Personal</x:v>
      </x:c>
      <x:c r="D496" s="9" t="str">
        <x:v>P1</x:v>
      </x:c>
      <x:c r="E496" s="9" t="str">
        <x:v>Positiva</x:v>
      </x:c>
      <x:c r="F496" s="9" t="str">
        <x:v>Navegador + HTTP + persistencia</x:v>
      </x:c>
      <x:c r="G496" s="10" t="str">
        <x:v>Pendiente</x:v>
      </x:c>
      <x:c r="H496" s="10"/>
      <x:c r="I496" s="10"/>
      <x:c r="J496" s="10"/>
      <x:c r="K496" s="10"/>
      <x:c r="L496" s="11"/>
      <x:c r="M496" s="12"/>
      <x:c r="N496" s="10"/>
    </x:row>
    <x:row r="497" ht="25" customHeight="1">
      <x:c r="A497" s="9" t="str">
        <x:v>QA-MAT-041</x:v>
      </x:c>
      <x:c r="B497" s="9" t="str">
        <x:v>MAT</x:v>
      </x:c>
      <x:c r="C497" s="9" t="str">
        <x:v>Vende Ya / Garage / 80 / identidad 0 Doc.sin.rif</x:v>
      </x:c>
      <x:c r="D497" s="9" t="str">
        <x:v>P1</x:v>
      </x:c>
      <x:c r="E497" s="9" t="str">
        <x:v>Positiva</x:v>
      </x:c>
      <x:c r="F497" s="9" t="str">
        <x:v>Navegador + HTTP + persistencia</x:v>
      </x:c>
      <x:c r="G497" s="10" t="str">
        <x:v>Pendiente</x:v>
      </x:c>
      <x:c r="H497" s="10"/>
      <x:c r="I497" s="10"/>
      <x:c r="J497" s="10"/>
      <x:c r="K497" s="10"/>
      <x:c r="L497" s="11"/>
      <x:c r="M497" s="12"/>
      <x:c r="N497" s="10"/>
    </x:row>
    <x:row r="498" ht="25" customHeight="1">
      <x:c r="A498" s="9" t="str">
        <x:v>QA-MAT-042</x:v>
      </x:c>
      <x:c r="B498" s="9" t="str">
        <x:v>MAT</x:v>
      </x:c>
      <x:c r="C498" s="9" t="str">
        <x:v>Vende Ya / Garage / 80 / identidad 1 Venezolano</x:v>
      </x:c>
      <x:c r="D498" s="9" t="str">
        <x:v>P1</x:v>
      </x:c>
      <x:c r="E498" s="9" t="str">
        <x:v>Positiva</x:v>
      </x:c>
      <x:c r="F498" s="9" t="str">
        <x:v>Navegador + HTTP + persistencia</x:v>
      </x:c>
      <x:c r="G498" s="10" t="str">
        <x:v>Pendiente</x:v>
      </x:c>
      <x:c r="H498" s="10"/>
      <x:c r="I498" s="10"/>
      <x:c r="J498" s="10"/>
      <x:c r="K498" s="10"/>
      <x:c r="L498" s="11"/>
      <x:c r="M498" s="12"/>
      <x:c r="N498" s="10"/>
    </x:row>
    <x:row r="499" ht="25" customHeight="1">
      <x:c r="A499" s="9" t="str">
        <x:v>QA-MAT-043</x:v>
      </x:c>
      <x:c r="B499" s="9" t="str">
        <x:v>MAT</x:v>
      </x:c>
      <x:c r="C499" s="9" t="str">
        <x:v>Vende Ya / Garage / 80 / identidad 6 Juridico</x:v>
      </x:c>
      <x:c r="D499" s="9" t="str">
        <x:v>P1</x:v>
      </x:c>
      <x:c r="E499" s="9" t="str">
        <x:v>Positiva</x:v>
      </x:c>
      <x:c r="F499" s="9" t="str">
        <x:v>Navegador + HTTP + persistencia</x:v>
      </x:c>
      <x:c r="G499" s="10" t="str">
        <x:v>Pendiente</x:v>
      </x:c>
      <x:c r="H499" s="10"/>
      <x:c r="I499" s="10"/>
      <x:c r="J499" s="10"/>
      <x:c r="K499" s="10"/>
      <x:c r="L499" s="11"/>
      <x:c r="M499" s="12"/>
      <x:c r="N499" s="10"/>
    </x:row>
    <x:row r="500" ht="25" customHeight="1">
      <x:c r="A500" s="9" t="str">
        <x:v>QA-MAT-044</x:v>
      </x:c>
      <x:c r="B500" s="9" t="str">
        <x:v>MAT</x:v>
      </x:c>
      <x:c r="C500" s="9" t="str">
        <x:v>Vende Ya / Garage / 80 / identidad 7 Pasaporte</x:v>
      </x:c>
      <x:c r="D500" s="9" t="str">
        <x:v>P1</x:v>
      </x:c>
      <x:c r="E500" s="9" t="str">
        <x:v>Positiva</x:v>
      </x:c>
      <x:c r="F500" s="9" t="str">
        <x:v>Navegador + HTTP + persistencia</x:v>
      </x:c>
      <x:c r="G500" s="10" t="str">
        <x:v>Pendiente</x:v>
      </x:c>
      <x:c r="H500" s="10"/>
      <x:c r="I500" s="10"/>
      <x:c r="J500" s="10"/>
      <x:c r="K500" s="10"/>
      <x:c r="L500" s="11"/>
      <x:c r="M500" s="12"/>
      <x:c r="N500" s="10"/>
    </x:row>
    <x:row r="501" ht="25" customHeight="1">
      <x:c r="A501" s="9" t="str">
        <x:v>QA-MAT-045</x:v>
      </x:c>
      <x:c r="B501" s="9" t="str">
        <x:v>MAT</x:v>
      </x:c>
      <x:c r="C501" s="9" t="str">
        <x:v>Vende Ya / Garage / 80 / identidad E Extranjero</x:v>
      </x:c>
      <x:c r="D501" s="9" t="str">
        <x:v>P1</x:v>
      </x:c>
      <x:c r="E501" s="9" t="str">
        <x:v>Positiva</x:v>
      </x:c>
      <x:c r="F501" s="9" t="str">
        <x:v>Navegador + HTTP + persistencia</x:v>
      </x:c>
      <x:c r="G501" s="10" t="str">
        <x:v>Pendiente</x:v>
      </x:c>
      <x:c r="H501" s="10"/>
      <x:c r="I501" s="10"/>
      <x:c r="J501" s="10"/>
      <x:c r="K501" s="10"/>
      <x:c r="L501" s="11"/>
      <x:c r="M501" s="12"/>
      <x:c r="N501" s="10"/>
    </x:row>
    <x:row r="502" ht="25" customHeight="1">
      <x:c r="A502" s="9" t="str">
        <x:v>QA-MAT-046</x:v>
      </x:c>
      <x:c r="B502" s="9" t="str">
        <x:v>MAT</x:v>
      </x:c>
      <x:c r="C502" s="9" t="str">
        <x:v>Vende Ya / Garage / 80 / identidad C Comuna</x:v>
      </x:c>
      <x:c r="D502" s="9" t="str">
        <x:v>P1</x:v>
      </x:c>
      <x:c r="E502" s="9" t="str">
        <x:v>Positiva</x:v>
      </x:c>
      <x:c r="F502" s="9" t="str">
        <x:v>Navegador + HTTP + persistencia</x:v>
      </x:c>
      <x:c r="G502" s="10" t="str">
        <x:v>Pendiente</x:v>
      </x:c>
      <x:c r="H502" s="10"/>
      <x:c r="I502" s="10"/>
      <x:c r="J502" s="10"/>
      <x:c r="K502" s="10"/>
      <x:c r="L502" s="11"/>
      <x:c r="M502" s="12"/>
      <x:c r="N502" s="10"/>
    </x:row>
    <x:row r="503" ht="25" customHeight="1">
      <x:c r="A503" s="9" t="str">
        <x:v>QA-MAT-047</x:v>
      </x:c>
      <x:c r="B503" s="9" t="str">
        <x:v>MAT</x:v>
      </x:c>
      <x:c r="C503" s="9" t="str">
        <x:v>Vende Ya / Garage / 80 / identidad G Gubernamental</x:v>
      </x:c>
      <x:c r="D503" s="9" t="str">
        <x:v>P1</x:v>
      </x:c>
      <x:c r="E503" s="9" t="str">
        <x:v>Positiva</x:v>
      </x:c>
      <x:c r="F503" s="9" t="str">
        <x:v>Navegador + HTTP + persistencia</x:v>
      </x:c>
      <x:c r="G503" s="10" t="str">
        <x:v>Pendiente</x:v>
      </x:c>
      <x:c r="H503" s="10"/>
      <x:c r="I503" s="10"/>
      <x:c r="J503" s="10"/>
      <x:c r="K503" s="10"/>
      <x:c r="L503" s="11"/>
      <x:c r="M503" s="12"/>
      <x:c r="N503" s="10"/>
    </x:row>
    <x:row r="504" ht="25" customHeight="1">
      <x:c r="A504" s="9" t="str">
        <x:v>QA-MAT-048</x:v>
      </x:c>
      <x:c r="B504" s="9" t="str">
        <x:v>MAT</x:v>
      </x:c>
      <x:c r="C504" s="9" t="str">
        <x:v>Vende Ya / Garage / 80 / identidad R Firma Personal</x:v>
      </x:c>
      <x:c r="D504" s="9" t="str">
        <x:v>P1</x:v>
      </x:c>
      <x:c r="E504" s="9" t="str">
        <x:v>Positiva</x:v>
      </x:c>
      <x:c r="F504" s="9" t="str">
        <x:v>Navegador + HTTP + persistencia</x:v>
      </x:c>
      <x:c r="G504" s="10" t="str">
        <x:v>Pendiente</x:v>
      </x:c>
      <x:c r="H504" s="10"/>
      <x:c r="I504" s="10"/>
      <x:c r="J504" s="10"/>
      <x:c r="K504" s="10"/>
      <x:c r="L504" s="11"/>
      <x:c r="M504" s="12"/>
      <x:c r="N504" s="10"/>
    </x:row>
    <x:row r="505" ht="25" customHeight="1">
      <x:c r="A505" s="9" t="str">
        <x:v>QA-MAT-049</x:v>
      </x:c>
      <x:c r="B505" s="9" t="str">
        <x:v>MAT</x:v>
      </x:c>
      <x:c r="C505" s="9" t="str">
        <x:v>Venta rápida / 01 / identidad 0 Doc.sin.rif</x:v>
      </x:c>
      <x:c r="D505" s="9" t="str">
        <x:v>P1</x:v>
      </x:c>
      <x:c r="E505" s="9" t="str">
        <x:v>Positiva</x:v>
      </x:c>
      <x:c r="F505" s="9" t="str">
        <x:v>Navegador + HTTP + persistencia</x:v>
      </x:c>
      <x:c r="G505" s="10" t="str">
        <x:v>Pendiente</x:v>
      </x:c>
      <x:c r="H505" s="10"/>
      <x:c r="I505" s="10"/>
      <x:c r="J505" s="10"/>
      <x:c r="K505" s="10"/>
      <x:c r="L505" s="11"/>
      <x:c r="M505" s="12"/>
      <x:c r="N505" s="10"/>
    </x:row>
    <x:row r="506" ht="25" customHeight="1">
      <x:c r="A506" s="9" t="str">
        <x:v>QA-MAT-050</x:v>
      </x:c>
      <x:c r="B506" s="9" t="str">
        <x:v>MAT</x:v>
      </x:c>
      <x:c r="C506" s="9" t="str">
        <x:v>Venta rápida / 01 / identidad 1 Venezolano</x:v>
      </x:c>
      <x:c r="D506" s="9" t="str">
        <x:v>P1</x:v>
      </x:c>
      <x:c r="E506" s="9" t="str">
        <x:v>Positiva</x:v>
      </x:c>
      <x:c r="F506" s="9" t="str">
        <x:v>Navegador + HTTP + persistencia</x:v>
      </x:c>
      <x:c r="G506" s="10" t="str">
        <x:v>Pendiente</x:v>
      </x:c>
      <x:c r="H506" s="10"/>
      <x:c r="I506" s="10"/>
      <x:c r="J506" s="10"/>
      <x:c r="K506" s="10"/>
      <x:c r="L506" s="11"/>
      <x:c r="M506" s="12"/>
      <x:c r="N506" s="10"/>
    </x:row>
    <x:row r="507" ht="25" customHeight="1">
      <x:c r="A507" s="9" t="str">
        <x:v>QA-MAT-051</x:v>
      </x:c>
      <x:c r="B507" s="9" t="str">
        <x:v>MAT</x:v>
      </x:c>
      <x:c r="C507" s="9" t="str">
        <x:v>Venta rápida / 01 / identidad 6 Juridico</x:v>
      </x:c>
      <x:c r="D507" s="9" t="str">
        <x:v>P1</x:v>
      </x:c>
      <x:c r="E507" s="9" t="str">
        <x:v>Positiva</x:v>
      </x:c>
      <x:c r="F507" s="9" t="str">
        <x:v>Navegador + HTTP + persistencia</x:v>
      </x:c>
      <x:c r="G507" s="10" t="str">
        <x:v>Pendiente</x:v>
      </x:c>
      <x:c r="H507" s="10"/>
      <x:c r="I507" s="10"/>
      <x:c r="J507" s="10"/>
      <x:c r="K507" s="10"/>
      <x:c r="L507" s="11"/>
      <x:c r="M507" s="12"/>
      <x:c r="N507" s="10"/>
    </x:row>
    <x:row r="508" ht="25" customHeight="1">
      <x:c r="A508" s="9" t="str">
        <x:v>QA-MAT-052</x:v>
      </x:c>
      <x:c r="B508" s="9" t="str">
        <x:v>MAT</x:v>
      </x:c>
      <x:c r="C508" s="9" t="str">
        <x:v>Venta rápida / 01 / identidad 7 Pasaporte</x:v>
      </x:c>
      <x:c r="D508" s="9" t="str">
        <x:v>P1</x:v>
      </x:c>
      <x:c r="E508" s="9" t="str">
        <x:v>Positiva</x:v>
      </x:c>
      <x:c r="F508" s="9" t="str">
        <x:v>Navegador + HTTP + persistencia</x:v>
      </x:c>
      <x:c r="G508" s="10" t="str">
        <x:v>Pendiente</x:v>
      </x:c>
      <x:c r="H508" s="10"/>
      <x:c r="I508" s="10"/>
      <x:c r="J508" s="10"/>
      <x:c r="K508" s="10"/>
      <x:c r="L508" s="11"/>
      <x:c r="M508" s="12"/>
      <x:c r="N508" s="10"/>
    </x:row>
    <x:row r="509" ht="25" customHeight="1">
      <x:c r="A509" s="9" t="str">
        <x:v>QA-MAT-053</x:v>
      </x:c>
      <x:c r="B509" s="9" t="str">
        <x:v>MAT</x:v>
      </x:c>
      <x:c r="C509" s="9" t="str">
        <x:v>Venta rápida / 01 / identidad E Extranjero</x:v>
      </x:c>
      <x:c r="D509" s="9" t="str">
        <x:v>P1</x:v>
      </x:c>
      <x:c r="E509" s="9" t="str">
        <x:v>Positiva</x:v>
      </x:c>
      <x:c r="F509" s="9" t="str">
        <x:v>Navegador + HTTP + persistencia</x:v>
      </x:c>
      <x:c r="G509" s="10" t="str">
        <x:v>Pendiente</x:v>
      </x:c>
      <x:c r="H509" s="10"/>
      <x:c r="I509" s="10"/>
      <x:c r="J509" s="10"/>
      <x:c r="K509" s="10"/>
      <x:c r="L509" s="11"/>
      <x:c r="M509" s="12"/>
      <x:c r="N509" s="10"/>
    </x:row>
    <x:row r="510" ht="25" customHeight="1">
      <x:c r="A510" s="9" t="str">
        <x:v>QA-MAT-054</x:v>
      </x:c>
      <x:c r="B510" s="9" t="str">
        <x:v>MAT</x:v>
      </x:c>
      <x:c r="C510" s="9" t="str">
        <x:v>Venta rápida / 01 / identidad C Comuna</x:v>
      </x:c>
      <x:c r="D510" s="9" t="str">
        <x:v>P1</x:v>
      </x:c>
      <x:c r="E510" s="9" t="str">
        <x:v>Positiva</x:v>
      </x:c>
      <x:c r="F510" s="9" t="str">
        <x:v>Navegador + HTTP + persistencia</x:v>
      </x:c>
      <x:c r="G510" s="10" t="str">
        <x:v>Pendiente</x:v>
      </x:c>
      <x:c r="H510" s="10"/>
      <x:c r="I510" s="10"/>
      <x:c r="J510" s="10"/>
      <x:c r="K510" s="10"/>
      <x:c r="L510" s="11"/>
      <x:c r="M510" s="12"/>
      <x:c r="N510" s="10"/>
    </x:row>
    <x:row r="511" ht="25" customHeight="1">
      <x:c r="A511" s="9" t="str">
        <x:v>QA-MAT-055</x:v>
      </x:c>
      <x:c r="B511" s="9" t="str">
        <x:v>MAT</x:v>
      </x:c>
      <x:c r="C511" s="9" t="str">
        <x:v>Venta rápida / 01 / identidad G Gubernamental</x:v>
      </x:c>
      <x:c r="D511" s="9" t="str">
        <x:v>P1</x:v>
      </x:c>
      <x:c r="E511" s="9" t="str">
        <x:v>Positiva</x:v>
      </x:c>
      <x:c r="F511" s="9" t="str">
        <x:v>Navegador + HTTP + persistencia</x:v>
      </x:c>
      <x:c r="G511" s="10" t="str">
        <x:v>Pendiente</x:v>
      </x:c>
      <x:c r="H511" s="10"/>
      <x:c r="I511" s="10"/>
      <x:c r="J511" s="10"/>
      <x:c r="K511" s="10"/>
      <x:c r="L511" s="11"/>
      <x:c r="M511" s="12"/>
      <x:c r="N511" s="10"/>
    </x:row>
    <x:row r="512" ht="25" customHeight="1">
      <x:c r="A512" s="9" t="str">
        <x:v>QA-MAT-056</x:v>
      </x:c>
      <x:c r="B512" s="9" t="str">
        <x:v>MAT</x:v>
      </x:c>
      <x:c r="C512" s="9" t="str">
        <x:v>Venta rápida / 01 / identidad R Firma Personal</x:v>
      </x:c>
      <x:c r="D512" s="9" t="str">
        <x:v>P1</x:v>
      </x:c>
      <x:c r="E512" s="9" t="str">
        <x:v>Positiva</x:v>
      </x:c>
      <x:c r="F512" s="9" t="str">
        <x:v>Navegador + HTTP + persistencia</x:v>
      </x:c>
      <x:c r="G512" s="10" t="str">
        <x:v>Pendiente</x:v>
      </x:c>
      <x:c r="H512" s="10"/>
      <x:c r="I512" s="10"/>
      <x:c r="J512" s="10"/>
      <x:c r="K512" s="10"/>
      <x:c r="L512" s="11"/>
      <x:c r="M512" s="12"/>
      <x:c r="N512" s="10"/>
    </x:row>
    <x:row r="513" ht="25" customHeight="1">
      <x:c r="A513" s="9" t="str">
        <x:v>QA-MAT-057</x:v>
      </x:c>
      <x:c r="B513" s="9" t="str">
        <x:v>MAT</x:v>
      </x:c>
      <x:c r="C513" s="9" t="str">
        <x:v>Venta rápida / 80 / identidad 0 Doc.sin.rif</x:v>
      </x:c>
      <x:c r="D513" s="9" t="str">
        <x:v>P1</x:v>
      </x:c>
      <x:c r="E513" s="9" t="str">
        <x:v>Positiva</x:v>
      </x:c>
      <x:c r="F513" s="9" t="str">
        <x:v>Navegador + HTTP + persistencia</x:v>
      </x:c>
      <x:c r="G513" s="10" t="str">
        <x:v>Pendiente</x:v>
      </x:c>
      <x:c r="H513" s="10"/>
      <x:c r="I513" s="10"/>
      <x:c r="J513" s="10"/>
      <x:c r="K513" s="10"/>
      <x:c r="L513" s="11"/>
      <x:c r="M513" s="12"/>
      <x:c r="N513" s="10"/>
    </x:row>
    <x:row r="514" ht="25" customHeight="1">
      <x:c r="A514" s="9" t="str">
        <x:v>QA-MAT-058</x:v>
      </x:c>
      <x:c r="B514" s="9" t="str">
        <x:v>MAT</x:v>
      </x:c>
      <x:c r="C514" s="9" t="str">
        <x:v>Venta rápida / 80 / identidad 1 Venezolano</x:v>
      </x:c>
      <x:c r="D514" s="9" t="str">
        <x:v>P1</x:v>
      </x:c>
      <x:c r="E514" s="9" t="str">
        <x:v>Positiva</x:v>
      </x:c>
      <x:c r="F514" s="9" t="str">
        <x:v>Navegador + HTTP + persistencia</x:v>
      </x:c>
      <x:c r="G514" s="10" t="str">
        <x:v>Pendiente</x:v>
      </x:c>
      <x:c r="H514" s="10"/>
      <x:c r="I514" s="10"/>
      <x:c r="J514" s="10"/>
      <x:c r="K514" s="10"/>
      <x:c r="L514" s="11"/>
      <x:c r="M514" s="12"/>
      <x:c r="N514" s="10"/>
    </x:row>
    <x:row r="515" ht="25" customHeight="1">
      <x:c r="A515" s="9" t="str">
        <x:v>QA-MAT-059</x:v>
      </x:c>
      <x:c r="B515" s="9" t="str">
        <x:v>MAT</x:v>
      </x:c>
      <x:c r="C515" s="9" t="str">
        <x:v>Venta rápida / 80 / identidad 6 Juridico</x:v>
      </x:c>
      <x:c r="D515" s="9" t="str">
        <x:v>P1</x:v>
      </x:c>
      <x:c r="E515" s="9" t="str">
        <x:v>Positiva</x:v>
      </x:c>
      <x:c r="F515" s="9" t="str">
        <x:v>Navegador + HTTP + persistencia</x:v>
      </x:c>
      <x:c r="G515" s="10" t="str">
        <x:v>Pendiente</x:v>
      </x:c>
      <x:c r="H515" s="10"/>
      <x:c r="I515" s="10"/>
      <x:c r="J515" s="10"/>
      <x:c r="K515" s="10"/>
      <x:c r="L515" s="11"/>
      <x:c r="M515" s="12"/>
      <x:c r="N515" s="10"/>
    </x:row>
    <x:row r="516" ht="25" customHeight="1">
      <x:c r="A516" s="9" t="str">
        <x:v>QA-MAT-060</x:v>
      </x:c>
      <x:c r="B516" s="9" t="str">
        <x:v>MAT</x:v>
      </x:c>
      <x:c r="C516" s="9" t="str">
        <x:v>Venta rápida / 80 / identidad 7 Pasaporte</x:v>
      </x:c>
      <x:c r="D516" s="9" t="str">
        <x:v>P1</x:v>
      </x:c>
      <x:c r="E516" s="9" t="str">
        <x:v>Positiva</x:v>
      </x:c>
      <x:c r="F516" s="9" t="str">
        <x:v>Navegador + HTTP + persistencia</x:v>
      </x:c>
      <x:c r="G516" s="10" t="str">
        <x:v>Pendiente</x:v>
      </x:c>
      <x:c r="H516" s="10"/>
      <x:c r="I516" s="10"/>
      <x:c r="J516" s="10"/>
      <x:c r="K516" s="10"/>
      <x:c r="L516" s="11"/>
      <x:c r="M516" s="12"/>
      <x:c r="N516" s="10"/>
    </x:row>
    <x:row r="517" ht="25" customHeight="1">
      <x:c r="A517" s="9" t="str">
        <x:v>QA-MAT-061</x:v>
      </x:c>
      <x:c r="B517" s="9" t="str">
        <x:v>MAT</x:v>
      </x:c>
      <x:c r="C517" s="9" t="str">
        <x:v>Venta rápida / 80 / identidad E Extranjero</x:v>
      </x:c>
      <x:c r="D517" s="9" t="str">
        <x:v>P1</x:v>
      </x:c>
      <x:c r="E517" s="9" t="str">
        <x:v>Positiva</x:v>
      </x:c>
      <x:c r="F517" s="9" t="str">
        <x:v>Navegador + HTTP + persistencia</x:v>
      </x:c>
      <x:c r="G517" s="10" t="str">
        <x:v>Pendiente</x:v>
      </x:c>
      <x:c r="H517" s="10"/>
      <x:c r="I517" s="10"/>
      <x:c r="J517" s="10"/>
      <x:c r="K517" s="10"/>
      <x:c r="L517" s="11"/>
      <x:c r="M517" s="12"/>
      <x:c r="N517" s="10"/>
    </x:row>
    <x:row r="518" ht="25" customHeight="1">
      <x:c r="A518" s="9" t="str">
        <x:v>QA-MAT-062</x:v>
      </x:c>
      <x:c r="B518" s="9" t="str">
        <x:v>MAT</x:v>
      </x:c>
      <x:c r="C518" s="9" t="str">
        <x:v>Venta rápida / 80 / identidad C Comuna</x:v>
      </x:c>
      <x:c r="D518" s="9" t="str">
        <x:v>P1</x:v>
      </x:c>
      <x:c r="E518" s="9" t="str">
        <x:v>Positiva</x:v>
      </x:c>
      <x:c r="F518" s="9" t="str">
        <x:v>Navegador + HTTP + persistencia</x:v>
      </x:c>
      <x:c r="G518" s="10" t="str">
        <x:v>Pendiente</x:v>
      </x:c>
      <x:c r="H518" s="10"/>
      <x:c r="I518" s="10"/>
      <x:c r="J518" s="10"/>
      <x:c r="K518" s="10"/>
      <x:c r="L518" s="11"/>
      <x:c r="M518" s="12"/>
      <x:c r="N518" s="10"/>
    </x:row>
    <x:row r="519" ht="25" customHeight="1">
      <x:c r="A519" s="9" t="str">
        <x:v>QA-MAT-063</x:v>
      </x:c>
      <x:c r="B519" s="9" t="str">
        <x:v>MAT</x:v>
      </x:c>
      <x:c r="C519" s="9" t="str">
        <x:v>Venta rápida / 80 / identidad G Gubernamental</x:v>
      </x:c>
      <x:c r="D519" s="9" t="str">
        <x:v>P1</x:v>
      </x:c>
      <x:c r="E519" s="9" t="str">
        <x:v>Positiva</x:v>
      </x:c>
      <x:c r="F519" s="9" t="str">
        <x:v>Navegador + HTTP + persistencia</x:v>
      </x:c>
      <x:c r="G519" s="10" t="str">
        <x:v>Pendiente</x:v>
      </x:c>
      <x:c r="H519" s="10"/>
      <x:c r="I519" s="10"/>
      <x:c r="J519" s="10"/>
      <x:c r="K519" s="10"/>
      <x:c r="L519" s="11"/>
      <x:c r="M519" s="12"/>
      <x:c r="N519" s="10"/>
    </x:row>
    <x:row r="520" ht="25" customHeight="1">
      <x:c r="A520" s="9" t="str">
        <x:v>QA-MAT-064</x:v>
      </x:c>
      <x:c r="B520" s="9" t="str">
        <x:v>MAT</x:v>
      </x:c>
      <x:c r="C520" s="9" t="str">
        <x:v>Venta rápida / 80 / identidad R Firma Personal</x:v>
      </x:c>
      <x:c r="D520" s="9" t="str">
        <x:v>P1</x:v>
      </x:c>
      <x:c r="E520" s="9" t="str">
        <x:v>Positiva</x:v>
      </x:c>
      <x:c r="F520" s="9" t="str">
        <x:v>Navegador + HTTP + persistencia</x:v>
      </x:c>
      <x:c r="G520" s="10" t="str">
        <x:v>Pendiente</x:v>
      </x:c>
      <x:c r="H520" s="10"/>
      <x:c r="I520" s="10"/>
      <x:c r="J520" s="10"/>
      <x:c r="K520" s="10"/>
      <x:c r="L520" s="11"/>
      <x:c r="M520" s="12"/>
      <x:c r="N520" s="10"/>
    </x:row>
    <x:row r="521" ht="25" customHeight="1">
      <x:c r="A521" s="9" t="str">
        <x:v>QA-MAT-065</x:v>
      </x:c>
      <x:c r="B521" s="9" t="str">
        <x:v>MAT</x:v>
      </x:c>
      <x:c r="C521" s="9" t="str">
        <x:v>API de venta / 01 / identidad 0 Doc.sin.rif</x:v>
      </x:c>
      <x:c r="D521" s="9" t="str">
        <x:v>P1</x:v>
      </x:c>
      <x:c r="E521" s="9" t="str">
        <x:v>Positiva</x:v>
      </x:c>
      <x:c r="F521" s="9" t="str">
        <x:v>Navegador + HTTP + persistencia</x:v>
      </x:c>
      <x:c r="G521" s="10" t="str">
        <x:v>Pendiente</x:v>
      </x:c>
      <x:c r="H521" s="10"/>
      <x:c r="I521" s="10"/>
      <x:c r="J521" s="10"/>
      <x:c r="K521" s="10"/>
      <x:c r="L521" s="11"/>
      <x:c r="M521" s="12"/>
      <x:c r="N521" s="10"/>
    </x:row>
    <x:row r="522" ht="25" customHeight="1">
      <x:c r="A522" s="9" t="str">
        <x:v>QA-MAT-066</x:v>
      </x:c>
      <x:c r="B522" s="9" t="str">
        <x:v>MAT</x:v>
      </x:c>
      <x:c r="C522" s="9" t="str">
        <x:v>API de venta / 01 / identidad 1 Venezolano</x:v>
      </x:c>
      <x:c r="D522" s="9" t="str">
        <x:v>P1</x:v>
      </x:c>
      <x:c r="E522" s="9" t="str">
        <x:v>Positiva</x:v>
      </x:c>
      <x:c r="F522" s="9" t="str">
        <x:v>Navegador + HTTP + persistencia</x:v>
      </x:c>
      <x:c r="G522" s="10" t="str">
        <x:v>Pendiente</x:v>
      </x:c>
      <x:c r="H522" s="10"/>
      <x:c r="I522" s="10"/>
      <x:c r="J522" s="10"/>
      <x:c r="K522" s="10"/>
      <x:c r="L522" s="11"/>
      <x:c r="M522" s="12"/>
      <x:c r="N522" s="10"/>
    </x:row>
    <x:row r="523" ht="25" customHeight="1">
      <x:c r="A523" s="9" t="str">
        <x:v>QA-MAT-067</x:v>
      </x:c>
      <x:c r="B523" s="9" t="str">
        <x:v>MAT</x:v>
      </x:c>
      <x:c r="C523" s="9" t="str">
        <x:v>API de venta / 01 / identidad 6 Juridico</x:v>
      </x:c>
      <x:c r="D523" s="9" t="str">
        <x:v>P1</x:v>
      </x:c>
      <x:c r="E523" s="9" t="str">
        <x:v>Positiva</x:v>
      </x:c>
      <x:c r="F523" s="9" t="str">
        <x:v>Navegador + HTTP + persistencia</x:v>
      </x:c>
      <x:c r="G523" s="10" t="str">
        <x:v>Pendiente</x:v>
      </x:c>
      <x:c r="H523" s="10"/>
      <x:c r="I523" s="10"/>
      <x:c r="J523" s="10"/>
      <x:c r="K523" s="10"/>
      <x:c r="L523" s="11"/>
      <x:c r="M523" s="12"/>
      <x:c r="N523" s="10"/>
    </x:row>
    <x:row r="524" ht="25" customHeight="1">
      <x:c r="A524" s="9" t="str">
        <x:v>QA-MAT-068</x:v>
      </x:c>
      <x:c r="B524" s="9" t="str">
        <x:v>MAT</x:v>
      </x:c>
      <x:c r="C524" s="9" t="str">
        <x:v>API de venta / 01 / identidad 7 Pasaporte</x:v>
      </x:c>
      <x:c r="D524" s="9" t="str">
        <x:v>P1</x:v>
      </x:c>
      <x:c r="E524" s="9" t="str">
        <x:v>Positiva</x:v>
      </x:c>
      <x:c r="F524" s="9" t="str">
        <x:v>Navegador + HTTP + persistencia</x:v>
      </x:c>
      <x:c r="G524" s="10" t="str">
        <x:v>Pendiente</x:v>
      </x:c>
      <x:c r="H524" s="10"/>
      <x:c r="I524" s="10"/>
      <x:c r="J524" s="10"/>
      <x:c r="K524" s="10"/>
      <x:c r="L524" s="11"/>
      <x:c r="M524" s="12"/>
      <x:c r="N524" s="10"/>
    </x:row>
    <x:row r="525" ht="25" customHeight="1">
      <x:c r="A525" s="9" t="str">
        <x:v>QA-MAT-069</x:v>
      </x:c>
      <x:c r="B525" s="9" t="str">
        <x:v>MAT</x:v>
      </x:c>
      <x:c r="C525" s="9" t="str">
        <x:v>API de venta / 01 / identidad E Extranjero</x:v>
      </x:c>
      <x:c r="D525" s="9" t="str">
        <x:v>P1</x:v>
      </x:c>
      <x:c r="E525" s="9" t="str">
        <x:v>Positiva</x:v>
      </x:c>
      <x:c r="F525" s="9" t="str">
        <x:v>Navegador + HTTP + persistencia</x:v>
      </x:c>
      <x:c r="G525" s="10" t="str">
        <x:v>Pendiente</x:v>
      </x:c>
      <x:c r="H525" s="10"/>
      <x:c r="I525" s="10"/>
      <x:c r="J525" s="10"/>
      <x:c r="K525" s="10"/>
      <x:c r="L525" s="11"/>
      <x:c r="M525" s="12"/>
      <x:c r="N525" s="10"/>
    </x:row>
    <x:row r="526" ht="25" customHeight="1">
      <x:c r="A526" s="9" t="str">
        <x:v>QA-MAT-070</x:v>
      </x:c>
      <x:c r="B526" s="9" t="str">
        <x:v>MAT</x:v>
      </x:c>
      <x:c r="C526" s="9" t="str">
        <x:v>API de venta / 01 / identidad C Comuna</x:v>
      </x:c>
      <x:c r="D526" s="9" t="str">
        <x:v>P1</x:v>
      </x:c>
      <x:c r="E526" s="9" t="str">
        <x:v>Positiva</x:v>
      </x:c>
      <x:c r="F526" s="9" t="str">
        <x:v>Navegador + HTTP + persistencia</x:v>
      </x:c>
      <x:c r="G526" s="10" t="str">
        <x:v>Pendiente</x:v>
      </x:c>
      <x:c r="H526" s="10"/>
      <x:c r="I526" s="10"/>
      <x:c r="J526" s="10"/>
      <x:c r="K526" s="10"/>
      <x:c r="L526" s="11"/>
      <x:c r="M526" s="12"/>
      <x:c r="N526" s="10"/>
    </x:row>
    <x:row r="527" ht="25" customHeight="1">
      <x:c r="A527" s="9" t="str">
        <x:v>QA-MAT-071</x:v>
      </x:c>
      <x:c r="B527" s="9" t="str">
        <x:v>MAT</x:v>
      </x:c>
      <x:c r="C527" s="9" t="str">
        <x:v>API de venta / 01 / identidad G Gubernamental</x:v>
      </x:c>
      <x:c r="D527" s="9" t="str">
        <x:v>P1</x:v>
      </x:c>
      <x:c r="E527" s="9" t="str">
        <x:v>Positiva</x:v>
      </x:c>
      <x:c r="F527" s="9" t="str">
        <x:v>Navegador + HTTP + persistencia</x:v>
      </x:c>
      <x:c r="G527" s="10" t="str">
        <x:v>Pendiente</x:v>
      </x:c>
      <x:c r="H527" s="10"/>
      <x:c r="I527" s="10"/>
      <x:c r="J527" s="10"/>
      <x:c r="K527" s="10"/>
      <x:c r="L527" s="11"/>
      <x:c r="M527" s="12"/>
      <x:c r="N527" s="10"/>
    </x:row>
    <x:row r="528" ht="25" customHeight="1">
      <x:c r="A528" s="9" t="str">
        <x:v>QA-MAT-072</x:v>
      </x:c>
      <x:c r="B528" s="9" t="str">
        <x:v>MAT</x:v>
      </x:c>
      <x:c r="C528" s="9" t="str">
        <x:v>API de venta / 01 / identidad R Firma Personal</x:v>
      </x:c>
      <x:c r="D528" s="9" t="str">
        <x:v>P1</x:v>
      </x:c>
      <x:c r="E528" s="9" t="str">
        <x:v>Positiva</x:v>
      </x:c>
      <x:c r="F528" s="9" t="str">
        <x:v>Navegador + HTTP + persistencia</x:v>
      </x:c>
      <x:c r="G528" s="10" t="str">
        <x:v>Pendiente</x:v>
      </x:c>
      <x:c r="H528" s="10"/>
      <x:c r="I528" s="10"/>
      <x:c r="J528" s="10"/>
      <x:c r="K528" s="10"/>
      <x:c r="L528" s="11"/>
      <x:c r="M528" s="12"/>
      <x:c r="N528" s="10"/>
    </x:row>
    <x:row r="529" ht="25" customHeight="1">
      <x:c r="A529" s="9" t="str">
        <x:v>QA-MAT-073</x:v>
      </x:c>
      <x:c r="B529" s="9" t="str">
        <x:v>MAT</x:v>
      </x:c>
      <x:c r="C529" s="9" t="str">
        <x:v>API de venta / 80 / identidad 0 Doc.sin.rif</x:v>
      </x:c>
      <x:c r="D529" s="9" t="str">
        <x:v>P1</x:v>
      </x:c>
      <x:c r="E529" s="9" t="str">
        <x:v>Positiva</x:v>
      </x:c>
      <x:c r="F529" s="9" t="str">
        <x:v>Navegador + HTTP + persistencia</x:v>
      </x:c>
      <x:c r="G529" s="10" t="str">
        <x:v>Pendiente</x:v>
      </x:c>
      <x:c r="H529" s="10"/>
      <x:c r="I529" s="10"/>
      <x:c r="J529" s="10"/>
      <x:c r="K529" s="10"/>
      <x:c r="L529" s="11"/>
      <x:c r="M529" s="12"/>
      <x:c r="N529" s="10"/>
    </x:row>
    <x:row r="530" ht="25" customHeight="1">
      <x:c r="A530" s="9" t="str">
        <x:v>QA-MAT-074</x:v>
      </x:c>
      <x:c r="B530" s="9" t="str">
        <x:v>MAT</x:v>
      </x:c>
      <x:c r="C530" s="9" t="str">
        <x:v>API de venta / 80 / identidad 1 Venezolano</x:v>
      </x:c>
      <x:c r="D530" s="9" t="str">
        <x:v>P1</x:v>
      </x:c>
      <x:c r="E530" s="9" t="str">
        <x:v>Positiva</x:v>
      </x:c>
      <x:c r="F530" s="9" t="str">
        <x:v>Navegador + HTTP + persistencia</x:v>
      </x:c>
      <x:c r="G530" s="10" t="str">
        <x:v>Pendiente</x:v>
      </x:c>
      <x:c r="H530" s="10"/>
      <x:c r="I530" s="10"/>
      <x:c r="J530" s="10"/>
      <x:c r="K530" s="10"/>
      <x:c r="L530" s="11"/>
      <x:c r="M530" s="12"/>
      <x:c r="N530" s="10"/>
    </x:row>
    <x:row r="531" ht="25" customHeight="1">
      <x:c r="A531" s="9" t="str">
        <x:v>QA-MAT-075</x:v>
      </x:c>
      <x:c r="B531" s="9" t="str">
        <x:v>MAT</x:v>
      </x:c>
      <x:c r="C531" s="9" t="str">
        <x:v>API de venta / 80 / identidad 6 Juridico</x:v>
      </x:c>
      <x:c r="D531" s="9" t="str">
        <x:v>P1</x:v>
      </x:c>
      <x:c r="E531" s="9" t="str">
        <x:v>Positiva</x:v>
      </x:c>
      <x:c r="F531" s="9" t="str">
        <x:v>Navegador + HTTP + persistencia</x:v>
      </x:c>
      <x:c r="G531" s="10" t="str">
        <x:v>Pendiente</x:v>
      </x:c>
      <x:c r="H531" s="10"/>
      <x:c r="I531" s="10"/>
      <x:c r="J531" s="10"/>
      <x:c r="K531" s="10"/>
      <x:c r="L531" s="11"/>
      <x:c r="M531" s="12"/>
      <x:c r="N531" s="10"/>
    </x:row>
    <x:row r="532" ht="25" customHeight="1">
      <x:c r="A532" s="9" t="str">
        <x:v>QA-MAT-076</x:v>
      </x:c>
      <x:c r="B532" s="9" t="str">
        <x:v>MAT</x:v>
      </x:c>
      <x:c r="C532" s="9" t="str">
        <x:v>API de venta / 80 / identidad 7 Pasaporte</x:v>
      </x:c>
      <x:c r="D532" s="9" t="str">
        <x:v>P1</x:v>
      </x:c>
      <x:c r="E532" s="9" t="str">
        <x:v>Positiva</x:v>
      </x:c>
      <x:c r="F532" s="9" t="str">
        <x:v>Navegador + HTTP + persistencia</x:v>
      </x:c>
      <x:c r="G532" s="10" t="str">
        <x:v>Pendiente</x:v>
      </x:c>
      <x:c r="H532" s="10"/>
      <x:c r="I532" s="10"/>
      <x:c r="J532" s="10"/>
      <x:c r="K532" s="10"/>
      <x:c r="L532" s="11"/>
      <x:c r="M532" s="12"/>
      <x:c r="N532" s="10"/>
    </x:row>
    <x:row r="533" ht="25" customHeight="1">
      <x:c r="A533" s="9" t="str">
        <x:v>QA-MAT-077</x:v>
      </x:c>
      <x:c r="B533" s="9" t="str">
        <x:v>MAT</x:v>
      </x:c>
      <x:c r="C533" s="9" t="str">
        <x:v>API de venta / 80 / identidad E Extranjero</x:v>
      </x:c>
      <x:c r="D533" s="9" t="str">
        <x:v>P1</x:v>
      </x:c>
      <x:c r="E533" s="9" t="str">
        <x:v>Positiva</x:v>
      </x:c>
      <x:c r="F533" s="9" t="str">
        <x:v>Navegador + HTTP + persistencia</x:v>
      </x:c>
      <x:c r="G533" s="10" t="str">
        <x:v>Pendiente</x:v>
      </x:c>
      <x:c r="H533" s="10"/>
      <x:c r="I533" s="10"/>
      <x:c r="J533" s="10"/>
      <x:c r="K533" s="10"/>
      <x:c r="L533" s="11"/>
      <x:c r="M533" s="12"/>
      <x:c r="N533" s="10"/>
    </x:row>
    <x:row r="534" ht="25" customHeight="1">
      <x:c r="A534" s="9" t="str">
        <x:v>QA-MAT-078</x:v>
      </x:c>
      <x:c r="B534" s="9" t="str">
        <x:v>MAT</x:v>
      </x:c>
      <x:c r="C534" s="9" t="str">
        <x:v>API de venta / 80 / identidad C Comuna</x:v>
      </x:c>
      <x:c r="D534" s="9" t="str">
        <x:v>P1</x:v>
      </x:c>
      <x:c r="E534" s="9" t="str">
        <x:v>Positiva</x:v>
      </x:c>
      <x:c r="F534" s="9" t="str">
        <x:v>Navegador + HTTP + persistencia</x:v>
      </x:c>
      <x:c r="G534" s="10" t="str">
        <x:v>Pendiente</x:v>
      </x:c>
      <x:c r="H534" s="10"/>
      <x:c r="I534" s="10"/>
      <x:c r="J534" s="10"/>
      <x:c r="K534" s="10"/>
      <x:c r="L534" s="11"/>
      <x:c r="M534" s="12"/>
      <x:c r="N534" s="10"/>
    </x:row>
    <x:row r="535" ht="25" customHeight="1">
      <x:c r="A535" s="9" t="str">
        <x:v>QA-MAT-079</x:v>
      </x:c>
      <x:c r="B535" s="9" t="str">
        <x:v>MAT</x:v>
      </x:c>
      <x:c r="C535" s="9" t="str">
        <x:v>API de venta / 80 / identidad G Gubernamental</x:v>
      </x:c>
      <x:c r="D535" s="9" t="str">
        <x:v>P1</x:v>
      </x:c>
      <x:c r="E535" s="9" t="str">
        <x:v>Positiva</x:v>
      </x:c>
      <x:c r="F535" s="9" t="str">
        <x:v>Navegador + HTTP + persistencia</x:v>
      </x:c>
      <x:c r="G535" s="10" t="str">
        <x:v>Pendiente</x:v>
      </x:c>
      <x:c r="H535" s="10"/>
      <x:c r="I535" s="10"/>
      <x:c r="J535" s="10"/>
      <x:c r="K535" s="10"/>
      <x:c r="L535" s="11"/>
      <x:c r="M535" s="12"/>
      <x:c r="N535" s="10"/>
    </x:row>
    <x:row r="536" ht="25" customHeight="1">
      <x:c r="A536" s="9" t="str">
        <x:v>QA-MAT-080</x:v>
      </x:c>
      <x:c r="B536" s="9" t="str">
        <x:v>MAT</x:v>
      </x:c>
      <x:c r="C536" s="9" t="str">
        <x:v>API de venta / 80 / identidad R Firma Personal</x:v>
      </x:c>
      <x:c r="D536" s="9" t="str">
        <x:v>P1</x:v>
      </x:c>
      <x:c r="E536" s="9" t="str">
        <x:v>Positiva</x:v>
      </x:c>
      <x:c r="F536" s="9" t="str">
        <x:v>Navegador + HTTP + persistencia</x:v>
      </x:c>
      <x:c r="G536" s="10" t="str">
        <x:v>Pendiente</x:v>
      </x:c>
      <x:c r="H536" s="10"/>
      <x:c r="I536" s="10"/>
      <x:c r="J536" s="10"/>
      <x:c r="K536" s="10"/>
      <x:c r="L536" s="11"/>
      <x:c r="M536" s="12"/>
      <x:c r="N536" s="10"/>
    </x:row>
    <x:row r="537" ht="25" customHeight="1">
      <x:c r="A537" s="9" t="str">
        <x:v>QA-MAT-081</x:v>
      </x:c>
      <x:c r="B537" s="9" t="str">
        <x:v>MAT</x:v>
      </x:c>
      <x:c r="C537" s="9" t="str">
        <x:v>Hotel / 01 / identidad 0 Doc.sin.rif</x:v>
      </x:c>
      <x:c r="D537" s="9" t="str">
        <x:v>P1</x:v>
      </x:c>
      <x:c r="E537" s="9" t="str">
        <x:v>Positiva</x:v>
      </x:c>
      <x:c r="F537" s="9" t="str">
        <x:v>Navegador + HTTP + persistencia</x:v>
      </x:c>
      <x:c r="G537" s="10" t="str">
        <x:v>Pendiente</x:v>
      </x:c>
      <x:c r="H537" s="10"/>
      <x:c r="I537" s="10"/>
      <x:c r="J537" s="10"/>
      <x:c r="K537" s="10"/>
      <x:c r="L537" s="11"/>
      <x:c r="M537" s="12"/>
      <x:c r="N537" s="10"/>
    </x:row>
    <x:row r="538" ht="25" customHeight="1">
      <x:c r="A538" s="9" t="str">
        <x:v>QA-MAT-082</x:v>
      </x:c>
      <x:c r="B538" s="9" t="str">
        <x:v>MAT</x:v>
      </x:c>
      <x:c r="C538" s="9" t="str">
        <x:v>Hotel / 01 / identidad 1 Venezolano</x:v>
      </x:c>
      <x:c r="D538" s="9" t="str">
        <x:v>P1</x:v>
      </x:c>
      <x:c r="E538" s="9" t="str">
        <x:v>Positiva</x:v>
      </x:c>
      <x:c r="F538" s="9" t="str">
        <x:v>Navegador + HTTP + persistencia</x:v>
      </x:c>
      <x:c r="G538" s="10" t="str">
        <x:v>Pendiente</x:v>
      </x:c>
      <x:c r="H538" s="10"/>
      <x:c r="I538" s="10"/>
      <x:c r="J538" s="10"/>
      <x:c r="K538" s="10"/>
      <x:c r="L538" s="11"/>
      <x:c r="M538" s="12"/>
      <x:c r="N538" s="10"/>
    </x:row>
    <x:row r="539" ht="25" customHeight="1">
      <x:c r="A539" s="9" t="str">
        <x:v>QA-MAT-083</x:v>
      </x:c>
      <x:c r="B539" s="9" t="str">
        <x:v>MAT</x:v>
      </x:c>
      <x:c r="C539" s="9" t="str">
        <x:v>Hotel / 01 / identidad 6 Juridico</x:v>
      </x:c>
      <x:c r="D539" s="9" t="str">
        <x:v>P1</x:v>
      </x:c>
      <x:c r="E539" s="9" t="str">
        <x:v>Positiva</x:v>
      </x:c>
      <x:c r="F539" s="9" t="str">
        <x:v>Navegador + HTTP + persistencia</x:v>
      </x:c>
      <x:c r="G539" s="10" t="str">
        <x:v>Pendiente</x:v>
      </x:c>
      <x:c r="H539" s="10"/>
      <x:c r="I539" s="10"/>
      <x:c r="J539" s="10"/>
      <x:c r="K539" s="10"/>
      <x:c r="L539" s="11"/>
      <x:c r="M539" s="12"/>
      <x:c r="N539" s="10"/>
    </x:row>
    <x:row r="540" ht="25" customHeight="1">
      <x:c r="A540" s="9" t="str">
        <x:v>QA-MAT-084</x:v>
      </x:c>
      <x:c r="B540" s="9" t="str">
        <x:v>MAT</x:v>
      </x:c>
      <x:c r="C540" s="9" t="str">
        <x:v>Hotel / 01 / identidad 7 Pasaporte</x:v>
      </x:c>
      <x:c r="D540" s="9" t="str">
        <x:v>P1</x:v>
      </x:c>
      <x:c r="E540" s="9" t="str">
        <x:v>Positiva</x:v>
      </x:c>
      <x:c r="F540" s="9" t="str">
        <x:v>Navegador + HTTP + persistencia</x:v>
      </x:c>
      <x:c r="G540" s="10" t="str">
        <x:v>Pendiente</x:v>
      </x:c>
      <x:c r="H540" s="10"/>
      <x:c r="I540" s="10"/>
      <x:c r="J540" s="10"/>
      <x:c r="K540" s="10"/>
      <x:c r="L540" s="11"/>
      <x:c r="M540" s="12"/>
      <x:c r="N540" s="10"/>
    </x:row>
    <x:row r="541" ht="25" customHeight="1">
      <x:c r="A541" s="9" t="str">
        <x:v>QA-MAT-085</x:v>
      </x:c>
      <x:c r="B541" s="9" t="str">
        <x:v>MAT</x:v>
      </x:c>
      <x:c r="C541" s="9" t="str">
        <x:v>Hotel / 01 / identidad E Extranjero</x:v>
      </x:c>
      <x:c r="D541" s="9" t="str">
        <x:v>P1</x:v>
      </x:c>
      <x:c r="E541" s="9" t="str">
        <x:v>Positiva</x:v>
      </x:c>
      <x:c r="F541" s="9" t="str">
        <x:v>Navegador + HTTP + persistencia</x:v>
      </x:c>
      <x:c r="G541" s="10" t="str">
        <x:v>Pendiente</x:v>
      </x:c>
      <x:c r="H541" s="10"/>
      <x:c r="I541" s="10"/>
      <x:c r="J541" s="10"/>
      <x:c r="K541" s="10"/>
      <x:c r="L541" s="11"/>
      <x:c r="M541" s="12"/>
      <x:c r="N541" s="10"/>
    </x:row>
    <x:row r="542" ht="25" customHeight="1">
      <x:c r="A542" s="9" t="str">
        <x:v>QA-MAT-086</x:v>
      </x:c>
      <x:c r="B542" s="9" t="str">
        <x:v>MAT</x:v>
      </x:c>
      <x:c r="C542" s="9" t="str">
        <x:v>Hotel / 01 / identidad C Comuna</x:v>
      </x:c>
      <x:c r="D542" s="9" t="str">
        <x:v>P1</x:v>
      </x:c>
      <x:c r="E542" s="9" t="str">
        <x:v>Positiva</x:v>
      </x:c>
      <x:c r="F542" s="9" t="str">
        <x:v>Navegador + HTTP + persistencia</x:v>
      </x:c>
      <x:c r="G542" s="10" t="str">
        <x:v>Pendiente</x:v>
      </x:c>
      <x:c r="H542" s="10"/>
      <x:c r="I542" s="10"/>
      <x:c r="J542" s="10"/>
      <x:c r="K542" s="10"/>
      <x:c r="L542" s="11"/>
      <x:c r="M542" s="12"/>
      <x:c r="N542" s="10"/>
    </x:row>
    <x:row r="543" ht="25" customHeight="1">
      <x:c r="A543" s="9" t="str">
        <x:v>QA-MAT-087</x:v>
      </x:c>
      <x:c r="B543" s="9" t="str">
        <x:v>MAT</x:v>
      </x:c>
      <x:c r="C543" s="9" t="str">
        <x:v>Hotel / 01 / identidad G Gubernamental</x:v>
      </x:c>
      <x:c r="D543" s="9" t="str">
        <x:v>P1</x:v>
      </x:c>
      <x:c r="E543" s="9" t="str">
        <x:v>Positiva</x:v>
      </x:c>
      <x:c r="F543" s="9" t="str">
        <x:v>Navegador + HTTP + persistencia</x:v>
      </x:c>
      <x:c r="G543" s="10" t="str">
        <x:v>Pendiente</x:v>
      </x:c>
      <x:c r="H543" s="10"/>
      <x:c r="I543" s="10"/>
      <x:c r="J543" s="10"/>
      <x:c r="K543" s="10"/>
      <x:c r="L543" s="11"/>
      <x:c r="M543" s="12"/>
      <x:c r="N543" s="10"/>
    </x:row>
    <x:row r="544" ht="25" customHeight="1">
      <x:c r="A544" s="9" t="str">
        <x:v>QA-MAT-088</x:v>
      </x:c>
      <x:c r="B544" s="9" t="str">
        <x:v>MAT</x:v>
      </x:c>
      <x:c r="C544" s="9" t="str">
        <x:v>Hotel / 01 / identidad R Firma Personal</x:v>
      </x:c>
      <x:c r="D544" s="9" t="str">
        <x:v>P1</x:v>
      </x:c>
      <x:c r="E544" s="9" t="str">
        <x:v>Positiva</x:v>
      </x:c>
      <x:c r="F544" s="9" t="str">
        <x:v>Navegador + HTTP + persistencia</x:v>
      </x:c>
      <x:c r="G544" s="10" t="str">
        <x:v>Pendiente</x:v>
      </x:c>
      <x:c r="H544" s="10"/>
      <x:c r="I544" s="10"/>
      <x:c r="J544" s="10"/>
      <x:c r="K544" s="10"/>
      <x:c r="L544" s="11"/>
      <x:c r="M544" s="12"/>
      <x:c r="N544" s="10"/>
    </x:row>
    <x:row r="545" ht="25" customHeight="1">
      <x:c r="A545" s="9" t="str">
        <x:v>QA-MAT-089</x:v>
      </x:c>
      <x:c r="B545" s="9" t="str">
        <x:v>MAT</x:v>
      </x:c>
      <x:c r="C545" s="9" t="str">
        <x:v>Hotel / 80 / identidad 0 Doc.sin.rif</x:v>
      </x:c>
      <x:c r="D545" s="9" t="str">
        <x:v>P1</x:v>
      </x:c>
      <x:c r="E545" s="9" t="str">
        <x:v>Positiva</x:v>
      </x:c>
      <x:c r="F545" s="9" t="str">
        <x:v>Navegador + HTTP + persistencia</x:v>
      </x:c>
      <x:c r="G545" s="10" t="str">
        <x:v>Pendiente</x:v>
      </x:c>
      <x:c r="H545" s="10"/>
      <x:c r="I545" s="10"/>
      <x:c r="J545" s="10"/>
      <x:c r="K545" s="10"/>
      <x:c r="L545" s="11"/>
      <x:c r="M545" s="12"/>
      <x:c r="N545" s="10"/>
    </x:row>
    <x:row r="546" ht="25" customHeight="1">
      <x:c r="A546" s="9" t="str">
        <x:v>QA-MAT-090</x:v>
      </x:c>
      <x:c r="B546" s="9" t="str">
        <x:v>MAT</x:v>
      </x:c>
      <x:c r="C546" s="9" t="str">
        <x:v>Hotel / 80 / identidad 1 Venezolano</x:v>
      </x:c>
      <x:c r="D546" s="9" t="str">
        <x:v>P1</x:v>
      </x:c>
      <x:c r="E546" s="9" t="str">
        <x:v>Positiva</x:v>
      </x:c>
      <x:c r="F546" s="9" t="str">
        <x:v>Navegador + HTTP + persistencia</x:v>
      </x:c>
      <x:c r="G546" s="10" t="str">
        <x:v>Pendiente</x:v>
      </x:c>
      <x:c r="H546" s="10"/>
      <x:c r="I546" s="10"/>
      <x:c r="J546" s="10"/>
      <x:c r="K546" s="10"/>
      <x:c r="L546" s="11"/>
      <x:c r="M546" s="12"/>
      <x:c r="N546" s="10"/>
    </x:row>
    <x:row r="547" ht="25" customHeight="1">
      <x:c r="A547" s="9" t="str">
        <x:v>QA-MAT-091</x:v>
      </x:c>
      <x:c r="B547" s="9" t="str">
        <x:v>MAT</x:v>
      </x:c>
      <x:c r="C547" s="9" t="str">
        <x:v>Hotel / 80 / identidad 6 Juridico</x:v>
      </x:c>
      <x:c r="D547" s="9" t="str">
        <x:v>P1</x:v>
      </x:c>
      <x:c r="E547" s="9" t="str">
        <x:v>Positiva</x:v>
      </x:c>
      <x:c r="F547" s="9" t="str">
        <x:v>Navegador + HTTP + persistencia</x:v>
      </x:c>
      <x:c r="G547" s="10" t="str">
        <x:v>Pendiente</x:v>
      </x:c>
      <x:c r="H547" s="10"/>
      <x:c r="I547" s="10"/>
      <x:c r="J547" s="10"/>
      <x:c r="K547" s="10"/>
      <x:c r="L547" s="11"/>
      <x:c r="M547" s="12"/>
      <x:c r="N547" s="10"/>
    </x:row>
    <x:row r="548" ht="25" customHeight="1">
      <x:c r="A548" s="9" t="str">
        <x:v>QA-MAT-092</x:v>
      </x:c>
      <x:c r="B548" s="9" t="str">
        <x:v>MAT</x:v>
      </x:c>
      <x:c r="C548" s="9" t="str">
        <x:v>Hotel / 80 / identidad 7 Pasaporte</x:v>
      </x:c>
      <x:c r="D548" s="9" t="str">
        <x:v>P1</x:v>
      </x:c>
      <x:c r="E548" s="9" t="str">
        <x:v>Positiva</x:v>
      </x:c>
      <x:c r="F548" s="9" t="str">
        <x:v>Navegador + HTTP + persistencia</x:v>
      </x:c>
      <x:c r="G548" s="10" t="str">
        <x:v>Pendiente</x:v>
      </x:c>
      <x:c r="H548" s="10"/>
      <x:c r="I548" s="10"/>
      <x:c r="J548" s="10"/>
      <x:c r="K548" s="10"/>
      <x:c r="L548" s="11"/>
      <x:c r="M548" s="12"/>
      <x:c r="N548" s="10"/>
    </x:row>
    <x:row r="549" ht="25" customHeight="1">
      <x:c r="A549" s="9" t="str">
        <x:v>QA-MAT-093</x:v>
      </x:c>
      <x:c r="B549" s="9" t="str">
        <x:v>MAT</x:v>
      </x:c>
      <x:c r="C549" s="9" t="str">
        <x:v>Hotel / 80 / identidad E Extranjero</x:v>
      </x:c>
      <x:c r="D549" s="9" t="str">
        <x:v>P1</x:v>
      </x:c>
      <x:c r="E549" s="9" t="str">
        <x:v>Positiva</x:v>
      </x:c>
      <x:c r="F549" s="9" t="str">
        <x:v>Navegador + HTTP + persistencia</x:v>
      </x:c>
      <x:c r="G549" s="10" t="str">
        <x:v>Pendiente</x:v>
      </x:c>
      <x:c r="H549" s="10"/>
      <x:c r="I549" s="10"/>
      <x:c r="J549" s="10"/>
      <x:c r="K549" s="10"/>
      <x:c r="L549" s="11"/>
      <x:c r="M549" s="12"/>
      <x:c r="N549" s="10"/>
    </x:row>
    <x:row r="550" ht="25" customHeight="1">
      <x:c r="A550" s="9" t="str">
        <x:v>QA-MAT-094</x:v>
      </x:c>
      <x:c r="B550" s="9" t="str">
        <x:v>MAT</x:v>
      </x:c>
      <x:c r="C550" s="9" t="str">
        <x:v>Hotel / 80 / identidad C Comuna</x:v>
      </x:c>
      <x:c r="D550" s="9" t="str">
        <x:v>P1</x:v>
      </x:c>
      <x:c r="E550" s="9" t="str">
        <x:v>Positiva</x:v>
      </x:c>
      <x:c r="F550" s="9" t="str">
        <x:v>Navegador + HTTP + persistencia</x:v>
      </x:c>
      <x:c r="G550" s="10" t="str">
        <x:v>Pendiente</x:v>
      </x:c>
      <x:c r="H550" s="10"/>
      <x:c r="I550" s="10"/>
      <x:c r="J550" s="10"/>
      <x:c r="K550" s="10"/>
      <x:c r="L550" s="11"/>
      <x:c r="M550" s="12"/>
      <x:c r="N550" s="10"/>
    </x:row>
    <x:row r="551" ht="25" customHeight="1">
      <x:c r="A551" s="9" t="str">
        <x:v>QA-MAT-095</x:v>
      </x:c>
      <x:c r="B551" s="9" t="str">
        <x:v>MAT</x:v>
      </x:c>
      <x:c r="C551" s="9" t="str">
        <x:v>Hotel / 80 / identidad G Gubernamental</x:v>
      </x:c>
      <x:c r="D551" s="9" t="str">
        <x:v>P1</x:v>
      </x:c>
      <x:c r="E551" s="9" t="str">
        <x:v>Positiva</x:v>
      </x:c>
      <x:c r="F551" s="9" t="str">
        <x:v>Navegador + HTTP + persistencia</x:v>
      </x:c>
      <x:c r="G551" s="10" t="str">
        <x:v>Pendiente</x:v>
      </x:c>
      <x:c r="H551" s="10"/>
      <x:c r="I551" s="10"/>
      <x:c r="J551" s="10"/>
      <x:c r="K551" s="10"/>
      <x:c r="L551" s="11"/>
      <x:c r="M551" s="12"/>
      <x:c r="N551" s="10"/>
    </x:row>
    <x:row r="552" ht="25" customHeight="1">
      <x:c r="A552" s="9" t="str">
        <x:v>QA-MAT-096</x:v>
      </x:c>
      <x:c r="B552" s="9" t="str">
        <x:v>MAT</x:v>
      </x:c>
      <x:c r="C552" s="9" t="str">
        <x:v>Hotel / 80 / identidad R Firma Personal</x:v>
      </x:c>
      <x:c r="D552" s="9" t="str">
        <x:v>P1</x:v>
      </x:c>
      <x:c r="E552" s="9" t="str">
        <x:v>Positiva</x:v>
      </x:c>
      <x:c r="F552" s="9" t="str">
        <x:v>Navegador + HTTP + persistencia</x:v>
      </x:c>
      <x:c r="G552" s="10" t="str">
        <x:v>Pendiente</x:v>
      </x:c>
      <x:c r="H552" s="10"/>
      <x:c r="I552" s="10"/>
      <x:c r="J552" s="10"/>
      <x:c r="K552" s="10"/>
      <x:c r="L552" s="11"/>
      <x:c r="M552" s="12"/>
      <x:c r="N552" s="10"/>
    </x:row>
    <x:row r="553" ht="25" customHeight="1">
      <x:c r="A553" s="9" t="str">
        <x:v>QA-MAT-097</x:v>
      </x:c>
      <x:c r="B553" s="9" t="str">
        <x:v>MAT</x:v>
      </x:c>
      <x:c r="C553" s="9" t="str">
        <x:v>Restaurante / 01 / identidad 0 Doc.sin.rif</x:v>
      </x:c>
      <x:c r="D553" s="9" t="str">
        <x:v>P1</x:v>
      </x:c>
      <x:c r="E553" s="9" t="str">
        <x:v>Positiva</x:v>
      </x:c>
      <x:c r="F553" s="9" t="str">
        <x:v>Navegador + HTTP + persistencia</x:v>
      </x:c>
      <x:c r="G553" s="10" t="str">
        <x:v>Pendiente</x:v>
      </x:c>
      <x:c r="H553" s="10"/>
      <x:c r="I553" s="10"/>
      <x:c r="J553" s="10"/>
      <x:c r="K553" s="10"/>
      <x:c r="L553" s="11"/>
      <x:c r="M553" s="12"/>
      <x:c r="N553" s="10"/>
    </x:row>
    <x:row r="554" ht="25" customHeight="1">
      <x:c r="A554" s="9" t="str">
        <x:v>QA-MAT-098</x:v>
      </x:c>
      <x:c r="B554" s="9" t="str">
        <x:v>MAT</x:v>
      </x:c>
      <x:c r="C554" s="9" t="str">
        <x:v>Restaurante / 01 / identidad 1 Venezolano</x:v>
      </x:c>
      <x:c r="D554" s="9" t="str">
        <x:v>P1</x:v>
      </x:c>
      <x:c r="E554" s="9" t="str">
        <x:v>Positiva</x:v>
      </x:c>
      <x:c r="F554" s="9" t="str">
        <x:v>Navegador + HTTP + persistencia</x:v>
      </x:c>
      <x:c r="G554" s="10" t="str">
        <x:v>Pendiente</x:v>
      </x:c>
      <x:c r="H554" s="10"/>
      <x:c r="I554" s="10"/>
      <x:c r="J554" s="10"/>
      <x:c r="K554" s="10"/>
      <x:c r="L554" s="11"/>
      <x:c r="M554" s="12"/>
      <x:c r="N554" s="10"/>
    </x:row>
    <x:row r="555" ht="25" customHeight="1">
      <x:c r="A555" s="9" t="str">
        <x:v>QA-MAT-099</x:v>
      </x:c>
      <x:c r="B555" s="9" t="str">
        <x:v>MAT</x:v>
      </x:c>
      <x:c r="C555" s="9" t="str">
        <x:v>Restaurante / 01 / identidad 6 Juridico</x:v>
      </x:c>
      <x:c r="D555" s="9" t="str">
        <x:v>P1</x:v>
      </x:c>
      <x:c r="E555" s="9" t="str">
        <x:v>Positiva</x:v>
      </x:c>
      <x:c r="F555" s="9" t="str">
        <x:v>Navegador + HTTP + persistencia</x:v>
      </x:c>
      <x:c r="G555" s="10" t="str">
        <x:v>Pendiente</x:v>
      </x:c>
      <x:c r="H555" s="10"/>
      <x:c r="I555" s="10"/>
      <x:c r="J555" s="10"/>
      <x:c r="K555" s="10"/>
      <x:c r="L555" s="11"/>
      <x:c r="M555" s="12"/>
      <x:c r="N555" s="10"/>
    </x:row>
    <x:row r="556" ht="25" customHeight="1">
      <x:c r="A556" s="9" t="str">
        <x:v>QA-MAT-100</x:v>
      </x:c>
      <x:c r="B556" s="9" t="str">
        <x:v>MAT</x:v>
      </x:c>
      <x:c r="C556" s="9" t="str">
        <x:v>Restaurante / 01 / identidad 7 Pasaporte</x:v>
      </x:c>
      <x:c r="D556" s="9" t="str">
        <x:v>P1</x:v>
      </x:c>
      <x:c r="E556" s="9" t="str">
        <x:v>Positiva</x:v>
      </x:c>
      <x:c r="F556" s="9" t="str">
        <x:v>Navegador + HTTP + persistencia</x:v>
      </x:c>
      <x:c r="G556" s="10" t="str">
        <x:v>Pendiente</x:v>
      </x:c>
      <x:c r="H556" s="10"/>
      <x:c r="I556" s="10"/>
      <x:c r="J556" s="10"/>
      <x:c r="K556" s="10"/>
      <x:c r="L556" s="11"/>
      <x:c r="M556" s="12"/>
      <x:c r="N556" s="10"/>
    </x:row>
    <x:row r="557" ht="25" customHeight="1">
      <x:c r="A557" s="9" t="str">
        <x:v>QA-MAT-101</x:v>
      </x:c>
      <x:c r="B557" s="9" t="str">
        <x:v>MAT</x:v>
      </x:c>
      <x:c r="C557" s="9" t="str">
        <x:v>Restaurante / 01 / identidad E Extranjero</x:v>
      </x:c>
      <x:c r="D557" s="9" t="str">
        <x:v>P1</x:v>
      </x:c>
      <x:c r="E557" s="9" t="str">
        <x:v>Positiva</x:v>
      </x:c>
      <x:c r="F557" s="9" t="str">
        <x:v>Navegador + HTTP + persistencia</x:v>
      </x:c>
      <x:c r="G557" s="10" t="str">
        <x:v>Pendiente</x:v>
      </x:c>
      <x:c r="H557" s="10"/>
      <x:c r="I557" s="10"/>
      <x:c r="J557" s="10"/>
      <x:c r="K557" s="10"/>
      <x:c r="L557" s="11"/>
      <x:c r="M557" s="12"/>
      <x:c r="N557" s="10"/>
    </x:row>
    <x:row r="558" ht="25" customHeight="1">
      <x:c r="A558" s="9" t="str">
        <x:v>QA-MAT-102</x:v>
      </x:c>
      <x:c r="B558" s="9" t="str">
        <x:v>MAT</x:v>
      </x:c>
      <x:c r="C558" s="9" t="str">
        <x:v>Restaurante / 01 / identidad C Comuna</x:v>
      </x:c>
      <x:c r="D558" s="9" t="str">
        <x:v>P1</x:v>
      </x:c>
      <x:c r="E558" s="9" t="str">
        <x:v>Positiva</x:v>
      </x:c>
      <x:c r="F558" s="9" t="str">
        <x:v>Navegador + HTTP + persistencia</x:v>
      </x:c>
      <x:c r="G558" s="10" t="str">
        <x:v>Pendiente</x:v>
      </x:c>
      <x:c r="H558" s="10"/>
      <x:c r="I558" s="10"/>
      <x:c r="J558" s="10"/>
      <x:c r="K558" s="10"/>
      <x:c r="L558" s="11"/>
      <x:c r="M558" s="12"/>
      <x:c r="N558" s="10"/>
    </x:row>
    <x:row r="559" ht="25" customHeight="1">
      <x:c r="A559" s="9" t="str">
        <x:v>QA-MAT-103</x:v>
      </x:c>
      <x:c r="B559" s="9" t="str">
        <x:v>MAT</x:v>
      </x:c>
      <x:c r="C559" s="9" t="str">
        <x:v>Restaurante / 01 / identidad G Gubernamental</x:v>
      </x:c>
      <x:c r="D559" s="9" t="str">
        <x:v>P1</x:v>
      </x:c>
      <x:c r="E559" s="9" t="str">
        <x:v>Positiva</x:v>
      </x:c>
      <x:c r="F559" s="9" t="str">
        <x:v>Navegador + HTTP + persistencia</x:v>
      </x:c>
      <x:c r="G559" s="10" t="str">
        <x:v>Pendiente</x:v>
      </x:c>
      <x:c r="H559" s="10"/>
      <x:c r="I559" s="10"/>
      <x:c r="J559" s="10"/>
      <x:c r="K559" s="10"/>
      <x:c r="L559" s="11"/>
      <x:c r="M559" s="12"/>
      <x:c r="N559" s="10"/>
    </x:row>
    <x:row r="560" ht="25" customHeight="1">
      <x:c r="A560" s="9" t="str">
        <x:v>QA-MAT-104</x:v>
      </x:c>
      <x:c r="B560" s="9" t="str">
        <x:v>MAT</x:v>
      </x:c>
      <x:c r="C560" s="9" t="str">
        <x:v>Restaurante / 01 / identidad R Firma Personal</x:v>
      </x:c>
      <x:c r="D560" s="9" t="str">
        <x:v>P1</x:v>
      </x:c>
      <x:c r="E560" s="9" t="str">
        <x:v>Positiva</x:v>
      </x:c>
      <x:c r="F560" s="9" t="str">
        <x:v>Navegador + HTTP + persistencia</x:v>
      </x:c>
      <x:c r="G560" s="10" t="str">
        <x:v>Pendiente</x:v>
      </x:c>
      <x:c r="H560" s="10"/>
      <x:c r="I560" s="10"/>
      <x:c r="J560" s="10"/>
      <x:c r="K560" s="10"/>
      <x:c r="L560" s="11"/>
      <x:c r="M560" s="12"/>
      <x:c r="N560" s="10"/>
    </x:row>
    <x:row r="561" ht="25" customHeight="1">
      <x:c r="A561" s="9" t="str">
        <x:v>QA-MAT-105</x:v>
      </x:c>
      <x:c r="B561" s="9" t="str">
        <x:v>MAT</x:v>
      </x:c>
      <x:c r="C561" s="9" t="str">
        <x:v>Restaurante / 80 / identidad 0 Doc.sin.rif</x:v>
      </x:c>
      <x:c r="D561" s="9" t="str">
        <x:v>P1</x:v>
      </x:c>
      <x:c r="E561" s="9" t="str">
        <x:v>Positiva</x:v>
      </x:c>
      <x:c r="F561" s="9" t="str">
        <x:v>Navegador + HTTP + persistencia</x:v>
      </x:c>
      <x:c r="G561" s="10" t="str">
        <x:v>Pendiente</x:v>
      </x:c>
      <x:c r="H561" s="10"/>
      <x:c r="I561" s="10"/>
      <x:c r="J561" s="10"/>
      <x:c r="K561" s="10"/>
      <x:c r="L561" s="11"/>
      <x:c r="M561" s="12"/>
      <x:c r="N561" s="10"/>
    </x:row>
    <x:row r="562" ht="25" customHeight="1">
      <x:c r="A562" s="9" t="str">
        <x:v>QA-MAT-106</x:v>
      </x:c>
      <x:c r="B562" s="9" t="str">
        <x:v>MAT</x:v>
      </x:c>
      <x:c r="C562" s="9" t="str">
        <x:v>Restaurante / 80 / identidad 1 Venezolano</x:v>
      </x:c>
      <x:c r="D562" s="9" t="str">
        <x:v>P1</x:v>
      </x:c>
      <x:c r="E562" s="9" t="str">
        <x:v>Positiva</x:v>
      </x:c>
      <x:c r="F562" s="9" t="str">
        <x:v>Navegador + HTTP + persistencia</x:v>
      </x:c>
      <x:c r="G562" s="10" t="str">
        <x:v>Pendiente</x:v>
      </x:c>
      <x:c r="H562" s="10"/>
      <x:c r="I562" s="10"/>
      <x:c r="J562" s="10"/>
      <x:c r="K562" s="10"/>
      <x:c r="L562" s="11"/>
      <x:c r="M562" s="12"/>
      <x:c r="N562" s="10"/>
    </x:row>
    <x:row r="563" ht="25" customHeight="1">
      <x:c r="A563" s="9" t="str">
        <x:v>QA-MAT-107</x:v>
      </x:c>
      <x:c r="B563" s="9" t="str">
        <x:v>MAT</x:v>
      </x:c>
      <x:c r="C563" s="9" t="str">
        <x:v>Restaurante / 80 / identidad 6 Juridico</x:v>
      </x:c>
      <x:c r="D563" s="9" t="str">
        <x:v>P1</x:v>
      </x:c>
      <x:c r="E563" s="9" t="str">
        <x:v>Positiva</x:v>
      </x:c>
      <x:c r="F563" s="9" t="str">
        <x:v>Navegador + HTTP + persistencia</x:v>
      </x:c>
      <x:c r="G563" s="10" t="str">
        <x:v>Pendiente</x:v>
      </x:c>
      <x:c r="H563" s="10"/>
      <x:c r="I563" s="10"/>
      <x:c r="J563" s="10"/>
      <x:c r="K563" s="10"/>
      <x:c r="L563" s="11"/>
      <x:c r="M563" s="12"/>
      <x:c r="N563" s="10"/>
    </x:row>
    <x:row r="564" ht="25" customHeight="1">
      <x:c r="A564" s="9" t="str">
        <x:v>QA-MAT-108</x:v>
      </x:c>
      <x:c r="B564" s="9" t="str">
        <x:v>MAT</x:v>
      </x:c>
      <x:c r="C564" s="9" t="str">
        <x:v>Restaurante / 80 / identidad 7 Pasaporte</x:v>
      </x:c>
      <x:c r="D564" s="9" t="str">
        <x:v>P1</x:v>
      </x:c>
      <x:c r="E564" s="9" t="str">
        <x:v>Positiva</x:v>
      </x:c>
      <x:c r="F564" s="9" t="str">
        <x:v>Navegador + HTTP + persistencia</x:v>
      </x:c>
      <x:c r="G564" s="10" t="str">
        <x:v>Pendiente</x:v>
      </x:c>
      <x:c r="H564" s="10"/>
      <x:c r="I564" s="10"/>
      <x:c r="J564" s="10"/>
      <x:c r="K564" s="10"/>
      <x:c r="L564" s="11"/>
      <x:c r="M564" s="12"/>
      <x:c r="N564" s="10"/>
    </x:row>
    <x:row r="565" ht="25" customHeight="1">
      <x:c r="A565" s="9" t="str">
        <x:v>QA-MAT-109</x:v>
      </x:c>
      <x:c r="B565" s="9" t="str">
        <x:v>MAT</x:v>
      </x:c>
      <x:c r="C565" s="9" t="str">
        <x:v>Restaurante / 80 / identidad E Extranjero</x:v>
      </x:c>
      <x:c r="D565" s="9" t="str">
        <x:v>P1</x:v>
      </x:c>
      <x:c r="E565" s="9" t="str">
        <x:v>Positiva</x:v>
      </x:c>
      <x:c r="F565" s="9" t="str">
        <x:v>Navegador + HTTP + persistencia</x:v>
      </x:c>
      <x:c r="G565" s="10" t="str">
        <x:v>Pendiente</x:v>
      </x:c>
      <x:c r="H565" s="10"/>
      <x:c r="I565" s="10"/>
      <x:c r="J565" s="10"/>
      <x:c r="K565" s="10"/>
      <x:c r="L565" s="11"/>
      <x:c r="M565" s="12"/>
      <x:c r="N565" s="10"/>
    </x:row>
    <x:row r="566" ht="25" customHeight="1">
      <x:c r="A566" s="9" t="str">
        <x:v>QA-MAT-110</x:v>
      </x:c>
      <x:c r="B566" s="9" t="str">
        <x:v>MAT</x:v>
      </x:c>
      <x:c r="C566" s="9" t="str">
        <x:v>Restaurante / 80 / identidad C Comuna</x:v>
      </x:c>
      <x:c r="D566" s="9" t="str">
        <x:v>P1</x:v>
      </x:c>
      <x:c r="E566" s="9" t="str">
        <x:v>Positiva</x:v>
      </x:c>
      <x:c r="F566" s="9" t="str">
        <x:v>Navegador + HTTP + persistencia</x:v>
      </x:c>
      <x:c r="G566" s="10" t="str">
        <x:v>Pendiente</x:v>
      </x:c>
      <x:c r="H566" s="10"/>
      <x:c r="I566" s="10"/>
      <x:c r="J566" s="10"/>
      <x:c r="K566" s="10"/>
      <x:c r="L566" s="11"/>
      <x:c r="M566" s="12"/>
      <x:c r="N566" s="10"/>
    </x:row>
    <x:row r="567" ht="25" customHeight="1">
      <x:c r="A567" s="9" t="str">
        <x:v>QA-MAT-111</x:v>
      </x:c>
      <x:c r="B567" s="9" t="str">
        <x:v>MAT</x:v>
      </x:c>
      <x:c r="C567" s="9" t="str">
        <x:v>Restaurante / 80 / identidad G Gubernamental</x:v>
      </x:c>
      <x:c r="D567" s="9" t="str">
        <x:v>P1</x:v>
      </x:c>
      <x:c r="E567" s="9" t="str">
        <x:v>Positiva</x:v>
      </x:c>
      <x:c r="F567" s="9" t="str">
        <x:v>Navegador + HTTP + persistencia</x:v>
      </x:c>
      <x:c r="G567" s="10" t="str">
        <x:v>Pendiente</x:v>
      </x:c>
      <x:c r="H567" s="10"/>
      <x:c r="I567" s="10"/>
      <x:c r="J567" s="10"/>
      <x:c r="K567" s="10"/>
      <x:c r="L567" s="11"/>
      <x:c r="M567" s="12"/>
      <x:c r="N567" s="10"/>
    </x:row>
    <x:row r="568" ht="25" customHeight="1">
      <x:c r="A568" s="9" t="str">
        <x:v>QA-MAT-112</x:v>
      </x:c>
      <x:c r="B568" s="9" t="str">
        <x:v>MAT</x:v>
      </x:c>
      <x:c r="C568" s="9" t="str">
        <x:v>Restaurante / 80 / identidad R Firma Personal</x:v>
      </x:c>
      <x:c r="D568" s="9" t="str">
        <x:v>P1</x:v>
      </x:c>
      <x:c r="E568" s="9" t="str">
        <x:v>Positiva</x:v>
      </x:c>
      <x:c r="F568" s="9" t="str">
        <x:v>Navegador + HTTP + persistencia</x:v>
      </x:c>
      <x:c r="G568" s="10" t="str">
        <x:v>Pendiente</x:v>
      </x:c>
      <x:c r="H568" s="10"/>
      <x:c r="I568" s="10"/>
      <x:c r="J568" s="10"/>
      <x:c r="K568" s="10"/>
      <x:c r="L568" s="11"/>
      <x:c r="M568" s="12"/>
      <x:c r="N568" s="10"/>
    </x:row>
    <x:row r="569" ht="25" customHeight="1">
      <x:c r="A569" s="9" t="str">
        <x:v>QA-MAT-113</x:v>
      </x:c>
      <x:c r="B569" s="9" t="str">
        <x:v>MAT</x:v>
      </x:c>
      <x:c r="C569" s="9" t="str">
        <x:v>Ecommerce / 01 / identidad 0 Doc.sin.rif</x:v>
      </x:c>
      <x:c r="D569" s="9" t="str">
        <x:v>P1</x:v>
      </x:c>
      <x:c r="E569" s="9" t="str">
        <x:v>Positiva</x:v>
      </x:c>
      <x:c r="F569" s="9" t="str">
        <x:v>Navegador + HTTP + persistencia</x:v>
      </x:c>
      <x:c r="G569" s="10" t="str">
        <x:v>Pendiente</x:v>
      </x:c>
      <x:c r="H569" s="10"/>
      <x:c r="I569" s="10"/>
      <x:c r="J569" s="10"/>
      <x:c r="K569" s="10"/>
      <x:c r="L569" s="11"/>
      <x:c r="M569" s="12"/>
      <x:c r="N569" s="10"/>
    </x:row>
    <x:row r="570" ht="25" customHeight="1">
      <x:c r="A570" s="9" t="str">
        <x:v>QA-MAT-114</x:v>
      </x:c>
      <x:c r="B570" s="9" t="str">
        <x:v>MAT</x:v>
      </x:c>
      <x:c r="C570" s="9" t="str">
        <x:v>Ecommerce / 01 / identidad 1 Venezolano</x:v>
      </x:c>
      <x:c r="D570" s="9" t="str">
        <x:v>P1</x:v>
      </x:c>
      <x:c r="E570" s="9" t="str">
        <x:v>Positiva</x:v>
      </x:c>
      <x:c r="F570" s="9" t="str">
        <x:v>Navegador + HTTP + persistencia</x:v>
      </x:c>
      <x:c r="G570" s="10" t="str">
        <x:v>Pendiente</x:v>
      </x:c>
      <x:c r="H570" s="10"/>
      <x:c r="I570" s="10"/>
      <x:c r="J570" s="10"/>
      <x:c r="K570" s="10"/>
      <x:c r="L570" s="11"/>
      <x:c r="M570" s="12"/>
      <x:c r="N570" s="10"/>
    </x:row>
    <x:row r="571" ht="25" customHeight="1">
      <x:c r="A571" s="9" t="str">
        <x:v>QA-MAT-115</x:v>
      </x:c>
      <x:c r="B571" s="9" t="str">
        <x:v>MAT</x:v>
      </x:c>
      <x:c r="C571" s="9" t="str">
        <x:v>Ecommerce / 01 / identidad 6 Juridico</x:v>
      </x:c>
      <x:c r="D571" s="9" t="str">
        <x:v>P1</x:v>
      </x:c>
      <x:c r="E571" s="9" t="str">
        <x:v>Positiva</x:v>
      </x:c>
      <x:c r="F571" s="9" t="str">
        <x:v>Navegador + HTTP + persistencia</x:v>
      </x:c>
      <x:c r="G571" s="10" t="str">
        <x:v>Pendiente</x:v>
      </x:c>
      <x:c r="H571" s="10"/>
      <x:c r="I571" s="10"/>
      <x:c r="J571" s="10"/>
      <x:c r="K571" s="10"/>
      <x:c r="L571" s="11"/>
      <x:c r="M571" s="12"/>
      <x:c r="N571" s="10"/>
    </x:row>
    <x:row r="572" ht="25" customHeight="1">
      <x:c r="A572" s="9" t="str">
        <x:v>QA-MAT-116</x:v>
      </x:c>
      <x:c r="B572" s="9" t="str">
        <x:v>MAT</x:v>
      </x:c>
      <x:c r="C572" s="9" t="str">
        <x:v>Ecommerce / 01 / identidad 7 Pasaporte</x:v>
      </x:c>
      <x:c r="D572" s="9" t="str">
        <x:v>P1</x:v>
      </x:c>
      <x:c r="E572" s="9" t="str">
        <x:v>Positiva</x:v>
      </x:c>
      <x:c r="F572" s="9" t="str">
        <x:v>Navegador + HTTP + persistencia</x:v>
      </x:c>
      <x:c r="G572" s="10" t="str">
        <x:v>Pendiente</x:v>
      </x:c>
      <x:c r="H572" s="10"/>
      <x:c r="I572" s="10"/>
      <x:c r="J572" s="10"/>
      <x:c r="K572" s="10"/>
      <x:c r="L572" s="11"/>
      <x:c r="M572" s="12"/>
      <x:c r="N572" s="10"/>
    </x:row>
    <x:row r="573" ht="25" customHeight="1">
      <x:c r="A573" s="9" t="str">
        <x:v>QA-MAT-117</x:v>
      </x:c>
      <x:c r="B573" s="9" t="str">
        <x:v>MAT</x:v>
      </x:c>
      <x:c r="C573" s="9" t="str">
        <x:v>Ecommerce / 01 / identidad E Extranjero</x:v>
      </x:c>
      <x:c r="D573" s="9" t="str">
        <x:v>P1</x:v>
      </x:c>
      <x:c r="E573" s="9" t="str">
        <x:v>Positiva</x:v>
      </x:c>
      <x:c r="F573" s="9" t="str">
        <x:v>Navegador + HTTP + persistencia</x:v>
      </x:c>
      <x:c r="G573" s="10" t="str">
        <x:v>Pendiente</x:v>
      </x:c>
      <x:c r="H573" s="10"/>
      <x:c r="I573" s="10"/>
      <x:c r="J573" s="10"/>
      <x:c r="K573" s="10"/>
      <x:c r="L573" s="11"/>
      <x:c r="M573" s="12"/>
      <x:c r="N573" s="10"/>
    </x:row>
    <x:row r="574" ht="25" customHeight="1">
      <x:c r="A574" s="9" t="str">
        <x:v>QA-MAT-118</x:v>
      </x:c>
      <x:c r="B574" s="9" t="str">
        <x:v>MAT</x:v>
      </x:c>
      <x:c r="C574" s="9" t="str">
        <x:v>Ecommerce / 01 / identidad C Comuna</x:v>
      </x:c>
      <x:c r="D574" s="9" t="str">
        <x:v>P1</x:v>
      </x:c>
      <x:c r="E574" s="9" t="str">
        <x:v>Positiva</x:v>
      </x:c>
      <x:c r="F574" s="9" t="str">
        <x:v>Navegador + HTTP + persistencia</x:v>
      </x:c>
      <x:c r="G574" s="10" t="str">
        <x:v>Pendiente</x:v>
      </x:c>
      <x:c r="H574" s="10"/>
      <x:c r="I574" s="10"/>
      <x:c r="J574" s="10"/>
      <x:c r="K574" s="10"/>
      <x:c r="L574" s="11"/>
      <x:c r="M574" s="12"/>
      <x:c r="N574" s="10"/>
    </x:row>
    <x:row r="575" ht="25" customHeight="1">
      <x:c r="A575" s="9" t="str">
        <x:v>QA-MAT-119</x:v>
      </x:c>
      <x:c r="B575" s="9" t="str">
        <x:v>MAT</x:v>
      </x:c>
      <x:c r="C575" s="9" t="str">
        <x:v>Ecommerce / 01 / identidad G Gubernamental</x:v>
      </x:c>
      <x:c r="D575" s="9" t="str">
        <x:v>P1</x:v>
      </x:c>
      <x:c r="E575" s="9" t="str">
        <x:v>Positiva</x:v>
      </x:c>
      <x:c r="F575" s="9" t="str">
        <x:v>Navegador + HTTP + persistencia</x:v>
      </x:c>
      <x:c r="G575" s="10" t="str">
        <x:v>Pendiente</x:v>
      </x:c>
      <x:c r="H575" s="10"/>
      <x:c r="I575" s="10"/>
      <x:c r="J575" s="10"/>
      <x:c r="K575" s="10"/>
      <x:c r="L575" s="11"/>
      <x:c r="M575" s="12"/>
      <x:c r="N575" s="10"/>
    </x:row>
    <x:row r="576" ht="25" customHeight="1">
      <x:c r="A576" s="9" t="str">
        <x:v>QA-MAT-120</x:v>
      </x:c>
      <x:c r="B576" s="9" t="str">
        <x:v>MAT</x:v>
      </x:c>
      <x:c r="C576" s="9" t="str">
        <x:v>Ecommerce / 01 / identidad R Firma Personal</x:v>
      </x:c>
      <x:c r="D576" s="9" t="str">
        <x:v>P1</x:v>
      </x:c>
      <x:c r="E576" s="9" t="str">
        <x:v>Positiva</x:v>
      </x:c>
      <x:c r="F576" s="9" t="str">
        <x:v>Navegador + HTTP + persistencia</x:v>
      </x:c>
      <x:c r="G576" s="10" t="str">
        <x:v>Pendiente</x:v>
      </x:c>
      <x:c r="H576" s="10"/>
      <x:c r="I576" s="10"/>
      <x:c r="J576" s="10"/>
      <x:c r="K576" s="10"/>
      <x:c r="L576" s="11"/>
      <x:c r="M576" s="12"/>
      <x:c r="N576" s="10"/>
    </x:row>
    <x:row r="577" ht="25" customHeight="1">
      <x:c r="A577" s="9" t="str">
        <x:v>QA-MAT-121</x:v>
      </x:c>
      <x:c r="B577" s="9" t="str">
        <x:v>MAT</x:v>
      </x:c>
      <x:c r="C577" s="9" t="str">
        <x:v>Ecommerce / 80 / identidad 0 Doc.sin.rif</x:v>
      </x:c>
      <x:c r="D577" s="9" t="str">
        <x:v>P1</x:v>
      </x:c>
      <x:c r="E577" s="9" t="str">
        <x:v>Positiva</x:v>
      </x:c>
      <x:c r="F577" s="9" t="str">
        <x:v>Navegador + HTTP + persistencia</x:v>
      </x:c>
      <x:c r="G577" s="10" t="str">
        <x:v>Pendiente</x:v>
      </x:c>
      <x:c r="H577" s="10"/>
      <x:c r="I577" s="10"/>
      <x:c r="J577" s="10"/>
      <x:c r="K577" s="10"/>
      <x:c r="L577" s="11"/>
      <x:c r="M577" s="12"/>
      <x:c r="N577" s="10"/>
    </x:row>
    <x:row r="578" ht="25" customHeight="1">
      <x:c r="A578" s="9" t="str">
        <x:v>QA-MAT-122</x:v>
      </x:c>
      <x:c r="B578" s="9" t="str">
        <x:v>MAT</x:v>
      </x:c>
      <x:c r="C578" s="9" t="str">
        <x:v>Ecommerce / 80 / identidad 1 Venezolano</x:v>
      </x:c>
      <x:c r="D578" s="9" t="str">
        <x:v>P1</x:v>
      </x:c>
      <x:c r="E578" s="9" t="str">
        <x:v>Positiva</x:v>
      </x:c>
      <x:c r="F578" s="9" t="str">
        <x:v>Navegador + HTTP + persistencia</x:v>
      </x:c>
      <x:c r="G578" s="10" t="str">
        <x:v>Pendiente</x:v>
      </x:c>
      <x:c r="H578" s="10"/>
      <x:c r="I578" s="10"/>
      <x:c r="J578" s="10"/>
      <x:c r="K578" s="10"/>
      <x:c r="L578" s="11"/>
      <x:c r="M578" s="12"/>
      <x:c r="N578" s="10"/>
    </x:row>
    <x:row r="579" ht="25" customHeight="1">
      <x:c r="A579" s="9" t="str">
        <x:v>QA-MAT-123</x:v>
      </x:c>
      <x:c r="B579" s="9" t="str">
        <x:v>MAT</x:v>
      </x:c>
      <x:c r="C579" s="9" t="str">
        <x:v>Ecommerce / 80 / identidad 6 Juridico</x:v>
      </x:c>
      <x:c r="D579" s="9" t="str">
        <x:v>P1</x:v>
      </x:c>
      <x:c r="E579" s="9" t="str">
        <x:v>Positiva</x:v>
      </x:c>
      <x:c r="F579" s="9" t="str">
        <x:v>Navegador + HTTP + persistencia</x:v>
      </x:c>
      <x:c r="G579" s="10" t="str">
        <x:v>Pendiente</x:v>
      </x:c>
      <x:c r="H579" s="10"/>
      <x:c r="I579" s="10"/>
      <x:c r="J579" s="10"/>
      <x:c r="K579" s="10"/>
      <x:c r="L579" s="11"/>
      <x:c r="M579" s="12"/>
      <x:c r="N579" s="10"/>
    </x:row>
    <x:row r="580" ht="25" customHeight="1">
      <x:c r="A580" s="9" t="str">
        <x:v>QA-MAT-124</x:v>
      </x:c>
      <x:c r="B580" s="9" t="str">
        <x:v>MAT</x:v>
      </x:c>
      <x:c r="C580" s="9" t="str">
        <x:v>Ecommerce / 80 / identidad 7 Pasaporte</x:v>
      </x:c>
      <x:c r="D580" s="9" t="str">
        <x:v>P1</x:v>
      </x:c>
      <x:c r="E580" s="9" t="str">
        <x:v>Positiva</x:v>
      </x:c>
      <x:c r="F580" s="9" t="str">
        <x:v>Navegador + HTTP + persistencia</x:v>
      </x:c>
      <x:c r="G580" s="10" t="str">
        <x:v>Pendiente</x:v>
      </x:c>
      <x:c r="H580" s="10"/>
      <x:c r="I580" s="10"/>
      <x:c r="J580" s="10"/>
      <x:c r="K580" s="10"/>
      <x:c r="L580" s="11"/>
      <x:c r="M580" s="12"/>
      <x:c r="N580" s="10"/>
    </x:row>
    <x:row r="581" ht="25" customHeight="1">
      <x:c r="A581" s="9" t="str">
        <x:v>QA-MAT-125</x:v>
      </x:c>
      <x:c r="B581" s="9" t="str">
        <x:v>MAT</x:v>
      </x:c>
      <x:c r="C581" s="9" t="str">
        <x:v>Ecommerce / 80 / identidad E Extranjero</x:v>
      </x:c>
      <x:c r="D581" s="9" t="str">
        <x:v>P1</x:v>
      </x:c>
      <x:c r="E581" s="9" t="str">
        <x:v>Positiva</x:v>
      </x:c>
      <x:c r="F581" s="9" t="str">
        <x:v>Navegador + HTTP + persistencia</x:v>
      </x:c>
      <x:c r="G581" s="10" t="str">
        <x:v>Pendiente</x:v>
      </x:c>
      <x:c r="H581" s="10"/>
      <x:c r="I581" s="10"/>
      <x:c r="J581" s="10"/>
      <x:c r="K581" s="10"/>
      <x:c r="L581" s="11"/>
      <x:c r="M581" s="12"/>
      <x:c r="N581" s="10"/>
    </x:row>
    <x:row r="582" ht="25" customHeight="1">
      <x:c r="A582" s="9" t="str">
        <x:v>QA-MAT-126</x:v>
      </x:c>
      <x:c r="B582" s="9" t="str">
        <x:v>MAT</x:v>
      </x:c>
      <x:c r="C582" s="9" t="str">
        <x:v>Ecommerce / 80 / identidad C Comuna</x:v>
      </x:c>
      <x:c r="D582" s="9" t="str">
        <x:v>P1</x:v>
      </x:c>
      <x:c r="E582" s="9" t="str">
        <x:v>Positiva</x:v>
      </x:c>
      <x:c r="F582" s="9" t="str">
        <x:v>Navegador + HTTP + persistencia</x:v>
      </x:c>
      <x:c r="G582" s="10" t="str">
        <x:v>Pendiente</x:v>
      </x:c>
      <x:c r="H582" s="10"/>
      <x:c r="I582" s="10"/>
      <x:c r="J582" s="10"/>
      <x:c r="K582" s="10"/>
      <x:c r="L582" s="11"/>
      <x:c r="M582" s="12"/>
      <x:c r="N582" s="10"/>
    </x:row>
    <x:row r="583" ht="25" customHeight="1">
      <x:c r="A583" s="9" t="str">
        <x:v>QA-MAT-127</x:v>
      </x:c>
      <x:c r="B583" s="9" t="str">
        <x:v>MAT</x:v>
      </x:c>
      <x:c r="C583" s="9" t="str">
        <x:v>Ecommerce / 80 / identidad G Gubernamental</x:v>
      </x:c>
      <x:c r="D583" s="9" t="str">
        <x:v>P1</x:v>
      </x:c>
      <x:c r="E583" s="9" t="str">
        <x:v>Positiva</x:v>
      </x:c>
      <x:c r="F583" s="9" t="str">
        <x:v>Navegador + HTTP + persistencia</x:v>
      </x:c>
      <x:c r="G583" s="10" t="str">
        <x:v>Pendiente</x:v>
      </x:c>
      <x:c r="H583" s="10"/>
      <x:c r="I583" s="10"/>
      <x:c r="J583" s="10"/>
      <x:c r="K583" s="10"/>
      <x:c r="L583" s="11"/>
      <x:c r="M583" s="12"/>
      <x:c r="N583" s="10"/>
    </x:row>
    <x:row r="584" ht="25" customHeight="1">
      <x:c r="A584" s="9" t="str">
        <x:v>QA-MAT-128</x:v>
      </x:c>
      <x:c r="B584" s="9" t="str">
        <x:v>MAT</x:v>
      </x:c>
      <x:c r="C584" s="9" t="str">
        <x:v>Ecommerce / 80 / identidad R Firma Personal</x:v>
      </x:c>
      <x:c r="D584" s="9" t="str">
        <x:v>P1</x:v>
      </x:c>
      <x:c r="E584" s="9" t="str">
        <x:v>Positiva</x:v>
      </x:c>
      <x:c r="F584" s="9" t="str">
        <x:v>Navegador + HTTP + persistencia</x:v>
      </x:c>
      <x:c r="G584" s="10" t="str">
        <x:v>Pendiente</x:v>
      </x:c>
      <x:c r="H584" s="10"/>
      <x:c r="I584" s="10"/>
      <x:c r="J584" s="10"/>
      <x:c r="K584" s="10"/>
      <x:c r="L584" s="11"/>
      <x:c r="M584" s="12"/>
      <x:c r="N584" s="10"/>
    </x:row>
    <x:row r="585" ht="25" customHeight="1">
      <x:c r="A585" s="9" t="str">
        <x:v>QA-MAT-129</x:v>
      </x:c>
      <x:c r="B585" s="9" t="str">
        <x:v>MAT</x:v>
      </x:c>
      <x:c r="C585" s="9" t="str">
        <x:v>Mi Tienda / Store / 01 / identidad 0 Doc.sin.rif</x:v>
      </x:c>
      <x:c r="D585" s="9" t="str">
        <x:v>P1</x:v>
      </x:c>
      <x:c r="E585" s="9" t="str">
        <x:v>Positiva</x:v>
      </x:c>
      <x:c r="F585" s="9" t="str">
        <x:v>Navegador + HTTP + persistencia</x:v>
      </x:c>
      <x:c r="G585" s="10" t="str">
        <x:v>Pendiente</x:v>
      </x:c>
      <x:c r="H585" s="10"/>
      <x:c r="I585" s="10"/>
      <x:c r="J585" s="10"/>
      <x:c r="K585" s="10"/>
      <x:c r="L585" s="11"/>
      <x:c r="M585" s="12"/>
      <x:c r="N585" s="10"/>
    </x:row>
    <x:row r="586" ht="25" customHeight="1">
      <x:c r="A586" s="9" t="str">
        <x:v>QA-MAT-130</x:v>
      </x:c>
      <x:c r="B586" s="9" t="str">
        <x:v>MAT</x:v>
      </x:c>
      <x:c r="C586" s="9" t="str">
        <x:v>Mi Tienda / Store / 01 / identidad 1 Venezolano</x:v>
      </x:c>
      <x:c r="D586" s="9" t="str">
        <x:v>P1</x:v>
      </x:c>
      <x:c r="E586" s="9" t="str">
        <x:v>Positiva</x:v>
      </x:c>
      <x:c r="F586" s="9" t="str">
        <x:v>Navegador + HTTP + persistencia</x:v>
      </x:c>
      <x:c r="G586" s="10" t="str">
        <x:v>Pendiente</x:v>
      </x:c>
      <x:c r="H586" s="10"/>
      <x:c r="I586" s="10"/>
      <x:c r="J586" s="10"/>
      <x:c r="K586" s="10"/>
      <x:c r="L586" s="11"/>
      <x:c r="M586" s="12"/>
      <x:c r="N586" s="10"/>
    </x:row>
    <x:row r="587" ht="25" customHeight="1">
      <x:c r="A587" s="9" t="str">
        <x:v>QA-MAT-131</x:v>
      </x:c>
      <x:c r="B587" s="9" t="str">
        <x:v>MAT</x:v>
      </x:c>
      <x:c r="C587" s="9" t="str">
        <x:v>Mi Tienda / Store / 01 / identidad 6 Juridico</x:v>
      </x:c>
      <x:c r="D587" s="9" t="str">
        <x:v>P1</x:v>
      </x:c>
      <x:c r="E587" s="9" t="str">
        <x:v>Positiva</x:v>
      </x:c>
      <x:c r="F587" s="9" t="str">
        <x:v>Navegador + HTTP + persistencia</x:v>
      </x:c>
      <x:c r="G587" s="10" t="str">
        <x:v>Pendiente</x:v>
      </x:c>
      <x:c r="H587" s="10"/>
      <x:c r="I587" s="10"/>
      <x:c r="J587" s="10"/>
      <x:c r="K587" s="10"/>
      <x:c r="L587" s="11"/>
      <x:c r="M587" s="12"/>
      <x:c r="N587" s="10"/>
    </x:row>
    <x:row r="588" ht="25" customHeight="1">
      <x:c r="A588" s="9" t="str">
        <x:v>QA-MAT-132</x:v>
      </x:c>
      <x:c r="B588" s="9" t="str">
        <x:v>MAT</x:v>
      </x:c>
      <x:c r="C588" s="9" t="str">
        <x:v>Mi Tienda / Store / 01 / identidad 7 Pasaporte</x:v>
      </x:c>
      <x:c r="D588" s="9" t="str">
        <x:v>P1</x:v>
      </x:c>
      <x:c r="E588" s="9" t="str">
        <x:v>Positiva</x:v>
      </x:c>
      <x:c r="F588" s="9" t="str">
        <x:v>Navegador + HTTP + persistencia</x:v>
      </x:c>
      <x:c r="G588" s="10" t="str">
        <x:v>Pendiente</x:v>
      </x:c>
      <x:c r="H588" s="10"/>
      <x:c r="I588" s="10"/>
      <x:c r="J588" s="10"/>
      <x:c r="K588" s="10"/>
      <x:c r="L588" s="11"/>
      <x:c r="M588" s="12"/>
      <x:c r="N588" s="10"/>
    </x:row>
    <x:row r="589" ht="25" customHeight="1">
      <x:c r="A589" s="9" t="str">
        <x:v>QA-MAT-133</x:v>
      </x:c>
      <x:c r="B589" s="9" t="str">
        <x:v>MAT</x:v>
      </x:c>
      <x:c r="C589" s="9" t="str">
        <x:v>Mi Tienda / Store / 01 / identidad E Extranjero</x:v>
      </x:c>
      <x:c r="D589" s="9" t="str">
        <x:v>P1</x:v>
      </x:c>
      <x:c r="E589" s="9" t="str">
        <x:v>Positiva</x:v>
      </x:c>
      <x:c r="F589" s="9" t="str">
        <x:v>Navegador + HTTP + persistencia</x:v>
      </x:c>
      <x:c r="G589" s="10" t="str">
        <x:v>Pendiente</x:v>
      </x:c>
      <x:c r="H589" s="10"/>
      <x:c r="I589" s="10"/>
      <x:c r="J589" s="10"/>
      <x:c r="K589" s="10"/>
      <x:c r="L589" s="11"/>
      <x:c r="M589" s="12"/>
      <x:c r="N589" s="10"/>
    </x:row>
    <x:row r="590" ht="25" customHeight="1">
      <x:c r="A590" s="9" t="str">
        <x:v>QA-MAT-134</x:v>
      </x:c>
      <x:c r="B590" s="9" t="str">
        <x:v>MAT</x:v>
      </x:c>
      <x:c r="C590" s="9" t="str">
        <x:v>Mi Tienda / Store / 01 / identidad C Comuna</x:v>
      </x:c>
      <x:c r="D590" s="9" t="str">
        <x:v>P1</x:v>
      </x:c>
      <x:c r="E590" s="9" t="str">
        <x:v>Positiva</x:v>
      </x:c>
      <x:c r="F590" s="9" t="str">
        <x:v>Navegador + HTTP + persistencia</x:v>
      </x:c>
      <x:c r="G590" s="10" t="str">
        <x:v>Pendiente</x:v>
      </x:c>
      <x:c r="H590" s="10"/>
      <x:c r="I590" s="10"/>
      <x:c r="J590" s="10"/>
      <x:c r="K590" s="10"/>
      <x:c r="L590" s="11"/>
      <x:c r="M590" s="12"/>
      <x:c r="N590" s="10"/>
    </x:row>
    <x:row r="591" ht="25" customHeight="1">
      <x:c r="A591" s="9" t="str">
        <x:v>QA-MAT-135</x:v>
      </x:c>
      <x:c r="B591" s="9" t="str">
        <x:v>MAT</x:v>
      </x:c>
      <x:c r="C591" s="9" t="str">
        <x:v>Mi Tienda / Store / 01 / identidad G Gubernamental</x:v>
      </x:c>
      <x:c r="D591" s="9" t="str">
        <x:v>P1</x:v>
      </x:c>
      <x:c r="E591" s="9" t="str">
        <x:v>Positiva</x:v>
      </x:c>
      <x:c r="F591" s="9" t="str">
        <x:v>Navegador + HTTP + persistencia</x:v>
      </x:c>
      <x:c r="G591" s="10" t="str">
        <x:v>Pendiente</x:v>
      </x:c>
      <x:c r="H591" s="10"/>
      <x:c r="I591" s="10"/>
      <x:c r="J591" s="10"/>
      <x:c r="K591" s="10"/>
      <x:c r="L591" s="11"/>
      <x:c r="M591" s="12"/>
      <x:c r="N591" s="10"/>
    </x:row>
    <x:row r="592" ht="25" customHeight="1">
      <x:c r="A592" s="9" t="str">
        <x:v>QA-MAT-136</x:v>
      </x:c>
      <x:c r="B592" s="9" t="str">
        <x:v>MAT</x:v>
      </x:c>
      <x:c r="C592" s="9" t="str">
        <x:v>Mi Tienda / Store / 01 / identidad R Firma Personal</x:v>
      </x:c>
      <x:c r="D592" s="9" t="str">
        <x:v>P1</x:v>
      </x:c>
      <x:c r="E592" s="9" t="str">
        <x:v>Positiva</x:v>
      </x:c>
      <x:c r="F592" s="9" t="str">
        <x:v>Navegador + HTTP + persistencia</x:v>
      </x:c>
      <x:c r="G592" s="10" t="str">
        <x:v>Pendiente</x:v>
      </x:c>
      <x:c r="H592" s="10"/>
      <x:c r="I592" s="10"/>
      <x:c r="J592" s="10"/>
      <x:c r="K592" s="10"/>
      <x:c r="L592" s="11"/>
      <x:c r="M592" s="12"/>
      <x:c r="N592" s="10"/>
    </x:row>
    <x:row r="593" ht="25" customHeight="1">
      <x:c r="A593" s="9" t="str">
        <x:v>QA-MAT-137</x:v>
      </x:c>
      <x:c r="B593" s="9" t="str">
        <x:v>MAT</x:v>
      </x:c>
      <x:c r="C593" s="9" t="str">
        <x:v>Mi Tienda / Store / 80 / identidad 0 Doc.sin.rif</x:v>
      </x:c>
      <x:c r="D593" s="9" t="str">
        <x:v>P1</x:v>
      </x:c>
      <x:c r="E593" s="9" t="str">
        <x:v>Positiva</x:v>
      </x:c>
      <x:c r="F593" s="9" t="str">
        <x:v>Navegador + HTTP + persistencia</x:v>
      </x:c>
      <x:c r="G593" s="10" t="str">
        <x:v>Pendiente</x:v>
      </x:c>
      <x:c r="H593" s="10"/>
      <x:c r="I593" s="10"/>
      <x:c r="J593" s="10"/>
      <x:c r="K593" s="10"/>
      <x:c r="L593" s="11"/>
      <x:c r="M593" s="12"/>
      <x:c r="N593" s="10"/>
    </x:row>
    <x:row r="594" ht="25" customHeight="1">
      <x:c r="A594" s="9" t="str">
        <x:v>QA-MAT-138</x:v>
      </x:c>
      <x:c r="B594" s="9" t="str">
        <x:v>MAT</x:v>
      </x:c>
      <x:c r="C594" s="9" t="str">
        <x:v>Mi Tienda / Store / 80 / identidad 1 Venezolano</x:v>
      </x:c>
      <x:c r="D594" s="9" t="str">
        <x:v>P1</x:v>
      </x:c>
      <x:c r="E594" s="9" t="str">
        <x:v>Positiva</x:v>
      </x:c>
      <x:c r="F594" s="9" t="str">
        <x:v>Navegador + HTTP + persistencia</x:v>
      </x:c>
      <x:c r="G594" s="10" t="str">
        <x:v>Pendiente</x:v>
      </x:c>
      <x:c r="H594" s="10"/>
      <x:c r="I594" s="10"/>
      <x:c r="J594" s="10"/>
      <x:c r="K594" s="10"/>
      <x:c r="L594" s="11"/>
      <x:c r="M594" s="12"/>
      <x:c r="N594" s="10"/>
    </x:row>
    <x:row r="595" ht="25" customHeight="1">
      <x:c r="A595" s="9" t="str">
        <x:v>QA-MAT-139</x:v>
      </x:c>
      <x:c r="B595" s="9" t="str">
        <x:v>MAT</x:v>
      </x:c>
      <x:c r="C595" s="9" t="str">
        <x:v>Mi Tienda / Store / 80 / identidad 6 Juridico</x:v>
      </x:c>
      <x:c r="D595" s="9" t="str">
        <x:v>P1</x:v>
      </x:c>
      <x:c r="E595" s="9" t="str">
        <x:v>Positiva</x:v>
      </x:c>
      <x:c r="F595" s="9" t="str">
        <x:v>Navegador + HTTP + persistencia</x:v>
      </x:c>
      <x:c r="G595" s="10" t="str">
        <x:v>Pendiente</x:v>
      </x:c>
      <x:c r="H595" s="10"/>
      <x:c r="I595" s="10"/>
      <x:c r="J595" s="10"/>
      <x:c r="K595" s="10"/>
      <x:c r="L595" s="11"/>
      <x:c r="M595" s="12"/>
      <x:c r="N595" s="10"/>
    </x:row>
    <x:row r="596" ht="25" customHeight="1">
      <x:c r="A596" s="9" t="str">
        <x:v>QA-MAT-140</x:v>
      </x:c>
      <x:c r="B596" s="9" t="str">
        <x:v>MAT</x:v>
      </x:c>
      <x:c r="C596" s="9" t="str">
        <x:v>Mi Tienda / Store / 80 / identidad 7 Pasaporte</x:v>
      </x:c>
      <x:c r="D596" s="9" t="str">
        <x:v>P1</x:v>
      </x:c>
      <x:c r="E596" s="9" t="str">
        <x:v>Positiva</x:v>
      </x:c>
      <x:c r="F596" s="9" t="str">
        <x:v>Navegador + HTTP + persistencia</x:v>
      </x:c>
      <x:c r="G596" s="10" t="str">
        <x:v>Pendiente</x:v>
      </x:c>
      <x:c r="H596" s="10"/>
      <x:c r="I596" s="10"/>
      <x:c r="J596" s="10"/>
      <x:c r="K596" s="10"/>
      <x:c r="L596" s="11"/>
      <x:c r="M596" s="12"/>
      <x:c r="N596" s="10"/>
    </x:row>
    <x:row r="597" ht="25" customHeight="1">
      <x:c r="A597" s="9" t="str">
        <x:v>QA-MAT-141</x:v>
      </x:c>
      <x:c r="B597" s="9" t="str">
        <x:v>MAT</x:v>
      </x:c>
      <x:c r="C597" s="9" t="str">
        <x:v>Mi Tienda / Store / 80 / identidad E Extranjero</x:v>
      </x:c>
      <x:c r="D597" s="9" t="str">
        <x:v>P1</x:v>
      </x:c>
      <x:c r="E597" s="9" t="str">
        <x:v>Positiva</x:v>
      </x:c>
      <x:c r="F597" s="9" t="str">
        <x:v>Navegador + HTTP + persistencia</x:v>
      </x:c>
      <x:c r="G597" s="10" t="str">
        <x:v>Pendiente</x:v>
      </x:c>
      <x:c r="H597" s="10"/>
      <x:c r="I597" s="10"/>
      <x:c r="J597" s="10"/>
      <x:c r="K597" s="10"/>
      <x:c r="L597" s="11"/>
      <x:c r="M597" s="12"/>
      <x:c r="N597" s="10"/>
    </x:row>
    <x:row r="598" ht="25" customHeight="1">
      <x:c r="A598" s="9" t="str">
        <x:v>QA-MAT-142</x:v>
      </x:c>
      <x:c r="B598" s="9" t="str">
        <x:v>MAT</x:v>
      </x:c>
      <x:c r="C598" s="9" t="str">
        <x:v>Mi Tienda / Store / 80 / identidad C Comuna</x:v>
      </x:c>
      <x:c r="D598" s="9" t="str">
        <x:v>P1</x:v>
      </x:c>
      <x:c r="E598" s="9" t="str">
        <x:v>Positiva</x:v>
      </x:c>
      <x:c r="F598" s="9" t="str">
        <x:v>Navegador + HTTP + persistencia</x:v>
      </x:c>
      <x:c r="G598" s="10" t="str">
        <x:v>Pendiente</x:v>
      </x:c>
      <x:c r="H598" s="10"/>
      <x:c r="I598" s="10"/>
      <x:c r="J598" s="10"/>
      <x:c r="K598" s="10"/>
      <x:c r="L598" s="11"/>
      <x:c r="M598" s="12"/>
      <x:c r="N598" s="10"/>
    </x:row>
    <x:row r="599" ht="25" customHeight="1">
      <x:c r="A599" s="9" t="str">
        <x:v>QA-MAT-143</x:v>
      </x:c>
      <x:c r="B599" s="9" t="str">
        <x:v>MAT</x:v>
      </x:c>
      <x:c r="C599" s="9" t="str">
        <x:v>Mi Tienda / Store / 80 / identidad G Gubernamental</x:v>
      </x:c>
      <x:c r="D599" s="9" t="str">
        <x:v>P1</x:v>
      </x:c>
      <x:c r="E599" s="9" t="str">
        <x:v>Positiva</x:v>
      </x:c>
      <x:c r="F599" s="9" t="str">
        <x:v>Navegador + HTTP + persistencia</x:v>
      </x:c>
      <x:c r="G599" s="10" t="str">
        <x:v>Pendiente</x:v>
      </x:c>
      <x:c r="H599" s="10"/>
      <x:c r="I599" s="10"/>
      <x:c r="J599" s="10"/>
      <x:c r="K599" s="10"/>
      <x:c r="L599" s="11"/>
      <x:c r="M599" s="12"/>
      <x:c r="N599" s="10"/>
    </x:row>
    <x:row r="600" ht="25" customHeight="1">
      <x:c r="A600" s="9" t="str">
        <x:v>QA-MAT-144</x:v>
      </x:c>
      <x:c r="B600" s="9" t="str">
        <x:v>MAT</x:v>
      </x:c>
      <x:c r="C600" s="9" t="str">
        <x:v>Mi Tienda / Store / 80 / identidad R Firma Personal</x:v>
      </x:c>
      <x:c r="D600" s="9" t="str">
        <x:v>P1</x:v>
      </x:c>
      <x:c r="E600" s="9" t="str">
        <x:v>Positiva</x:v>
      </x:c>
      <x:c r="F600" s="9" t="str">
        <x:v>Navegador + HTTP + persistencia</x:v>
      </x:c>
      <x:c r="G600" s="10" t="str">
        <x:v>Pendiente</x:v>
      </x:c>
      <x:c r="H600" s="10"/>
      <x:c r="I600" s="10"/>
      <x:c r="J600" s="10"/>
      <x:c r="K600" s="10"/>
      <x:c r="L600" s="11"/>
      <x:c r="M600" s="12"/>
      <x:c r="N600" s="10"/>
    </x:row>
    <x:row r="601" ht="25" customHeight="1">
      <x:c r="A601" s="9" t="str">
        <x:v>QA-MAT-145</x:v>
      </x:c>
      <x:c r="B601" s="9" t="str">
        <x:v>MAT</x:v>
      </x:c>
      <x:c r="C601" s="9" t="str">
        <x:v>Pedidos / 01 / identidad 0 Doc.sin.rif</x:v>
      </x:c>
      <x:c r="D601" s="9" t="str">
        <x:v>P1</x:v>
      </x:c>
      <x:c r="E601" s="9" t="str">
        <x:v>Positiva</x:v>
      </x:c>
      <x:c r="F601" s="9" t="str">
        <x:v>Navegador + HTTP + persistencia</x:v>
      </x:c>
      <x:c r="G601" s="10" t="str">
        <x:v>Pendiente</x:v>
      </x:c>
      <x:c r="H601" s="10"/>
      <x:c r="I601" s="10"/>
      <x:c r="J601" s="10"/>
      <x:c r="K601" s="10"/>
      <x:c r="L601" s="11"/>
      <x:c r="M601" s="12"/>
      <x:c r="N601" s="10"/>
    </x:row>
    <x:row r="602" ht="25" customHeight="1">
      <x:c r="A602" s="9" t="str">
        <x:v>QA-MAT-146</x:v>
      </x:c>
      <x:c r="B602" s="9" t="str">
        <x:v>MAT</x:v>
      </x:c>
      <x:c r="C602" s="9" t="str">
        <x:v>Pedidos / 01 / identidad 1 Venezolano</x:v>
      </x:c>
      <x:c r="D602" s="9" t="str">
        <x:v>P1</x:v>
      </x:c>
      <x:c r="E602" s="9" t="str">
        <x:v>Positiva</x:v>
      </x:c>
      <x:c r="F602" s="9" t="str">
        <x:v>Navegador + HTTP + persistencia</x:v>
      </x:c>
      <x:c r="G602" s="10" t="str">
        <x:v>Pendiente</x:v>
      </x:c>
      <x:c r="H602" s="10"/>
      <x:c r="I602" s="10"/>
      <x:c r="J602" s="10"/>
      <x:c r="K602" s="10"/>
      <x:c r="L602" s="11"/>
      <x:c r="M602" s="12"/>
      <x:c r="N602" s="10"/>
    </x:row>
    <x:row r="603" ht="25" customHeight="1">
      <x:c r="A603" s="9" t="str">
        <x:v>QA-MAT-147</x:v>
      </x:c>
      <x:c r="B603" s="9" t="str">
        <x:v>MAT</x:v>
      </x:c>
      <x:c r="C603" s="9" t="str">
        <x:v>Pedidos / 01 / identidad 6 Juridico</x:v>
      </x:c>
      <x:c r="D603" s="9" t="str">
        <x:v>P1</x:v>
      </x:c>
      <x:c r="E603" s="9" t="str">
        <x:v>Positiva</x:v>
      </x:c>
      <x:c r="F603" s="9" t="str">
        <x:v>Navegador + HTTP + persistencia</x:v>
      </x:c>
      <x:c r="G603" s="10" t="str">
        <x:v>Pendiente</x:v>
      </x:c>
      <x:c r="H603" s="10"/>
      <x:c r="I603" s="10"/>
      <x:c r="J603" s="10"/>
      <x:c r="K603" s="10"/>
      <x:c r="L603" s="11"/>
      <x:c r="M603" s="12"/>
      <x:c r="N603" s="10"/>
    </x:row>
    <x:row r="604" ht="25" customHeight="1">
      <x:c r="A604" s="9" t="str">
        <x:v>QA-MAT-148</x:v>
      </x:c>
      <x:c r="B604" s="9" t="str">
        <x:v>MAT</x:v>
      </x:c>
      <x:c r="C604" s="9" t="str">
        <x:v>Pedidos / 01 / identidad 7 Pasaporte</x:v>
      </x:c>
      <x:c r="D604" s="9" t="str">
        <x:v>P1</x:v>
      </x:c>
      <x:c r="E604" s="9" t="str">
        <x:v>Positiva</x:v>
      </x:c>
      <x:c r="F604" s="9" t="str">
        <x:v>Navegador + HTTP + persistencia</x:v>
      </x:c>
      <x:c r="G604" s="10" t="str">
        <x:v>Pendiente</x:v>
      </x:c>
      <x:c r="H604" s="10"/>
      <x:c r="I604" s="10"/>
      <x:c r="J604" s="10"/>
      <x:c r="K604" s="10"/>
      <x:c r="L604" s="11"/>
      <x:c r="M604" s="12"/>
      <x:c r="N604" s="10"/>
    </x:row>
    <x:row r="605" ht="25" customHeight="1">
      <x:c r="A605" s="9" t="str">
        <x:v>QA-MAT-149</x:v>
      </x:c>
      <x:c r="B605" s="9" t="str">
        <x:v>MAT</x:v>
      </x:c>
      <x:c r="C605" s="9" t="str">
        <x:v>Pedidos / 01 / identidad E Extranjero</x:v>
      </x:c>
      <x:c r="D605" s="9" t="str">
        <x:v>P1</x:v>
      </x:c>
      <x:c r="E605" s="9" t="str">
        <x:v>Positiva</x:v>
      </x:c>
      <x:c r="F605" s="9" t="str">
        <x:v>Navegador + HTTP + persistencia</x:v>
      </x:c>
      <x:c r="G605" s="10" t="str">
        <x:v>Pendiente</x:v>
      </x:c>
      <x:c r="H605" s="10"/>
      <x:c r="I605" s="10"/>
      <x:c r="J605" s="10"/>
      <x:c r="K605" s="10"/>
      <x:c r="L605" s="11"/>
      <x:c r="M605" s="12"/>
      <x:c r="N605" s="10"/>
    </x:row>
    <x:row r="606" ht="25" customHeight="1">
      <x:c r="A606" s="9" t="str">
        <x:v>QA-MAT-150</x:v>
      </x:c>
      <x:c r="B606" s="9" t="str">
        <x:v>MAT</x:v>
      </x:c>
      <x:c r="C606" s="9" t="str">
        <x:v>Pedidos / 01 / identidad C Comuna</x:v>
      </x:c>
      <x:c r="D606" s="9" t="str">
        <x:v>P1</x:v>
      </x:c>
      <x:c r="E606" s="9" t="str">
        <x:v>Positiva</x:v>
      </x:c>
      <x:c r="F606" s="9" t="str">
        <x:v>Navegador + HTTP + persistencia</x:v>
      </x:c>
      <x:c r="G606" s="10" t="str">
        <x:v>Pendiente</x:v>
      </x:c>
      <x:c r="H606" s="10"/>
      <x:c r="I606" s="10"/>
      <x:c r="J606" s="10"/>
      <x:c r="K606" s="10"/>
      <x:c r="L606" s="11"/>
      <x:c r="M606" s="12"/>
      <x:c r="N606" s="10"/>
    </x:row>
    <x:row r="607" ht="25" customHeight="1">
      <x:c r="A607" s="9" t="str">
        <x:v>QA-MAT-151</x:v>
      </x:c>
      <x:c r="B607" s="9" t="str">
        <x:v>MAT</x:v>
      </x:c>
      <x:c r="C607" s="9" t="str">
        <x:v>Pedidos / 01 / identidad G Gubernamental</x:v>
      </x:c>
      <x:c r="D607" s="9" t="str">
        <x:v>P1</x:v>
      </x:c>
      <x:c r="E607" s="9" t="str">
        <x:v>Positiva</x:v>
      </x:c>
      <x:c r="F607" s="9" t="str">
        <x:v>Navegador + HTTP + persistencia</x:v>
      </x:c>
      <x:c r="G607" s="10" t="str">
        <x:v>Pendiente</x:v>
      </x:c>
      <x:c r="H607" s="10"/>
      <x:c r="I607" s="10"/>
      <x:c r="J607" s="10"/>
      <x:c r="K607" s="10"/>
      <x:c r="L607" s="11"/>
      <x:c r="M607" s="12"/>
      <x:c r="N607" s="10"/>
    </x:row>
    <x:row r="608" ht="25" customHeight="1">
      <x:c r="A608" s="9" t="str">
        <x:v>QA-MAT-152</x:v>
      </x:c>
      <x:c r="B608" s="9" t="str">
        <x:v>MAT</x:v>
      </x:c>
      <x:c r="C608" s="9" t="str">
        <x:v>Pedidos / 01 / identidad R Firma Personal</x:v>
      </x:c>
      <x:c r="D608" s="9" t="str">
        <x:v>P1</x:v>
      </x:c>
      <x:c r="E608" s="9" t="str">
        <x:v>Positiva</x:v>
      </x:c>
      <x:c r="F608" s="9" t="str">
        <x:v>Navegador + HTTP + persistencia</x:v>
      </x:c>
      <x:c r="G608" s="10" t="str">
        <x:v>Pendiente</x:v>
      </x:c>
      <x:c r="H608" s="10"/>
      <x:c r="I608" s="10"/>
      <x:c r="J608" s="10"/>
      <x:c r="K608" s="10"/>
      <x:c r="L608" s="11"/>
      <x:c r="M608" s="12"/>
      <x:c r="N608" s="10"/>
    </x:row>
    <x:row r="609" ht="25" customHeight="1">
      <x:c r="A609" s="9" t="str">
        <x:v>QA-MAT-153</x:v>
      </x:c>
      <x:c r="B609" s="9" t="str">
        <x:v>MAT</x:v>
      </x:c>
      <x:c r="C609" s="9" t="str">
        <x:v>Pedidos / 80 / identidad 0 Doc.sin.rif</x:v>
      </x:c>
      <x:c r="D609" s="9" t="str">
        <x:v>P1</x:v>
      </x:c>
      <x:c r="E609" s="9" t="str">
        <x:v>Positiva</x:v>
      </x:c>
      <x:c r="F609" s="9" t="str">
        <x:v>Navegador + HTTP + persistencia</x:v>
      </x:c>
      <x:c r="G609" s="10" t="str">
        <x:v>Pendiente</x:v>
      </x:c>
      <x:c r="H609" s="10"/>
      <x:c r="I609" s="10"/>
      <x:c r="J609" s="10"/>
      <x:c r="K609" s="10"/>
      <x:c r="L609" s="11"/>
      <x:c r="M609" s="12"/>
      <x:c r="N609" s="10"/>
    </x:row>
    <x:row r="610" ht="25" customHeight="1">
      <x:c r="A610" s="9" t="str">
        <x:v>QA-MAT-154</x:v>
      </x:c>
      <x:c r="B610" s="9" t="str">
        <x:v>MAT</x:v>
      </x:c>
      <x:c r="C610" s="9" t="str">
        <x:v>Pedidos / 80 / identidad 1 Venezolano</x:v>
      </x:c>
      <x:c r="D610" s="9" t="str">
        <x:v>P1</x:v>
      </x:c>
      <x:c r="E610" s="9" t="str">
        <x:v>Positiva</x:v>
      </x:c>
      <x:c r="F610" s="9" t="str">
        <x:v>Navegador + HTTP + persistencia</x:v>
      </x:c>
      <x:c r="G610" s="10" t="str">
        <x:v>Pendiente</x:v>
      </x:c>
      <x:c r="H610" s="10"/>
      <x:c r="I610" s="10"/>
      <x:c r="J610" s="10"/>
      <x:c r="K610" s="10"/>
      <x:c r="L610" s="11"/>
      <x:c r="M610" s="12"/>
      <x:c r="N610" s="10"/>
    </x:row>
    <x:row r="611" ht="25" customHeight="1">
      <x:c r="A611" s="9" t="str">
        <x:v>QA-MAT-155</x:v>
      </x:c>
      <x:c r="B611" s="9" t="str">
        <x:v>MAT</x:v>
      </x:c>
      <x:c r="C611" s="9" t="str">
        <x:v>Pedidos / 80 / identidad 6 Juridico</x:v>
      </x:c>
      <x:c r="D611" s="9" t="str">
        <x:v>P1</x:v>
      </x:c>
      <x:c r="E611" s="9" t="str">
        <x:v>Positiva</x:v>
      </x:c>
      <x:c r="F611" s="9" t="str">
        <x:v>Navegador + HTTP + persistencia</x:v>
      </x:c>
      <x:c r="G611" s="10" t="str">
        <x:v>Pendiente</x:v>
      </x:c>
      <x:c r="H611" s="10"/>
      <x:c r="I611" s="10"/>
      <x:c r="J611" s="10"/>
      <x:c r="K611" s="10"/>
      <x:c r="L611" s="11"/>
      <x:c r="M611" s="12"/>
      <x:c r="N611" s="10"/>
    </x:row>
    <x:row r="612" ht="25" customHeight="1">
      <x:c r="A612" s="9" t="str">
        <x:v>QA-MAT-156</x:v>
      </x:c>
      <x:c r="B612" s="9" t="str">
        <x:v>MAT</x:v>
      </x:c>
      <x:c r="C612" s="9" t="str">
        <x:v>Pedidos / 80 / identidad 7 Pasaporte</x:v>
      </x:c>
      <x:c r="D612" s="9" t="str">
        <x:v>P1</x:v>
      </x:c>
      <x:c r="E612" s="9" t="str">
        <x:v>Positiva</x:v>
      </x:c>
      <x:c r="F612" s="9" t="str">
        <x:v>Navegador + HTTP + persistencia</x:v>
      </x:c>
      <x:c r="G612" s="10" t="str">
        <x:v>Pendiente</x:v>
      </x:c>
      <x:c r="H612" s="10"/>
      <x:c r="I612" s="10"/>
      <x:c r="J612" s="10"/>
      <x:c r="K612" s="10"/>
      <x:c r="L612" s="11"/>
      <x:c r="M612" s="12"/>
      <x:c r="N612" s="10"/>
    </x:row>
    <x:row r="613" ht="25" customHeight="1">
      <x:c r="A613" s="9" t="str">
        <x:v>QA-MAT-157</x:v>
      </x:c>
      <x:c r="B613" s="9" t="str">
        <x:v>MAT</x:v>
      </x:c>
      <x:c r="C613" s="9" t="str">
        <x:v>Pedidos / 80 / identidad E Extranjero</x:v>
      </x:c>
      <x:c r="D613" s="9" t="str">
        <x:v>P1</x:v>
      </x:c>
      <x:c r="E613" s="9" t="str">
        <x:v>Positiva</x:v>
      </x:c>
      <x:c r="F613" s="9" t="str">
        <x:v>Navegador + HTTP + persistencia</x:v>
      </x:c>
      <x:c r="G613" s="10" t="str">
        <x:v>Pendiente</x:v>
      </x:c>
      <x:c r="H613" s="10"/>
      <x:c r="I613" s="10"/>
      <x:c r="J613" s="10"/>
      <x:c r="K613" s="10"/>
      <x:c r="L613" s="11"/>
      <x:c r="M613" s="12"/>
      <x:c r="N613" s="10"/>
    </x:row>
    <x:row r="614" ht="25" customHeight="1">
      <x:c r="A614" s="9" t="str">
        <x:v>QA-MAT-158</x:v>
      </x:c>
      <x:c r="B614" s="9" t="str">
        <x:v>MAT</x:v>
      </x:c>
      <x:c r="C614" s="9" t="str">
        <x:v>Pedidos / 80 / identidad C Comuna</x:v>
      </x:c>
      <x:c r="D614" s="9" t="str">
        <x:v>P1</x:v>
      </x:c>
      <x:c r="E614" s="9" t="str">
        <x:v>Positiva</x:v>
      </x:c>
      <x:c r="F614" s="9" t="str">
        <x:v>Navegador + HTTP + persistencia</x:v>
      </x:c>
      <x:c r="G614" s="10" t="str">
        <x:v>Pendiente</x:v>
      </x:c>
      <x:c r="H614" s="10"/>
      <x:c r="I614" s="10"/>
      <x:c r="J614" s="10"/>
      <x:c r="K614" s="10"/>
      <x:c r="L614" s="11"/>
      <x:c r="M614" s="12"/>
      <x:c r="N614" s="10"/>
    </x:row>
    <x:row r="615" ht="25" customHeight="1">
      <x:c r="A615" s="9" t="str">
        <x:v>QA-MAT-159</x:v>
      </x:c>
      <x:c r="B615" s="9" t="str">
        <x:v>MAT</x:v>
      </x:c>
      <x:c r="C615" s="9" t="str">
        <x:v>Pedidos / 80 / identidad G Gubernamental</x:v>
      </x:c>
      <x:c r="D615" s="9" t="str">
        <x:v>P1</x:v>
      </x:c>
      <x:c r="E615" s="9" t="str">
        <x:v>Positiva</x:v>
      </x:c>
      <x:c r="F615" s="9" t="str">
        <x:v>Navegador + HTTP + persistencia</x:v>
      </x:c>
      <x:c r="G615" s="10" t="str">
        <x:v>Pendiente</x:v>
      </x:c>
      <x:c r="H615" s="10"/>
      <x:c r="I615" s="10"/>
      <x:c r="J615" s="10"/>
      <x:c r="K615" s="10"/>
      <x:c r="L615" s="11"/>
      <x:c r="M615" s="12"/>
      <x:c r="N615" s="10"/>
    </x:row>
    <x:row r="616" ht="25" customHeight="1">
      <x:c r="A616" s="9" t="str">
        <x:v>QA-MAT-160</x:v>
      </x:c>
      <x:c r="B616" s="9" t="str">
        <x:v>MAT</x:v>
      </x:c>
      <x:c r="C616" s="9" t="str">
        <x:v>Pedidos / 80 / identidad R Firma Personal</x:v>
      </x:c>
      <x:c r="D616" s="9" t="str">
        <x:v>P1</x:v>
      </x:c>
      <x:c r="E616" s="9" t="str">
        <x:v>Positiva</x:v>
      </x:c>
      <x:c r="F616" s="9" t="str">
        <x:v>Navegador + HTTP + persistencia</x:v>
      </x:c>
      <x:c r="G616" s="10" t="str">
        <x:v>Pendiente</x:v>
      </x:c>
      <x:c r="H616" s="10"/>
      <x:c r="I616" s="10"/>
      <x:c r="J616" s="10"/>
      <x:c r="K616" s="10"/>
      <x:c r="L616" s="11"/>
      <x:c r="M616" s="12"/>
      <x:c r="N616" s="10"/>
    </x:row>
    <x:row r="617" ht="25" customHeight="1">
      <x:c r="A617" s="9" t="str">
        <x:v>QA-MAT-161</x:v>
      </x:c>
      <x:c r="B617" s="9" t="str">
        <x:v>MAT</x:v>
      </x:c>
      <x:c r="C617" s="9" t="str">
        <x:v>Servicio técnico / 01 / identidad 0 Doc.sin.rif</x:v>
      </x:c>
      <x:c r="D617" s="9" t="str">
        <x:v>P1</x:v>
      </x:c>
      <x:c r="E617" s="9" t="str">
        <x:v>Positiva</x:v>
      </x:c>
      <x:c r="F617" s="9" t="str">
        <x:v>Navegador + HTTP + persistencia</x:v>
      </x:c>
      <x:c r="G617" s="10" t="str">
        <x:v>Pendiente</x:v>
      </x:c>
      <x:c r="H617" s="10"/>
      <x:c r="I617" s="10"/>
      <x:c r="J617" s="10"/>
      <x:c r="K617" s="10"/>
      <x:c r="L617" s="11"/>
      <x:c r="M617" s="12"/>
      <x:c r="N617" s="10"/>
    </x:row>
    <x:row r="618" ht="25" customHeight="1">
      <x:c r="A618" s="9" t="str">
        <x:v>QA-MAT-162</x:v>
      </x:c>
      <x:c r="B618" s="9" t="str">
        <x:v>MAT</x:v>
      </x:c>
      <x:c r="C618" s="9" t="str">
        <x:v>Servicio técnico / 01 / identidad 1 Venezolano</x:v>
      </x:c>
      <x:c r="D618" s="9" t="str">
        <x:v>P1</x:v>
      </x:c>
      <x:c r="E618" s="9" t="str">
        <x:v>Positiva</x:v>
      </x:c>
      <x:c r="F618" s="9" t="str">
        <x:v>Navegador + HTTP + persistencia</x:v>
      </x:c>
      <x:c r="G618" s="10" t="str">
        <x:v>Pendiente</x:v>
      </x:c>
      <x:c r="H618" s="10"/>
      <x:c r="I618" s="10"/>
      <x:c r="J618" s="10"/>
      <x:c r="K618" s="10"/>
      <x:c r="L618" s="11"/>
      <x:c r="M618" s="12"/>
      <x:c r="N618" s="10"/>
    </x:row>
    <x:row r="619" ht="25" customHeight="1">
      <x:c r="A619" s="9" t="str">
        <x:v>QA-MAT-163</x:v>
      </x:c>
      <x:c r="B619" s="9" t="str">
        <x:v>MAT</x:v>
      </x:c>
      <x:c r="C619" s="9" t="str">
        <x:v>Servicio técnico / 01 / identidad 6 Juridico</x:v>
      </x:c>
      <x:c r="D619" s="9" t="str">
        <x:v>P1</x:v>
      </x:c>
      <x:c r="E619" s="9" t="str">
        <x:v>Positiva</x:v>
      </x:c>
      <x:c r="F619" s="9" t="str">
        <x:v>Navegador + HTTP + persistencia</x:v>
      </x:c>
      <x:c r="G619" s="10" t="str">
        <x:v>Pendiente</x:v>
      </x:c>
      <x:c r="H619" s="10"/>
      <x:c r="I619" s="10"/>
      <x:c r="J619" s="10"/>
      <x:c r="K619" s="10"/>
      <x:c r="L619" s="11"/>
      <x:c r="M619" s="12"/>
      <x:c r="N619" s="10"/>
    </x:row>
    <x:row r="620" ht="25" customHeight="1">
      <x:c r="A620" s="9" t="str">
        <x:v>QA-MAT-164</x:v>
      </x:c>
      <x:c r="B620" s="9" t="str">
        <x:v>MAT</x:v>
      </x:c>
      <x:c r="C620" s="9" t="str">
        <x:v>Servicio técnico / 01 / identidad 7 Pasaporte</x:v>
      </x:c>
      <x:c r="D620" s="9" t="str">
        <x:v>P1</x:v>
      </x:c>
      <x:c r="E620" s="9" t="str">
        <x:v>Positiva</x:v>
      </x:c>
      <x:c r="F620" s="9" t="str">
        <x:v>Navegador + HTTP + persistencia</x:v>
      </x:c>
      <x:c r="G620" s="10" t="str">
        <x:v>Pendiente</x:v>
      </x:c>
      <x:c r="H620" s="10"/>
      <x:c r="I620" s="10"/>
      <x:c r="J620" s="10"/>
      <x:c r="K620" s="10"/>
      <x:c r="L620" s="11"/>
      <x:c r="M620" s="12"/>
      <x:c r="N620" s="10"/>
    </x:row>
    <x:row r="621" ht="25" customHeight="1">
      <x:c r="A621" s="9" t="str">
        <x:v>QA-MAT-165</x:v>
      </x:c>
      <x:c r="B621" s="9" t="str">
        <x:v>MAT</x:v>
      </x:c>
      <x:c r="C621" s="9" t="str">
        <x:v>Servicio técnico / 01 / identidad E Extranjero</x:v>
      </x:c>
      <x:c r="D621" s="9" t="str">
        <x:v>P1</x:v>
      </x:c>
      <x:c r="E621" s="9" t="str">
        <x:v>Positiva</x:v>
      </x:c>
      <x:c r="F621" s="9" t="str">
        <x:v>Navegador + HTTP + persistencia</x:v>
      </x:c>
      <x:c r="G621" s="10" t="str">
        <x:v>Pendiente</x:v>
      </x:c>
      <x:c r="H621" s="10"/>
      <x:c r="I621" s="10"/>
      <x:c r="J621" s="10"/>
      <x:c r="K621" s="10"/>
      <x:c r="L621" s="11"/>
      <x:c r="M621" s="12"/>
      <x:c r="N621" s="10"/>
    </x:row>
    <x:row r="622" ht="25" customHeight="1">
      <x:c r="A622" s="9" t="str">
        <x:v>QA-MAT-166</x:v>
      </x:c>
      <x:c r="B622" s="9" t="str">
        <x:v>MAT</x:v>
      </x:c>
      <x:c r="C622" s="9" t="str">
        <x:v>Servicio técnico / 01 / identidad C Comuna</x:v>
      </x:c>
      <x:c r="D622" s="9" t="str">
        <x:v>P1</x:v>
      </x:c>
      <x:c r="E622" s="9" t="str">
        <x:v>Positiva</x:v>
      </x:c>
      <x:c r="F622" s="9" t="str">
        <x:v>Navegador + HTTP + persistencia</x:v>
      </x:c>
      <x:c r="G622" s="10" t="str">
        <x:v>Pendiente</x:v>
      </x:c>
      <x:c r="H622" s="10"/>
      <x:c r="I622" s="10"/>
      <x:c r="J622" s="10"/>
      <x:c r="K622" s="10"/>
      <x:c r="L622" s="11"/>
      <x:c r="M622" s="12"/>
      <x:c r="N622" s="10"/>
    </x:row>
    <x:row r="623" ht="25" customHeight="1">
      <x:c r="A623" s="9" t="str">
        <x:v>QA-MAT-167</x:v>
      </x:c>
      <x:c r="B623" s="9" t="str">
        <x:v>MAT</x:v>
      </x:c>
      <x:c r="C623" s="9" t="str">
        <x:v>Servicio técnico / 01 / identidad G Gubernamental</x:v>
      </x:c>
      <x:c r="D623" s="9" t="str">
        <x:v>P1</x:v>
      </x:c>
      <x:c r="E623" s="9" t="str">
        <x:v>Positiva</x:v>
      </x:c>
      <x:c r="F623" s="9" t="str">
        <x:v>Navegador + HTTP + persistencia</x:v>
      </x:c>
      <x:c r="G623" s="10" t="str">
        <x:v>Pendiente</x:v>
      </x:c>
      <x:c r="H623" s="10"/>
      <x:c r="I623" s="10"/>
      <x:c r="J623" s="10"/>
      <x:c r="K623" s="10"/>
      <x:c r="L623" s="11"/>
      <x:c r="M623" s="12"/>
      <x:c r="N623" s="10"/>
    </x:row>
    <x:row r="624" ht="25" customHeight="1">
      <x:c r="A624" s="9" t="str">
        <x:v>QA-MAT-168</x:v>
      </x:c>
      <x:c r="B624" s="9" t="str">
        <x:v>MAT</x:v>
      </x:c>
      <x:c r="C624" s="9" t="str">
        <x:v>Servicio técnico / 01 / identidad R Firma Personal</x:v>
      </x:c>
      <x:c r="D624" s="9" t="str">
        <x:v>P1</x:v>
      </x:c>
      <x:c r="E624" s="9" t="str">
        <x:v>Positiva</x:v>
      </x:c>
      <x:c r="F624" s="9" t="str">
        <x:v>Navegador + HTTP + persistencia</x:v>
      </x:c>
      <x:c r="G624" s="10" t="str">
        <x:v>Pendiente</x:v>
      </x:c>
      <x:c r="H624" s="10"/>
      <x:c r="I624" s="10"/>
      <x:c r="J624" s="10"/>
      <x:c r="K624" s="10"/>
      <x:c r="L624" s="11"/>
      <x:c r="M624" s="12"/>
      <x:c r="N624" s="10"/>
    </x:row>
    <x:row r="625" ht="25" customHeight="1">
      <x:c r="A625" s="9" t="str">
        <x:v>QA-MAT-169</x:v>
      </x:c>
      <x:c r="B625" s="9" t="str">
        <x:v>MAT</x:v>
      </x:c>
      <x:c r="C625" s="9" t="str">
        <x:v>Servicio técnico / nv / identidad 0 Doc.sin.rif</x:v>
      </x:c>
      <x:c r="D625" s="9" t="str">
        <x:v>P1</x:v>
      </x:c>
      <x:c r="E625" s="9" t="str">
        <x:v>Positiva</x:v>
      </x:c>
      <x:c r="F625" s="9" t="str">
        <x:v>Navegador + HTTP + persistencia</x:v>
      </x:c>
      <x:c r="G625" s="10" t="str">
        <x:v>Pendiente</x:v>
      </x:c>
      <x:c r="H625" s="10"/>
      <x:c r="I625" s="10"/>
      <x:c r="J625" s="10"/>
      <x:c r="K625" s="10"/>
      <x:c r="L625" s="11"/>
      <x:c r="M625" s="12"/>
      <x:c r="N625" s="10"/>
    </x:row>
    <x:row r="626" ht="25" customHeight="1">
      <x:c r="A626" s="9" t="str">
        <x:v>QA-MAT-170</x:v>
      </x:c>
      <x:c r="B626" s="9" t="str">
        <x:v>MAT</x:v>
      </x:c>
      <x:c r="C626" s="9" t="str">
        <x:v>Servicio técnico / nv / identidad 1 Venezolano</x:v>
      </x:c>
      <x:c r="D626" s="9" t="str">
        <x:v>P1</x:v>
      </x:c>
      <x:c r="E626" s="9" t="str">
        <x:v>Positiva</x:v>
      </x:c>
      <x:c r="F626" s="9" t="str">
        <x:v>Navegador + HTTP + persistencia</x:v>
      </x:c>
      <x:c r="G626" s="10" t="str">
        <x:v>Pendiente</x:v>
      </x:c>
      <x:c r="H626" s="10"/>
      <x:c r="I626" s="10"/>
      <x:c r="J626" s="10"/>
      <x:c r="K626" s="10"/>
      <x:c r="L626" s="11"/>
      <x:c r="M626" s="12"/>
      <x:c r="N626" s="10"/>
    </x:row>
    <x:row r="627" ht="25" customHeight="1">
      <x:c r="A627" s="9" t="str">
        <x:v>QA-MAT-171</x:v>
      </x:c>
      <x:c r="B627" s="9" t="str">
        <x:v>MAT</x:v>
      </x:c>
      <x:c r="C627" s="9" t="str">
        <x:v>Servicio técnico / nv / identidad 6 Juridico</x:v>
      </x:c>
      <x:c r="D627" s="9" t="str">
        <x:v>P1</x:v>
      </x:c>
      <x:c r="E627" s="9" t="str">
        <x:v>Positiva</x:v>
      </x:c>
      <x:c r="F627" s="9" t="str">
        <x:v>Navegador + HTTP + persistencia</x:v>
      </x:c>
      <x:c r="G627" s="10" t="str">
        <x:v>Pendiente</x:v>
      </x:c>
      <x:c r="H627" s="10"/>
      <x:c r="I627" s="10"/>
      <x:c r="J627" s="10"/>
      <x:c r="K627" s="10"/>
      <x:c r="L627" s="11"/>
      <x:c r="M627" s="12"/>
      <x:c r="N627" s="10"/>
    </x:row>
    <x:row r="628" ht="25" customHeight="1">
      <x:c r="A628" s="9" t="str">
        <x:v>QA-MAT-172</x:v>
      </x:c>
      <x:c r="B628" s="9" t="str">
        <x:v>MAT</x:v>
      </x:c>
      <x:c r="C628" s="9" t="str">
        <x:v>Servicio técnico / nv / identidad 7 Pasaporte</x:v>
      </x:c>
      <x:c r="D628" s="9" t="str">
        <x:v>P1</x:v>
      </x:c>
      <x:c r="E628" s="9" t="str">
        <x:v>Positiva</x:v>
      </x:c>
      <x:c r="F628" s="9" t="str">
        <x:v>Navegador + HTTP + persistencia</x:v>
      </x:c>
      <x:c r="G628" s="10" t="str">
        <x:v>Pendiente</x:v>
      </x:c>
      <x:c r="H628" s="10"/>
      <x:c r="I628" s="10"/>
      <x:c r="J628" s="10"/>
      <x:c r="K628" s="10"/>
      <x:c r="L628" s="11"/>
      <x:c r="M628" s="12"/>
      <x:c r="N628" s="10"/>
    </x:row>
    <x:row r="629" ht="25" customHeight="1">
      <x:c r="A629" s="9" t="str">
        <x:v>QA-MAT-173</x:v>
      </x:c>
      <x:c r="B629" s="9" t="str">
        <x:v>MAT</x:v>
      </x:c>
      <x:c r="C629" s="9" t="str">
        <x:v>Servicio técnico / nv / identidad E Extranjero</x:v>
      </x:c>
      <x:c r="D629" s="9" t="str">
        <x:v>P1</x:v>
      </x:c>
      <x:c r="E629" s="9" t="str">
        <x:v>Positiva</x:v>
      </x:c>
      <x:c r="F629" s="9" t="str">
        <x:v>Navegador + HTTP + persistencia</x:v>
      </x:c>
      <x:c r="G629" s="10" t="str">
        <x:v>Pendiente</x:v>
      </x:c>
      <x:c r="H629" s="10"/>
      <x:c r="I629" s="10"/>
      <x:c r="J629" s="10"/>
      <x:c r="K629" s="10"/>
      <x:c r="L629" s="11"/>
      <x:c r="M629" s="12"/>
      <x:c r="N629" s="10"/>
    </x:row>
    <x:row r="630" ht="25" customHeight="1">
      <x:c r="A630" s="9" t="str">
        <x:v>QA-MAT-174</x:v>
      </x:c>
      <x:c r="B630" s="9" t="str">
        <x:v>MAT</x:v>
      </x:c>
      <x:c r="C630" s="9" t="str">
        <x:v>Servicio técnico / nv / identidad C Comuna</x:v>
      </x:c>
      <x:c r="D630" s="9" t="str">
        <x:v>P1</x:v>
      </x:c>
      <x:c r="E630" s="9" t="str">
        <x:v>Positiva</x:v>
      </x:c>
      <x:c r="F630" s="9" t="str">
        <x:v>Navegador + HTTP + persistencia</x:v>
      </x:c>
      <x:c r="G630" s="10" t="str">
        <x:v>Pendiente</x:v>
      </x:c>
      <x:c r="H630" s="10"/>
      <x:c r="I630" s="10"/>
      <x:c r="J630" s="10"/>
      <x:c r="K630" s="10"/>
      <x:c r="L630" s="11"/>
      <x:c r="M630" s="12"/>
      <x:c r="N630" s="10"/>
    </x:row>
    <x:row r="631" ht="25" customHeight="1">
      <x:c r="A631" s="9" t="str">
        <x:v>QA-MAT-175</x:v>
      </x:c>
      <x:c r="B631" s="9" t="str">
        <x:v>MAT</x:v>
      </x:c>
      <x:c r="C631" s="9" t="str">
        <x:v>Servicio técnico / nv / identidad G Gubernamental</x:v>
      </x:c>
      <x:c r="D631" s="9" t="str">
        <x:v>P1</x:v>
      </x:c>
      <x:c r="E631" s="9" t="str">
        <x:v>Positiva</x:v>
      </x:c>
      <x:c r="F631" s="9" t="str">
        <x:v>Navegador + HTTP + persistencia</x:v>
      </x:c>
      <x:c r="G631" s="10" t="str">
        <x:v>Pendiente</x:v>
      </x:c>
      <x:c r="H631" s="10"/>
      <x:c r="I631" s="10"/>
      <x:c r="J631" s="10"/>
      <x:c r="K631" s="10"/>
      <x:c r="L631" s="11"/>
      <x:c r="M631" s="12"/>
      <x:c r="N631" s="10"/>
    </x:row>
    <x:row r="632" ht="25" customHeight="1">
      <x:c r="A632" s="9" t="str">
        <x:v>QA-MAT-176</x:v>
      </x:c>
      <x:c r="B632" s="9" t="str">
        <x:v>MAT</x:v>
      </x:c>
      <x:c r="C632" s="9" t="str">
        <x:v>Servicio técnico / nv / identidad R Firma Personal</x:v>
      </x:c>
      <x:c r="D632" s="9" t="str">
        <x:v>P1</x:v>
      </x:c>
      <x:c r="E632" s="9" t="str">
        <x:v>Positiva</x:v>
      </x:c>
      <x:c r="F632" s="9" t="str">
        <x:v>Navegador + HTTP + persistencia</x:v>
      </x:c>
      <x:c r="G632" s="10" t="str">
        <x:v>Pendiente</x:v>
      </x:c>
      <x:c r="H632" s="10"/>
      <x:c r="I632" s="10"/>
      <x:c r="J632" s="10"/>
      <x:c r="K632" s="10"/>
      <x:c r="L632" s="11"/>
      <x:c r="M632" s="12"/>
      <x:c r="N632" s="10"/>
    </x:row>
    <x:row r="633" ht="25" customHeight="1">
      <x:c r="A633" s="9" t="str">
        <x:v>QA-MAT-177</x:v>
      </x:c>
      <x:c r="B633" s="9" t="str">
        <x:v>MAT</x:v>
      </x:c>
      <x:c r="C633" s="9" t="str">
        <x:v>WhatsApp Bot / 01 / identidad 0 Doc.sin.rif</x:v>
      </x:c>
      <x:c r="D633" s="9" t="str">
        <x:v>P1</x:v>
      </x:c>
      <x:c r="E633" s="9" t="str">
        <x:v>Positiva</x:v>
      </x:c>
      <x:c r="F633" s="9" t="str">
        <x:v>Navegador + HTTP + persistencia</x:v>
      </x:c>
      <x:c r="G633" s="10" t="str">
        <x:v>Pendiente</x:v>
      </x:c>
      <x:c r="H633" s="10"/>
      <x:c r="I633" s="10"/>
      <x:c r="J633" s="10"/>
      <x:c r="K633" s="10"/>
      <x:c r="L633" s="11"/>
      <x:c r="M633" s="12"/>
      <x:c r="N633" s="10"/>
    </x:row>
    <x:row r="634" ht="25" customHeight="1">
      <x:c r="A634" s="9" t="str">
        <x:v>QA-MAT-178</x:v>
      </x:c>
      <x:c r="B634" s="9" t="str">
        <x:v>MAT</x:v>
      </x:c>
      <x:c r="C634" s="9" t="str">
        <x:v>WhatsApp Bot / 01 / identidad 1 Venezolano</x:v>
      </x:c>
      <x:c r="D634" s="9" t="str">
        <x:v>P1</x:v>
      </x:c>
      <x:c r="E634" s="9" t="str">
        <x:v>Positiva</x:v>
      </x:c>
      <x:c r="F634" s="9" t="str">
        <x:v>Navegador + HTTP + persistencia</x:v>
      </x:c>
      <x:c r="G634" s="10" t="str">
        <x:v>Pendiente</x:v>
      </x:c>
      <x:c r="H634" s="10"/>
      <x:c r="I634" s="10"/>
      <x:c r="J634" s="10"/>
      <x:c r="K634" s="10"/>
      <x:c r="L634" s="11"/>
      <x:c r="M634" s="12"/>
      <x:c r="N634" s="10"/>
    </x:row>
    <x:row r="635" ht="25" customHeight="1">
      <x:c r="A635" s="9" t="str">
        <x:v>QA-MAT-179</x:v>
      </x:c>
      <x:c r="B635" s="9" t="str">
        <x:v>MAT</x:v>
      </x:c>
      <x:c r="C635" s="9" t="str">
        <x:v>WhatsApp Bot / 01 / identidad 6 Juridico</x:v>
      </x:c>
      <x:c r="D635" s="9" t="str">
        <x:v>P1</x:v>
      </x:c>
      <x:c r="E635" s="9" t="str">
        <x:v>Positiva</x:v>
      </x:c>
      <x:c r="F635" s="9" t="str">
        <x:v>Navegador + HTTP + persistencia</x:v>
      </x:c>
      <x:c r="G635" s="10" t="str">
        <x:v>Pendiente</x:v>
      </x:c>
      <x:c r="H635" s="10"/>
      <x:c r="I635" s="10"/>
      <x:c r="J635" s="10"/>
      <x:c r="K635" s="10"/>
      <x:c r="L635" s="11"/>
      <x:c r="M635" s="12"/>
      <x:c r="N635" s="10"/>
    </x:row>
    <x:row r="636" ht="25" customHeight="1">
      <x:c r="A636" s="9" t="str">
        <x:v>QA-MAT-180</x:v>
      </x:c>
      <x:c r="B636" s="9" t="str">
        <x:v>MAT</x:v>
      </x:c>
      <x:c r="C636" s="9" t="str">
        <x:v>WhatsApp Bot / 01 / identidad 7 Pasaporte</x:v>
      </x:c>
      <x:c r="D636" s="9" t="str">
        <x:v>P1</x:v>
      </x:c>
      <x:c r="E636" s="9" t="str">
        <x:v>Positiva</x:v>
      </x:c>
      <x:c r="F636" s="9" t="str">
        <x:v>Navegador + HTTP + persistencia</x:v>
      </x:c>
      <x:c r="G636" s="10" t="str">
        <x:v>Pendiente</x:v>
      </x:c>
      <x:c r="H636" s="10"/>
      <x:c r="I636" s="10"/>
      <x:c r="J636" s="10"/>
      <x:c r="K636" s="10"/>
      <x:c r="L636" s="11"/>
      <x:c r="M636" s="12"/>
      <x:c r="N636" s="10"/>
    </x:row>
    <x:row r="637" ht="25" customHeight="1">
      <x:c r="A637" s="9" t="str">
        <x:v>QA-MAT-181</x:v>
      </x:c>
      <x:c r="B637" s="9" t="str">
        <x:v>MAT</x:v>
      </x:c>
      <x:c r="C637" s="9" t="str">
        <x:v>WhatsApp Bot / 01 / identidad E Extranjero</x:v>
      </x:c>
      <x:c r="D637" s="9" t="str">
        <x:v>P1</x:v>
      </x:c>
      <x:c r="E637" s="9" t="str">
        <x:v>Positiva</x:v>
      </x:c>
      <x:c r="F637" s="9" t="str">
        <x:v>Navegador + HTTP + persistencia</x:v>
      </x:c>
      <x:c r="G637" s="10" t="str">
        <x:v>Pendiente</x:v>
      </x:c>
      <x:c r="H637" s="10"/>
      <x:c r="I637" s="10"/>
      <x:c r="J637" s="10"/>
      <x:c r="K637" s="10"/>
      <x:c r="L637" s="11"/>
      <x:c r="M637" s="12"/>
      <x:c r="N637" s="10"/>
    </x:row>
    <x:row r="638" ht="25" customHeight="1">
      <x:c r="A638" s="9" t="str">
        <x:v>QA-MAT-182</x:v>
      </x:c>
      <x:c r="B638" s="9" t="str">
        <x:v>MAT</x:v>
      </x:c>
      <x:c r="C638" s="9" t="str">
        <x:v>WhatsApp Bot / 01 / identidad C Comuna</x:v>
      </x:c>
      <x:c r="D638" s="9" t="str">
        <x:v>P1</x:v>
      </x:c>
      <x:c r="E638" s="9" t="str">
        <x:v>Positiva</x:v>
      </x:c>
      <x:c r="F638" s="9" t="str">
        <x:v>Navegador + HTTP + persistencia</x:v>
      </x:c>
      <x:c r="G638" s="10" t="str">
        <x:v>Pendiente</x:v>
      </x:c>
      <x:c r="H638" s="10"/>
      <x:c r="I638" s="10"/>
      <x:c r="J638" s="10"/>
      <x:c r="K638" s="10"/>
      <x:c r="L638" s="11"/>
      <x:c r="M638" s="12"/>
      <x:c r="N638" s="10"/>
    </x:row>
    <x:row r="639" ht="25" customHeight="1">
      <x:c r="A639" s="9" t="str">
        <x:v>QA-MAT-183</x:v>
      </x:c>
      <x:c r="B639" s="9" t="str">
        <x:v>MAT</x:v>
      </x:c>
      <x:c r="C639" s="9" t="str">
        <x:v>WhatsApp Bot / 01 / identidad G Gubernamental</x:v>
      </x:c>
      <x:c r="D639" s="9" t="str">
        <x:v>P1</x:v>
      </x:c>
      <x:c r="E639" s="9" t="str">
        <x:v>Positiva</x:v>
      </x:c>
      <x:c r="F639" s="9" t="str">
        <x:v>Navegador + HTTP + persistencia</x:v>
      </x:c>
      <x:c r="G639" s="10" t="str">
        <x:v>Pendiente</x:v>
      </x:c>
      <x:c r="H639" s="10"/>
      <x:c r="I639" s="10"/>
      <x:c r="J639" s="10"/>
      <x:c r="K639" s="10"/>
      <x:c r="L639" s="11"/>
      <x:c r="M639" s="12"/>
      <x:c r="N639" s="10"/>
    </x:row>
    <x:row r="640" ht="25" customHeight="1">
      <x:c r="A640" s="9" t="str">
        <x:v>QA-MAT-184</x:v>
      </x:c>
      <x:c r="B640" s="9" t="str">
        <x:v>MAT</x:v>
      </x:c>
      <x:c r="C640" s="9" t="str">
        <x:v>WhatsApp Bot / 01 / identidad R Firma Personal</x:v>
      </x:c>
      <x:c r="D640" s="9" t="str">
        <x:v>P1</x:v>
      </x:c>
      <x:c r="E640" s="9" t="str">
        <x:v>Positiva</x:v>
      </x:c>
      <x:c r="F640" s="9" t="str">
        <x:v>Navegador + HTTP + persistencia</x:v>
      </x:c>
      <x:c r="G640" s="10" t="str">
        <x:v>Pendiente</x:v>
      </x:c>
      <x:c r="H640" s="10"/>
      <x:c r="I640" s="10"/>
      <x:c r="J640" s="10"/>
      <x:c r="K640" s="10"/>
      <x:c r="L640" s="11"/>
      <x:c r="M640" s="12"/>
      <x:c r="N640" s="10"/>
    </x:row>
    <x:row r="641" ht="25" customHeight="1">
      <x:c r="A641" s="9" t="str">
        <x:v>QA-MAT-185</x:v>
      </x:c>
      <x:c r="B641" s="9" t="str">
        <x:v>MAT</x:v>
      </x:c>
      <x:c r="C641" s="9" t="str">
        <x:v>WhatsApp Bot / 80 / identidad 0 Doc.sin.rif</x:v>
      </x:c>
      <x:c r="D641" s="9" t="str">
        <x:v>P1</x:v>
      </x:c>
      <x:c r="E641" s="9" t="str">
        <x:v>Positiva</x:v>
      </x:c>
      <x:c r="F641" s="9" t="str">
        <x:v>Navegador + HTTP + persistencia</x:v>
      </x:c>
      <x:c r="G641" s="10" t="str">
        <x:v>Pendiente</x:v>
      </x:c>
      <x:c r="H641" s="10"/>
      <x:c r="I641" s="10"/>
      <x:c r="J641" s="10"/>
      <x:c r="K641" s="10"/>
      <x:c r="L641" s="11"/>
      <x:c r="M641" s="12"/>
      <x:c r="N641" s="10"/>
    </x:row>
    <x:row r="642" ht="25" customHeight="1">
      <x:c r="A642" s="9" t="str">
        <x:v>QA-MAT-186</x:v>
      </x:c>
      <x:c r="B642" s="9" t="str">
        <x:v>MAT</x:v>
      </x:c>
      <x:c r="C642" s="9" t="str">
        <x:v>WhatsApp Bot / 80 / identidad 1 Venezolano</x:v>
      </x:c>
      <x:c r="D642" s="9" t="str">
        <x:v>P1</x:v>
      </x:c>
      <x:c r="E642" s="9" t="str">
        <x:v>Positiva</x:v>
      </x:c>
      <x:c r="F642" s="9" t="str">
        <x:v>Navegador + HTTP + persistencia</x:v>
      </x:c>
      <x:c r="G642" s="10" t="str">
        <x:v>Pendiente</x:v>
      </x:c>
      <x:c r="H642" s="10"/>
      <x:c r="I642" s="10"/>
      <x:c r="J642" s="10"/>
      <x:c r="K642" s="10"/>
      <x:c r="L642" s="11"/>
      <x:c r="M642" s="12"/>
      <x:c r="N642" s="10"/>
    </x:row>
    <x:row r="643" ht="25" customHeight="1">
      <x:c r="A643" s="9" t="str">
        <x:v>QA-MAT-187</x:v>
      </x:c>
      <x:c r="B643" s="9" t="str">
        <x:v>MAT</x:v>
      </x:c>
      <x:c r="C643" s="9" t="str">
        <x:v>WhatsApp Bot / 80 / identidad 6 Juridico</x:v>
      </x:c>
      <x:c r="D643" s="9" t="str">
        <x:v>P1</x:v>
      </x:c>
      <x:c r="E643" s="9" t="str">
        <x:v>Positiva</x:v>
      </x:c>
      <x:c r="F643" s="9" t="str">
        <x:v>Navegador + HTTP + persistencia</x:v>
      </x:c>
      <x:c r="G643" s="10" t="str">
        <x:v>Pendiente</x:v>
      </x:c>
      <x:c r="H643" s="10"/>
      <x:c r="I643" s="10"/>
      <x:c r="J643" s="10"/>
      <x:c r="K643" s="10"/>
      <x:c r="L643" s="11"/>
      <x:c r="M643" s="12"/>
      <x:c r="N643" s="10"/>
    </x:row>
    <x:row r="644" ht="25" customHeight="1">
      <x:c r="A644" s="9" t="str">
        <x:v>QA-MAT-188</x:v>
      </x:c>
      <x:c r="B644" s="9" t="str">
        <x:v>MAT</x:v>
      </x:c>
      <x:c r="C644" s="9" t="str">
        <x:v>WhatsApp Bot / 80 / identidad 7 Pasaporte</x:v>
      </x:c>
      <x:c r="D644" s="9" t="str">
        <x:v>P1</x:v>
      </x:c>
      <x:c r="E644" s="9" t="str">
        <x:v>Positiva</x:v>
      </x:c>
      <x:c r="F644" s="9" t="str">
        <x:v>Navegador + HTTP + persistencia</x:v>
      </x:c>
      <x:c r="G644" s="10" t="str">
        <x:v>Pendiente</x:v>
      </x:c>
      <x:c r="H644" s="10"/>
      <x:c r="I644" s="10"/>
      <x:c r="J644" s="10"/>
      <x:c r="K644" s="10"/>
      <x:c r="L644" s="11"/>
      <x:c r="M644" s="12"/>
      <x:c r="N644" s="10"/>
    </x:row>
    <x:row r="645" ht="25" customHeight="1">
      <x:c r="A645" s="9" t="str">
        <x:v>QA-MAT-189</x:v>
      </x:c>
      <x:c r="B645" s="9" t="str">
        <x:v>MAT</x:v>
      </x:c>
      <x:c r="C645" s="9" t="str">
        <x:v>WhatsApp Bot / 80 / identidad E Extranjero</x:v>
      </x:c>
      <x:c r="D645" s="9" t="str">
        <x:v>P1</x:v>
      </x:c>
      <x:c r="E645" s="9" t="str">
        <x:v>Positiva</x:v>
      </x:c>
      <x:c r="F645" s="9" t="str">
        <x:v>Navegador + HTTP + persistencia</x:v>
      </x:c>
      <x:c r="G645" s="10" t="str">
        <x:v>Pendiente</x:v>
      </x:c>
      <x:c r="H645" s="10"/>
      <x:c r="I645" s="10"/>
      <x:c r="J645" s="10"/>
      <x:c r="K645" s="10"/>
      <x:c r="L645" s="11"/>
      <x:c r="M645" s="12"/>
      <x:c r="N645" s="10"/>
    </x:row>
    <x:row r="646" ht="25" customHeight="1">
      <x:c r="A646" s="9" t="str">
        <x:v>QA-MAT-190</x:v>
      </x:c>
      <x:c r="B646" s="9" t="str">
        <x:v>MAT</x:v>
      </x:c>
      <x:c r="C646" s="9" t="str">
        <x:v>WhatsApp Bot / 80 / identidad C Comuna</x:v>
      </x:c>
      <x:c r="D646" s="9" t="str">
        <x:v>P1</x:v>
      </x:c>
      <x:c r="E646" s="9" t="str">
        <x:v>Positiva</x:v>
      </x:c>
      <x:c r="F646" s="9" t="str">
        <x:v>Navegador + HTTP + persistencia</x:v>
      </x:c>
      <x:c r="G646" s="10" t="str">
        <x:v>Pendiente</x:v>
      </x:c>
      <x:c r="H646" s="10"/>
      <x:c r="I646" s="10"/>
      <x:c r="J646" s="10"/>
      <x:c r="K646" s="10"/>
      <x:c r="L646" s="11"/>
      <x:c r="M646" s="12"/>
      <x:c r="N646" s="10"/>
    </x:row>
    <x:row r="647" ht="25" customHeight="1">
      <x:c r="A647" s="9" t="str">
        <x:v>QA-MAT-191</x:v>
      </x:c>
      <x:c r="B647" s="9" t="str">
        <x:v>MAT</x:v>
      </x:c>
      <x:c r="C647" s="9" t="str">
        <x:v>WhatsApp Bot / 80 / identidad G Gubernamental</x:v>
      </x:c>
      <x:c r="D647" s="9" t="str">
        <x:v>P1</x:v>
      </x:c>
      <x:c r="E647" s="9" t="str">
        <x:v>Positiva</x:v>
      </x:c>
      <x:c r="F647" s="9" t="str">
        <x:v>Navegador + HTTP + persistencia</x:v>
      </x:c>
      <x:c r="G647" s="10" t="str">
        <x:v>Pendiente</x:v>
      </x:c>
      <x:c r="H647" s="10"/>
      <x:c r="I647" s="10"/>
      <x:c r="J647" s="10"/>
      <x:c r="K647" s="10"/>
      <x:c r="L647" s="11"/>
      <x:c r="M647" s="12"/>
      <x:c r="N647" s="10"/>
    </x:row>
    <x:row r="648" ht="25" customHeight="1">
      <x:c r="A648" s="9" t="str">
        <x:v>QA-MAT-192</x:v>
      </x:c>
      <x:c r="B648" s="9" t="str">
        <x:v>MAT</x:v>
      </x:c>
      <x:c r="C648" s="9" t="str">
        <x:v>WhatsApp Bot / 80 / identidad R Firma Personal</x:v>
      </x:c>
      <x:c r="D648" s="9" t="str">
        <x:v>P1</x:v>
      </x:c>
      <x:c r="E648" s="9" t="str">
        <x:v>Positiva</x:v>
      </x:c>
      <x:c r="F648" s="9" t="str">
        <x:v>Navegador + HTTP + persistencia</x:v>
      </x:c>
      <x:c r="G648" s="10" t="str">
        <x:v>Pendiente</x:v>
      </x:c>
      <x:c r="H648" s="10"/>
      <x:c r="I648" s="10"/>
      <x:c r="J648" s="10"/>
      <x:c r="K648" s="10"/>
      <x:c r="L648" s="11"/>
      <x:c r="M648" s="12"/>
      <x:c r="N648" s="10"/>
    </x:row>
    <x:row r="649" ht="25" customHeight="1">
      <x:c r="A649" s="9" t="str">
        <x:v>QA-MAT-193</x:v>
      </x:c>
      <x:c r="B649" s="9" t="str">
        <x:v>MAT</x:v>
      </x:c>
      <x:c r="C649" s="9" t="str">
        <x:v>Notas web / 07 / identidad 0 Doc.sin.rif</x:v>
      </x:c>
      <x:c r="D649" s="9" t="str">
        <x:v>P1</x:v>
      </x:c>
      <x:c r="E649" s="9" t="str">
        <x:v>Positiva</x:v>
      </x:c>
      <x:c r="F649" s="9" t="str">
        <x:v>Navegador + HTTP + persistencia</x:v>
      </x:c>
      <x:c r="G649" s="10" t="str">
        <x:v>Pendiente</x:v>
      </x:c>
      <x:c r="H649" s="10"/>
      <x:c r="I649" s="10"/>
      <x:c r="J649" s="10"/>
      <x:c r="K649" s="10"/>
      <x:c r="L649" s="11"/>
      <x:c r="M649" s="12"/>
      <x:c r="N649" s="10"/>
    </x:row>
    <x:row r="650" ht="25" customHeight="1">
      <x:c r="A650" s="9" t="str">
        <x:v>QA-MAT-194</x:v>
      </x:c>
      <x:c r="B650" s="9" t="str">
        <x:v>MAT</x:v>
      </x:c>
      <x:c r="C650" s="9" t="str">
        <x:v>Notas web / 07 / identidad 1 Venezolano</x:v>
      </x:c>
      <x:c r="D650" s="9" t="str">
        <x:v>P1</x:v>
      </x:c>
      <x:c r="E650" s="9" t="str">
        <x:v>Positiva</x:v>
      </x:c>
      <x:c r="F650" s="9" t="str">
        <x:v>Navegador + HTTP + persistencia</x:v>
      </x:c>
      <x:c r="G650" s="10" t="str">
        <x:v>Pendiente</x:v>
      </x:c>
      <x:c r="H650" s="10"/>
      <x:c r="I650" s="10"/>
      <x:c r="J650" s="10"/>
      <x:c r="K650" s="10"/>
      <x:c r="L650" s="11"/>
      <x:c r="M650" s="12"/>
      <x:c r="N650" s="10"/>
    </x:row>
    <x:row r="651" ht="25" customHeight="1">
      <x:c r="A651" s="9" t="str">
        <x:v>QA-MAT-195</x:v>
      </x:c>
      <x:c r="B651" s="9" t="str">
        <x:v>MAT</x:v>
      </x:c>
      <x:c r="C651" s="9" t="str">
        <x:v>Notas web / 07 / identidad 6 Juridico</x:v>
      </x:c>
      <x:c r="D651" s="9" t="str">
        <x:v>P1</x:v>
      </x:c>
      <x:c r="E651" s="9" t="str">
        <x:v>Positiva</x:v>
      </x:c>
      <x:c r="F651" s="9" t="str">
        <x:v>Navegador + HTTP + persistencia</x:v>
      </x:c>
      <x:c r="G651" s="10" t="str">
        <x:v>Pendiente</x:v>
      </x:c>
      <x:c r="H651" s="10"/>
      <x:c r="I651" s="10"/>
      <x:c r="J651" s="10"/>
      <x:c r="K651" s="10"/>
      <x:c r="L651" s="11"/>
      <x:c r="M651" s="12"/>
      <x:c r="N651" s="10"/>
    </x:row>
    <x:row r="652" ht="25" customHeight="1">
      <x:c r="A652" s="9" t="str">
        <x:v>QA-MAT-196</x:v>
      </x:c>
      <x:c r="B652" s="9" t="str">
        <x:v>MAT</x:v>
      </x:c>
      <x:c r="C652" s="9" t="str">
        <x:v>Notas web / 07 / identidad 7 Pasaporte</x:v>
      </x:c>
      <x:c r="D652" s="9" t="str">
        <x:v>P1</x:v>
      </x:c>
      <x:c r="E652" s="9" t="str">
        <x:v>Positiva</x:v>
      </x:c>
      <x:c r="F652" s="9" t="str">
        <x:v>Navegador + HTTP + persistencia</x:v>
      </x:c>
      <x:c r="G652" s="10" t="str">
        <x:v>Pendiente</x:v>
      </x:c>
      <x:c r="H652" s="10"/>
      <x:c r="I652" s="10"/>
      <x:c r="J652" s="10"/>
      <x:c r="K652" s="10"/>
      <x:c r="L652" s="11"/>
      <x:c r="M652" s="12"/>
      <x:c r="N652" s="10"/>
    </x:row>
    <x:row r="653" ht="25" customHeight="1">
      <x:c r="A653" s="9" t="str">
        <x:v>QA-MAT-197</x:v>
      </x:c>
      <x:c r="B653" s="9" t="str">
        <x:v>MAT</x:v>
      </x:c>
      <x:c r="C653" s="9" t="str">
        <x:v>Notas web / 07 / identidad E Extranjero</x:v>
      </x:c>
      <x:c r="D653" s="9" t="str">
        <x:v>P1</x:v>
      </x:c>
      <x:c r="E653" s="9" t="str">
        <x:v>Positiva</x:v>
      </x:c>
      <x:c r="F653" s="9" t="str">
        <x:v>Navegador + HTTP + persistencia</x:v>
      </x:c>
      <x:c r="G653" s="10" t="str">
        <x:v>Pendiente</x:v>
      </x:c>
      <x:c r="H653" s="10"/>
      <x:c r="I653" s="10"/>
      <x:c r="J653" s="10"/>
      <x:c r="K653" s="10"/>
      <x:c r="L653" s="11"/>
      <x:c r="M653" s="12"/>
      <x:c r="N653" s="10"/>
    </x:row>
    <x:row r="654" ht="25" customHeight="1">
      <x:c r="A654" s="9" t="str">
        <x:v>QA-MAT-198</x:v>
      </x:c>
      <x:c r="B654" s="9" t="str">
        <x:v>MAT</x:v>
      </x:c>
      <x:c r="C654" s="9" t="str">
        <x:v>Notas web / 07 / identidad C Comuna</x:v>
      </x:c>
      <x:c r="D654" s="9" t="str">
        <x:v>P1</x:v>
      </x:c>
      <x:c r="E654" s="9" t="str">
        <x:v>Positiva</x:v>
      </x:c>
      <x:c r="F654" s="9" t="str">
        <x:v>Navegador + HTTP + persistencia</x:v>
      </x:c>
      <x:c r="G654" s="10" t="str">
        <x:v>Pendiente</x:v>
      </x:c>
      <x:c r="H654" s="10"/>
      <x:c r="I654" s="10"/>
      <x:c r="J654" s="10"/>
      <x:c r="K654" s="10"/>
      <x:c r="L654" s="11"/>
      <x:c r="M654" s="12"/>
      <x:c r="N654" s="10"/>
    </x:row>
    <x:row r="655" ht="25" customHeight="1">
      <x:c r="A655" s="9" t="str">
        <x:v>QA-MAT-199</x:v>
      </x:c>
      <x:c r="B655" s="9" t="str">
        <x:v>MAT</x:v>
      </x:c>
      <x:c r="C655" s="9" t="str">
        <x:v>Notas web / 07 / identidad G Gubernamental</x:v>
      </x:c>
      <x:c r="D655" s="9" t="str">
        <x:v>P1</x:v>
      </x:c>
      <x:c r="E655" s="9" t="str">
        <x:v>Positiva</x:v>
      </x:c>
      <x:c r="F655" s="9" t="str">
        <x:v>Navegador + HTTP + persistencia</x:v>
      </x:c>
      <x:c r="G655" s="10" t="str">
        <x:v>Pendiente</x:v>
      </x:c>
      <x:c r="H655" s="10"/>
      <x:c r="I655" s="10"/>
      <x:c r="J655" s="10"/>
      <x:c r="K655" s="10"/>
      <x:c r="L655" s="11"/>
      <x:c r="M655" s="12"/>
      <x:c r="N655" s="10"/>
    </x:row>
    <x:row r="656" ht="25" customHeight="1">
      <x:c r="A656" s="9" t="str">
        <x:v>QA-MAT-200</x:v>
      </x:c>
      <x:c r="B656" s="9" t="str">
        <x:v>MAT</x:v>
      </x:c>
      <x:c r="C656" s="9" t="str">
        <x:v>Notas web / 07 / identidad R Firma Personal</x:v>
      </x:c>
      <x:c r="D656" s="9" t="str">
        <x:v>P1</x:v>
      </x:c>
      <x:c r="E656" s="9" t="str">
        <x:v>Positiva</x:v>
      </x:c>
      <x:c r="F656" s="9" t="str">
        <x:v>Navegador + HTTP + persistencia</x:v>
      </x:c>
      <x:c r="G656" s="10" t="str">
        <x:v>Pendiente</x:v>
      </x:c>
      <x:c r="H656" s="10"/>
      <x:c r="I656" s="10"/>
      <x:c r="J656" s="10"/>
      <x:c r="K656" s="10"/>
      <x:c r="L656" s="11"/>
      <x:c r="M656" s="12"/>
      <x:c r="N656" s="10"/>
    </x:row>
    <x:row r="657" ht="25" customHeight="1">
      <x:c r="A657" s="9" t="str">
        <x:v>QA-MAT-201</x:v>
      </x:c>
      <x:c r="B657" s="9" t="str">
        <x:v>MAT</x:v>
      </x:c>
      <x:c r="C657" s="9" t="str">
        <x:v>Notas web / 08 / identidad 0 Doc.sin.rif</x:v>
      </x:c>
      <x:c r="D657" s="9" t="str">
        <x:v>P1</x:v>
      </x:c>
      <x:c r="E657" s="9" t="str">
        <x:v>Positiva</x:v>
      </x:c>
      <x:c r="F657" s="9" t="str">
        <x:v>Navegador + HTTP + persistencia</x:v>
      </x:c>
      <x:c r="G657" s="10" t="str">
        <x:v>Pendiente</x:v>
      </x:c>
      <x:c r="H657" s="10"/>
      <x:c r="I657" s="10"/>
      <x:c r="J657" s="10"/>
      <x:c r="K657" s="10"/>
      <x:c r="L657" s="11"/>
      <x:c r="M657" s="12"/>
      <x:c r="N657" s="10"/>
    </x:row>
    <x:row r="658" ht="25" customHeight="1">
      <x:c r="A658" s="9" t="str">
        <x:v>QA-MAT-202</x:v>
      </x:c>
      <x:c r="B658" s="9" t="str">
        <x:v>MAT</x:v>
      </x:c>
      <x:c r="C658" s="9" t="str">
        <x:v>Notas web / 08 / identidad 1 Venezolano</x:v>
      </x:c>
      <x:c r="D658" s="9" t="str">
        <x:v>P1</x:v>
      </x:c>
      <x:c r="E658" s="9" t="str">
        <x:v>Positiva</x:v>
      </x:c>
      <x:c r="F658" s="9" t="str">
        <x:v>Navegador + HTTP + persistencia</x:v>
      </x:c>
      <x:c r="G658" s="10" t="str">
        <x:v>Pendiente</x:v>
      </x:c>
      <x:c r="H658" s="10"/>
      <x:c r="I658" s="10"/>
      <x:c r="J658" s="10"/>
      <x:c r="K658" s="10"/>
      <x:c r="L658" s="11"/>
      <x:c r="M658" s="12"/>
      <x:c r="N658" s="10"/>
    </x:row>
    <x:row r="659" ht="25" customHeight="1">
      <x:c r="A659" s="9" t="str">
        <x:v>QA-MAT-203</x:v>
      </x:c>
      <x:c r="B659" s="9" t="str">
        <x:v>MAT</x:v>
      </x:c>
      <x:c r="C659" s="9" t="str">
        <x:v>Notas web / 08 / identidad 6 Juridico</x:v>
      </x:c>
      <x:c r="D659" s="9" t="str">
        <x:v>P1</x:v>
      </x:c>
      <x:c r="E659" s="9" t="str">
        <x:v>Positiva</x:v>
      </x:c>
      <x:c r="F659" s="9" t="str">
        <x:v>Navegador + HTTP + persistencia</x:v>
      </x:c>
      <x:c r="G659" s="10" t="str">
        <x:v>Pendiente</x:v>
      </x:c>
      <x:c r="H659" s="10"/>
      <x:c r="I659" s="10"/>
      <x:c r="J659" s="10"/>
      <x:c r="K659" s="10"/>
      <x:c r="L659" s="11"/>
      <x:c r="M659" s="12"/>
      <x:c r="N659" s="10"/>
    </x:row>
    <x:row r="660" ht="25" customHeight="1">
      <x:c r="A660" s="9" t="str">
        <x:v>QA-MAT-204</x:v>
      </x:c>
      <x:c r="B660" s="9" t="str">
        <x:v>MAT</x:v>
      </x:c>
      <x:c r="C660" s="9" t="str">
        <x:v>Notas web / 08 / identidad 7 Pasaporte</x:v>
      </x:c>
      <x:c r="D660" s="9" t="str">
        <x:v>P1</x:v>
      </x:c>
      <x:c r="E660" s="9" t="str">
        <x:v>Positiva</x:v>
      </x:c>
      <x:c r="F660" s="9" t="str">
        <x:v>Navegador + HTTP + persistencia</x:v>
      </x:c>
      <x:c r="G660" s="10" t="str">
        <x:v>Pendiente</x:v>
      </x:c>
      <x:c r="H660" s="10"/>
      <x:c r="I660" s="10"/>
      <x:c r="J660" s="10"/>
      <x:c r="K660" s="10"/>
      <x:c r="L660" s="11"/>
      <x:c r="M660" s="12"/>
      <x:c r="N660" s="10"/>
    </x:row>
    <x:row r="661" ht="25" customHeight="1">
      <x:c r="A661" s="9" t="str">
        <x:v>QA-MAT-205</x:v>
      </x:c>
      <x:c r="B661" s="9" t="str">
        <x:v>MAT</x:v>
      </x:c>
      <x:c r="C661" s="9" t="str">
        <x:v>Notas web / 08 / identidad E Extranjero</x:v>
      </x:c>
      <x:c r="D661" s="9" t="str">
        <x:v>P1</x:v>
      </x:c>
      <x:c r="E661" s="9" t="str">
        <x:v>Positiva</x:v>
      </x:c>
      <x:c r="F661" s="9" t="str">
        <x:v>Navegador + HTTP + persistencia</x:v>
      </x:c>
      <x:c r="G661" s="10" t="str">
        <x:v>Pendiente</x:v>
      </x:c>
      <x:c r="H661" s="10"/>
      <x:c r="I661" s="10"/>
      <x:c r="J661" s="10"/>
      <x:c r="K661" s="10"/>
      <x:c r="L661" s="11"/>
      <x:c r="M661" s="12"/>
      <x:c r="N661" s="10"/>
    </x:row>
    <x:row r="662" ht="25" customHeight="1">
      <x:c r="A662" s="9" t="str">
        <x:v>QA-MAT-206</x:v>
      </x:c>
      <x:c r="B662" s="9" t="str">
        <x:v>MAT</x:v>
      </x:c>
      <x:c r="C662" s="9" t="str">
        <x:v>Notas web / 08 / identidad C Comuna</x:v>
      </x:c>
      <x:c r="D662" s="9" t="str">
        <x:v>P1</x:v>
      </x:c>
      <x:c r="E662" s="9" t="str">
        <x:v>Positiva</x:v>
      </x:c>
      <x:c r="F662" s="9" t="str">
        <x:v>Navegador + HTTP + persistencia</x:v>
      </x:c>
      <x:c r="G662" s="10" t="str">
        <x:v>Pendiente</x:v>
      </x:c>
      <x:c r="H662" s="10"/>
      <x:c r="I662" s="10"/>
      <x:c r="J662" s="10"/>
      <x:c r="K662" s="10"/>
      <x:c r="L662" s="11"/>
      <x:c r="M662" s="12"/>
      <x:c r="N662" s="10"/>
    </x:row>
    <x:row r="663" ht="25" customHeight="1">
      <x:c r="A663" s="9" t="str">
        <x:v>QA-MAT-207</x:v>
      </x:c>
      <x:c r="B663" s="9" t="str">
        <x:v>MAT</x:v>
      </x:c>
      <x:c r="C663" s="9" t="str">
        <x:v>Notas web / 08 / identidad G Gubernamental</x:v>
      </x:c>
      <x:c r="D663" s="9" t="str">
        <x:v>P1</x:v>
      </x:c>
      <x:c r="E663" s="9" t="str">
        <x:v>Positiva</x:v>
      </x:c>
      <x:c r="F663" s="9" t="str">
        <x:v>Navegador + HTTP + persistencia</x:v>
      </x:c>
      <x:c r="G663" s="10" t="str">
        <x:v>Pendiente</x:v>
      </x:c>
      <x:c r="H663" s="10"/>
      <x:c r="I663" s="10"/>
      <x:c r="J663" s="10"/>
      <x:c r="K663" s="10"/>
      <x:c r="L663" s="11"/>
      <x:c r="M663" s="12"/>
      <x:c r="N663" s="10"/>
    </x:row>
    <x:row r="664" ht="25" customHeight="1">
      <x:c r="A664" s="9" t="str">
        <x:v>QA-MAT-208</x:v>
      </x:c>
      <x:c r="B664" s="9" t="str">
        <x:v>MAT</x:v>
      </x:c>
      <x:c r="C664" s="9" t="str">
        <x:v>Notas web / 08 / identidad R Firma Personal</x:v>
      </x:c>
      <x:c r="D664" s="9" t="str">
        <x:v>P1</x:v>
      </x:c>
      <x:c r="E664" s="9" t="str">
        <x:v>Positiva</x:v>
      </x:c>
      <x:c r="F664" s="9" t="str">
        <x:v>Navegador + HTTP + persistencia</x:v>
      </x:c>
      <x:c r="G664" s="10" t="str">
        <x:v>Pendiente</x:v>
      </x:c>
      <x:c r="H664" s="10"/>
      <x:c r="I664" s="10"/>
      <x:c r="J664" s="10"/>
      <x:c r="K664" s="10"/>
      <x:c r="L664" s="11"/>
      <x:c r="M664" s="12"/>
      <x:c r="N664" s="10"/>
    </x:row>
    <x:row r="665" ht="25" customHeight="1">
      <x:c r="A665" s="9" t="str">
        <x:v>QA-NEG-001</x:v>
      </x:c>
      <x:c r="B665" s="9" t="str">
        <x:v>NEG</x:v>
      </x:c>
      <x:c r="C665" s="9" t="str">
        <x:v>Comprobantes web: rechazo de Boleta 03</x:v>
      </x:c>
      <x:c r="D665" s="9" t="str">
        <x:v>P0</x:v>
      </x:c>
      <x:c r="E665" s="9" t="str">
        <x:v>Negativa</x:v>
      </x:c>
      <x:c r="F665" s="9" t="str">
        <x:v>Navegador + HTTP + persistencia</x:v>
      </x:c>
      <x:c r="G665" s="10" t="str">
        <x:v>Pendiente</x:v>
      </x:c>
      <x:c r="H665" s="10"/>
      <x:c r="I665" s="10"/>
      <x:c r="J665" s="10"/>
      <x:c r="K665" s="10"/>
      <x:c r="L665" s="11"/>
      <x:c r="M665" s="12"/>
      <x:c r="N665" s="10"/>
    </x:row>
    <x:row r="666" ht="25" customHeight="1">
      <x:c r="A666" s="9" t="str">
        <x:v>QA-NEG-002</x:v>
      </x:c>
      <x:c r="B666" s="9" t="str">
        <x:v>NEG</x:v>
      </x:c>
      <x:c r="C666" s="9" t="str">
        <x:v>POS: rechazo de Boleta 03</x:v>
      </x:c>
      <x:c r="D666" s="9" t="str">
        <x:v>P0</x:v>
      </x:c>
      <x:c r="E666" s="9" t="str">
        <x:v>Negativa</x:v>
      </x:c>
      <x:c r="F666" s="9" t="str">
        <x:v>Navegador + HTTP + persistencia</x:v>
      </x:c>
      <x:c r="G666" s="10" t="str">
        <x:v>Pendiente</x:v>
      </x:c>
      <x:c r="H666" s="10"/>
      <x:c r="I666" s="10"/>
      <x:c r="J666" s="10"/>
      <x:c r="K666" s="10"/>
      <x:c r="L666" s="11"/>
      <x:c r="M666" s="12"/>
      <x:c r="N666" s="10"/>
    </x:row>
    <x:row r="667" ht="25" customHeight="1">
      <x:c r="A667" s="9" t="str">
        <x:v>QA-NEG-003</x:v>
      </x:c>
      <x:c r="B667" s="9" t="str">
        <x:v>NEG</x:v>
      </x:c>
      <x:c r="C667" s="9" t="str">
        <x:v>Vende Ya / Garage: rechazo de Boleta 03</x:v>
      </x:c>
      <x:c r="D667" s="9" t="str">
        <x:v>P0</x:v>
      </x:c>
      <x:c r="E667" s="9" t="str">
        <x:v>Negativa</x:v>
      </x:c>
      <x:c r="F667" s="9" t="str">
        <x:v>Navegador + HTTP + persistencia</x:v>
      </x:c>
      <x:c r="G667" s="10" t="str">
        <x:v>Pendiente</x:v>
      </x:c>
      <x:c r="H667" s="10"/>
      <x:c r="I667" s="10"/>
      <x:c r="J667" s="10"/>
      <x:c r="K667" s="10"/>
      <x:c r="L667" s="11"/>
      <x:c r="M667" s="12"/>
      <x:c r="N667" s="10"/>
    </x:row>
    <x:row r="668" ht="25" customHeight="1">
      <x:c r="A668" s="9" t="str">
        <x:v>QA-NEG-004</x:v>
      </x:c>
      <x:c r="B668" s="9" t="str">
        <x:v>NEG</x:v>
      </x:c>
      <x:c r="C668" s="9" t="str">
        <x:v>Venta rápida: rechazo de Boleta 03</x:v>
      </x:c>
      <x:c r="D668" s="9" t="str">
        <x:v>P0</x:v>
      </x:c>
      <x:c r="E668" s="9" t="str">
        <x:v>Negativa</x:v>
      </x:c>
      <x:c r="F668" s="9" t="str">
        <x:v>Navegador + HTTP + persistencia</x:v>
      </x:c>
      <x:c r="G668" s="10" t="str">
        <x:v>Pendiente</x:v>
      </x:c>
      <x:c r="H668" s="10"/>
      <x:c r="I668" s="10"/>
      <x:c r="J668" s="10"/>
      <x:c r="K668" s="10"/>
      <x:c r="L668" s="11"/>
      <x:c r="M668" s="12"/>
      <x:c r="N668" s="10"/>
    </x:row>
    <x:row r="669" ht="25" customHeight="1">
      <x:c r="A669" s="9" t="str">
        <x:v>QA-NEG-005</x:v>
      </x:c>
      <x:c r="B669" s="9" t="str">
        <x:v>NEG</x:v>
      </x:c>
      <x:c r="C669" s="9" t="str">
        <x:v>API de venta: rechazo de Boleta 03</x:v>
      </x:c>
      <x:c r="D669" s="9" t="str">
        <x:v>P0</x:v>
      </x:c>
      <x:c r="E669" s="9" t="str">
        <x:v>Negativa</x:v>
      </x:c>
      <x:c r="F669" s="9" t="str">
        <x:v>Navegador + HTTP + persistencia</x:v>
      </x:c>
      <x:c r="G669" s="10" t="str">
        <x:v>Pendiente</x:v>
      </x:c>
      <x:c r="H669" s="10"/>
      <x:c r="I669" s="10"/>
      <x:c r="J669" s="10"/>
      <x:c r="K669" s="10"/>
      <x:c r="L669" s="11"/>
      <x:c r="M669" s="12"/>
      <x:c r="N669" s="10"/>
    </x:row>
    <x:row r="670" ht="25" customHeight="1">
      <x:c r="A670" s="9" t="str">
        <x:v>QA-NEG-006</x:v>
      </x:c>
      <x:c r="B670" s="9" t="str">
        <x:v>NEG</x:v>
      </x:c>
      <x:c r="C670" s="9" t="str">
        <x:v>Hotel: rechazo de Boleta 03</x:v>
      </x:c>
      <x:c r="D670" s="9" t="str">
        <x:v>P0</x:v>
      </x:c>
      <x:c r="E670" s="9" t="str">
        <x:v>Negativa</x:v>
      </x:c>
      <x:c r="F670" s="9" t="str">
        <x:v>Navegador + HTTP + persistencia</x:v>
      </x:c>
      <x:c r="G670" s="10" t="str">
        <x:v>Pendiente</x:v>
      </x:c>
      <x:c r="H670" s="10"/>
      <x:c r="I670" s="10"/>
      <x:c r="J670" s="10"/>
      <x:c r="K670" s="10"/>
      <x:c r="L670" s="11"/>
      <x:c r="M670" s="12"/>
      <x:c r="N670" s="10"/>
    </x:row>
    <x:row r="671" ht="25" customHeight="1">
      <x:c r="A671" s="9" t="str">
        <x:v>QA-NEG-007</x:v>
      </x:c>
      <x:c r="B671" s="9" t="str">
        <x:v>NEG</x:v>
      </x:c>
      <x:c r="C671" s="9" t="str">
        <x:v>Restaurante: rechazo de Boleta 03</x:v>
      </x:c>
      <x:c r="D671" s="9" t="str">
        <x:v>P0</x:v>
      </x:c>
      <x:c r="E671" s="9" t="str">
        <x:v>Negativa</x:v>
      </x:c>
      <x:c r="F671" s="9" t="str">
        <x:v>Navegador + HTTP + persistencia</x:v>
      </x:c>
      <x:c r="G671" s="10" t="str">
        <x:v>Pendiente</x:v>
      </x:c>
      <x:c r="H671" s="10"/>
      <x:c r="I671" s="10"/>
      <x:c r="J671" s="10"/>
      <x:c r="K671" s="10"/>
      <x:c r="L671" s="11"/>
      <x:c r="M671" s="12"/>
      <x:c r="N671" s="10"/>
    </x:row>
    <x:row r="672" ht="25" customHeight="1">
      <x:c r="A672" s="9" t="str">
        <x:v>QA-NEG-008</x:v>
      </x:c>
      <x:c r="B672" s="9" t="str">
        <x:v>NEG</x:v>
      </x:c>
      <x:c r="C672" s="9" t="str">
        <x:v>Ecommerce: rechazo de Boleta 03</x:v>
      </x:c>
      <x:c r="D672" s="9" t="str">
        <x:v>P0</x:v>
      </x:c>
      <x:c r="E672" s="9" t="str">
        <x:v>Negativa</x:v>
      </x:c>
      <x:c r="F672" s="9" t="str">
        <x:v>Navegador + HTTP + persistencia</x:v>
      </x:c>
      <x:c r="G672" s="10" t="str">
        <x:v>Pendiente</x:v>
      </x:c>
      <x:c r="H672" s="10"/>
      <x:c r="I672" s="10"/>
      <x:c r="J672" s="10"/>
      <x:c r="K672" s="10"/>
      <x:c r="L672" s="11"/>
      <x:c r="M672" s="12"/>
      <x:c r="N672" s="10"/>
    </x:row>
    <x:row r="673" ht="25" customHeight="1">
      <x:c r="A673" s="9" t="str">
        <x:v>QA-NEG-009</x:v>
      </x:c>
      <x:c r="B673" s="9" t="str">
        <x:v>NEG</x:v>
      </x:c>
      <x:c r="C673" s="9" t="str">
        <x:v>Mi Tienda / Store: rechazo de Boleta 03</x:v>
      </x:c>
      <x:c r="D673" s="9" t="str">
        <x:v>P0</x:v>
      </x:c>
      <x:c r="E673" s="9" t="str">
        <x:v>Negativa</x:v>
      </x:c>
      <x:c r="F673" s="9" t="str">
        <x:v>Navegador + HTTP + persistencia</x:v>
      </x:c>
      <x:c r="G673" s="10" t="str">
        <x:v>Pendiente</x:v>
      </x:c>
      <x:c r="H673" s="10"/>
      <x:c r="I673" s="10"/>
      <x:c r="J673" s="10"/>
      <x:c r="K673" s="10"/>
      <x:c r="L673" s="11"/>
      <x:c r="M673" s="12"/>
      <x:c r="N673" s="10"/>
    </x:row>
    <x:row r="674" ht="25" customHeight="1">
      <x:c r="A674" s="9" t="str">
        <x:v>QA-NEG-010</x:v>
      </x:c>
      <x:c r="B674" s="9" t="str">
        <x:v>NEG</x:v>
      </x:c>
      <x:c r="C674" s="9" t="str">
        <x:v>Pedidos: rechazo de Boleta 03</x:v>
      </x:c>
      <x:c r="D674" s="9" t="str">
        <x:v>P0</x:v>
      </x:c>
      <x:c r="E674" s="9" t="str">
        <x:v>Negativa</x:v>
      </x:c>
      <x:c r="F674" s="9" t="str">
        <x:v>Navegador + HTTP + persistencia</x:v>
      </x:c>
      <x:c r="G674" s="10" t="str">
        <x:v>Pendiente</x:v>
      </x:c>
      <x:c r="H674" s="10"/>
      <x:c r="I674" s="10"/>
      <x:c r="J674" s="10"/>
      <x:c r="K674" s="10"/>
      <x:c r="L674" s="11"/>
      <x:c r="M674" s="12"/>
      <x:c r="N674" s="10"/>
    </x:row>
    <x:row r="675" ht="25" customHeight="1">
      <x:c r="A675" s="9" t="str">
        <x:v>QA-NEG-011</x:v>
      </x:c>
      <x:c r="B675" s="9" t="str">
        <x:v>NEG</x:v>
      </x:c>
      <x:c r="C675" s="9" t="str">
        <x:v>Servicio técnico: rechazo de Boleta 03</x:v>
      </x:c>
      <x:c r="D675" s="9" t="str">
        <x:v>P0</x:v>
      </x:c>
      <x:c r="E675" s="9" t="str">
        <x:v>Negativa</x:v>
      </x:c>
      <x:c r="F675" s="9" t="str">
        <x:v>Navegador + HTTP + persistencia</x:v>
      </x:c>
      <x:c r="G675" s="10" t="str">
        <x:v>Pendiente</x:v>
      </x:c>
      <x:c r="H675" s="10"/>
      <x:c r="I675" s="10"/>
      <x:c r="J675" s="10"/>
      <x:c r="K675" s="10"/>
      <x:c r="L675" s="11"/>
      <x:c r="M675" s="12"/>
      <x:c r="N675" s="10"/>
    </x:row>
    <x:row r="676" ht="25" customHeight="1">
      <x:c r="A676" s="9" t="str">
        <x:v>QA-NEG-012</x:v>
      </x:c>
      <x:c r="B676" s="9" t="str">
        <x:v>NEG</x:v>
      </x:c>
      <x:c r="C676" s="9" t="str">
        <x:v>WhatsApp Bot: rechazo de Boleta 03</x:v>
      </x:c>
      <x:c r="D676" s="9" t="str">
        <x:v>P0</x:v>
      </x:c>
      <x:c r="E676" s="9" t="str">
        <x:v>Negativa</x:v>
      </x:c>
      <x:c r="F676" s="9" t="str">
        <x:v>Navegador + HTTP + persistencia</x:v>
      </x:c>
      <x:c r="G676" s="10" t="str">
        <x:v>Pendiente</x:v>
      </x:c>
      <x:c r="H676" s="10"/>
      <x:c r="I676" s="10"/>
      <x:c r="J676" s="10"/>
      <x:c r="K676" s="10"/>
      <x:c r="L676" s="11"/>
      <x:c r="M676" s="12"/>
      <x:c r="N676" s="10"/>
    </x:row>
    <x:row r="677" ht="25" customHeight="1">
      <x:c r="A677" s="9" t="str">
        <x:v>QA-NEG-013</x:v>
      </x:c>
      <x:c r="B677" s="9" t="str">
        <x:v>NEG</x:v>
      </x:c>
      <x:c r="C677" s="9" t="str">
        <x:v>Procesamiento fiscal común rechaza tipo FE</x:v>
      </x:c>
      <x:c r="D677" s="9" t="str">
        <x:v>P0</x:v>
      </x:c>
      <x:c r="E677" s="9" t="str">
        <x:v>Negativa</x:v>
      </x:c>
      <x:c r="F677" s="9" t="str">
        <x:v>Navegador + HTTP + persistencia</x:v>
      </x:c>
      <x:c r="G677" s="10" t="str">
        <x:v>Pendiente</x:v>
      </x:c>
      <x:c r="H677" s="10"/>
      <x:c r="I677" s="10"/>
      <x:c r="J677" s="10"/>
      <x:c r="K677" s="10"/>
      <x:c r="L677" s="11"/>
      <x:c r="M677" s="12"/>
      <x:c r="N677" s="10"/>
    </x:row>
    <x:row r="678" ht="25" customHeight="1">
      <x:c r="A678" s="9" t="str">
        <x:v>QA-NEG-014</x:v>
      </x:c>
      <x:c r="B678" s="9" t="str">
        <x:v>NEG</x:v>
      </x:c>
      <x:c r="C678" s="9" t="str">
        <x:v>Procesamiento fiscal común rechaza tipo 09</x:v>
      </x:c>
      <x:c r="D678" s="9" t="str">
        <x:v>P0</x:v>
      </x:c>
      <x:c r="E678" s="9" t="str">
        <x:v>Negativa</x:v>
      </x:c>
      <x:c r="F678" s="9" t="str">
        <x:v>Navegador + HTTP + persistencia</x:v>
      </x:c>
      <x:c r="G678" s="10" t="str">
        <x:v>Pendiente</x:v>
      </x:c>
      <x:c r="H678" s="10"/>
      <x:c r="I678" s="10"/>
      <x:c r="J678" s="10"/>
      <x:c r="K678" s="10"/>
      <x:c r="L678" s="11"/>
      <x:c r="M678" s="12"/>
      <x:c r="N678" s="10"/>
    </x:row>
    <x:row r="679" ht="25" customHeight="1">
      <x:c r="A679" s="9" t="str">
        <x:v>QA-NEG-015</x:v>
      </x:c>
      <x:c r="B679" s="9" t="str">
        <x:v>NEG</x:v>
      </x:c>
      <x:c r="C679" s="9" t="str">
        <x:v>Procesamiento fiscal común rechaza tipo 20</x:v>
      </x:c>
      <x:c r="D679" s="9" t="str">
        <x:v>P0</x:v>
      </x:c>
      <x:c r="E679" s="9" t="str">
        <x:v>Negativa</x:v>
      </x:c>
      <x:c r="F679" s="9" t="str">
        <x:v>Navegador + HTTP + persistencia</x:v>
      </x:c>
      <x:c r="G679" s="10" t="str">
        <x:v>Pendiente</x:v>
      </x:c>
      <x:c r="H679" s="10"/>
      <x:c r="I679" s="10"/>
      <x:c r="J679" s="10"/>
      <x:c r="K679" s="10"/>
      <x:c r="L679" s="11"/>
      <x:c r="M679" s="12"/>
      <x:c r="N679" s="10"/>
    </x:row>
    <x:row r="680" ht="25" customHeight="1">
      <x:c r="A680" s="9" t="str">
        <x:v>QA-NEG-016</x:v>
      </x:c>
      <x:c r="B680" s="9" t="str">
        <x:v>NEG</x:v>
      </x:c>
      <x:c r="C680" s="9" t="str">
        <x:v>Procesamiento fiscal común rechaza tipo ISLR</x:v>
      </x:c>
      <x:c r="D680" s="9" t="str">
        <x:v>P0</x:v>
      </x:c>
      <x:c r="E680" s="9" t="str">
        <x:v>Negativa</x:v>
      </x:c>
      <x:c r="F680" s="9" t="str">
        <x:v>Navegador + HTTP + persistencia</x:v>
      </x:c>
      <x:c r="G680" s="10" t="str">
        <x:v>Pendiente</x:v>
      </x:c>
      <x:c r="H680" s="10"/>
      <x:c r="I680" s="10"/>
      <x:c r="J680" s="10"/>
      <x:c r="K680" s="10"/>
      <x:c r="L680" s="11"/>
      <x:c r="M680" s="12"/>
      <x:c r="N680" s="10"/>
    </x:row>
    <x:row r="681" ht="25" customHeight="1">
      <x:c r="A681" s="9" t="str">
        <x:v>QA-NEG-017</x:v>
      </x:c>
      <x:c r="B681" s="9" t="str">
        <x:v>NEG</x:v>
      </x:c>
      <x:c r="C681" s="9" t="str">
        <x:v>Procesamiento fiscal común rechaza tipo ARCV</x:v>
      </x:c>
      <x:c r="D681" s="9" t="str">
        <x:v>P0</x:v>
      </x:c>
      <x:c r="E681" s="9" t="str">
        <x:v>Negativa</x:v>
      </x:c>
      <x:c r="F681" s="9" t="str">
        <x:v>Navegador + HTTP + persistencia</x:v>
      </x:c>
      <x:c r="G681" s="10" t="str">
        <x:v>Pendiente</x:v>
      </x:c>
      <x:c r="H681" s="10"/>
      <x:c r="I681" s="10"/>
      <x:c r="J681" s="10"/>
      <x:c r="K681" s="10"/>
      <x:c r="L681" s="11"/>
      <x:c r="M681" s="12"/>
      <x:c r="N681" s="10"/>
    </x:row>
    <x:row r="682" ht="25" customHeight="1">
      <x:c r="A682" s="9" t="str">
        <x:v>QA-NEG-018</x:v>
      </x:c>
      <x:c r="B682" s="9" t="str">
        <x:v>NEG</x:v>
      </x:c>
      <x:c r="C682" s="9" t="str">
        <x:v>Procesamiento fiscal común rechaza tipo 99</x:v>
      </x:c>
      <x:c r="D682" s="9" t="str">
        <x:v>P0</x:v>
      </x:c>
      <x:c r="E682" s="9" t="str">
        <x:v>Negativa</x:v>
      </x:c>
      <x:c r="F682" s="9" t="str">
        <x:v>Navegador + HTTP + persistencia</x:v>
      </x:c>
      <x:c r="G682" s="10" t="str">
        <x:v>Pendiente</x:v>
      </x:c>
      <x:c r="H682" s="10"/>
      <x:c r="I682" s="10"/>
      <x:c r="J682" s="10"/>
      <x:c r="K682" s="10"/>
      <x:c r="L682" s="11"/>
      <x:c r="M682" s="12"/>
      <x:c r="N682" s="10"/>
    </x:row>
    <x:row r="683" ht="25" customHeight="1">
      <x:c r="A683" s="9" t="str">
        <x:v>QA-NEG-019</x:v>
      </x:c>
      <x:c r="B683" s="9" t="str">
        <x:v>NEG</x:v>
      </x:c>
      <x:c r="C683" s="9" t="str">
        <x:v>Procesamiento fiscal común rechaza tipo __unknown__</x:v>
      </x:c>
      <x:c r="D683" s="9" t="str">
        <x:v>P0</x:v>
      </x:c>
      <x:c r="E683" s="9" t="str">
        <x:v>Negativa</x:v>
      </x:c>
      <x:c r="F683" s="9" t="str">
        <x:v>Navegador + HTTP + persistencia</x:v>
      </x:c>
      <x:c r="G683" s="10" t="str">
        <x:v>Pendiente</x:v>
      </x:c>
      <x:c r="H683" s="10"/>
      <x:c r="I683" s="10"/>
      <x:c r="J683" s="10"/>
      <x:c r="K683" s="10"/>
      <x:c r="L683" s="11"/>
      <x:c r="M683" s="12"/>
      <x:c r="N683" s="10"/>
    </x:row>
    <x:row r="684" ht="25" customHeight="1">
      <x:c r="A684" s="9" t="str">
        <x:v>QA-PRE-001</x:v>
      </x:c>
      <x:c r="B684" s="9" t="str">
        <x:v>PRE</x:v>
      </x:c>
      <x:c r="C684" s="9" t="str">
        <x:v>Factura de anticipo gravado</x:v>
      </x:c>
      <x:c r="D684" s="9" t="str">
        <x:v>P0</x:v>
      </x:c>
      <x:c r="E684" s="9" t="str">
        <x:v>Positiva</x:v>
      </x:c>
      <x:c r="F684" s="9" t="str">
        <x:v>Navegador + HTTP + persistencia</x:v>
      </x:c>
      <x:c r="G684" s="10" t="str">
        <x:v>Pendiente</x:v>
      </x:c>
      <x:c r="H684" s="10"/>
      <x:c r="I684" s="10"/>
      <x:c r="J684" s="10"/>
      <x:c r="K684" s="10"/>
      <x:c r="L684" s="11"/>
      <x:c r="M684" s="12"/>
      <x:c r="N684" s="10"/>
    </x:row>
    <x:row r="685" ht="25" customHeight="1">
      <x:c r="A685" s="9" t="str">
        <x:v>QA-PRE-002</x:v>
      </x:c>
      <x:c r="B685" s="9" t="str">
        <x:v>PRE</x:v>
      </x:c>
      <x:c r="C685" s="9" t="str">
        <x:v>Factura de anticipo exento</x:v>
      </x:c>
      <x:c r="D685" s="9" t="str">
        <x:v>P1</x:v>
      </x:c>
      <x:c r="E685" s="9" t="str">
        <x:v>Positiva</x:v>
      </x:c>
      <x:c r="F685" s="9" t="str">
        <x:v>Navegador + HTTP + persistencia</x:v>
      </x:c>
      <x:c r="G685" s="10" t="str">
        <x:v>Pendiente</x:v>
      </x:c>
      <x:c r="H685" s="10"/>
      <x:c r="I685" s="10"/>
      <x:c r="J685" s="10"/>
      <x:c r="K685" s="10"/>
      <x:c r="L685" s="11"/>
      <x:c r="M685" s="12"/>
      <x:c r="N685" s="10"/>
    </x:row>
    <x:row r="686" ht="25" customHeight="1">
      <x:c r="A686" s="9" t="str">
        <x:v>QA-PRE-003</x:v>
      </x:c>
      <x:c r="B686" s="9" t="str">
        <x:v>PRE</x:v>
      </x:c>
      <x:c r="C686" s="9" t="str">
        <x:v>Deducir un anticipo</x:v>
      </x:c>
      <x:c r="D686" s="9" t="str">
        <x:v>P0</x:v>
      </x:c>
      <x:c r="E686" s="9" t="str">
        <x:v>Positiva</x:v>
      </x:c>
      <x:c r="F686" s="9" t="str">
        <x:v>Navegador + HTTP + persistencia</x:v>
      </x:c>
      <x:c r="G686" s="10" t="str">
        <x:v>Pendiente</x:v>
      </x:c>
      <x:c r="H686" s="10"/>
      <x:c r="I686" s="10"/>
      <x:c r="J686" s="10"/>
      <x:c r="K686" s="10"/>
      <x:c r="L686" s="11"/>
      <x:c r="M686" s="12"/>
      <x:c r="N686" s="10"/>
    </x:row>
    <x:row r="687" ht="25" customHeight="1">
      <x:c r="A687" s="9" t="str">
        <x:v>QA-PRE-004</x:v>
      </x:c>
      <x:c r="B687" s="9" t="str">
        <x:v>PRE</x:v>
      </x:c>
      <x:c r="C687" s="9" t="str">
        <x:v>Deducir varios anticipos</x:v>
      </x:c>
      <x:c r="D687" s="9" t="str">
        <x:v>P1</x:v>
      </x:c>
      <x:c r="E687" s="9" t="str">
        <x:v>Positiva</x:v>
      </x:c>
      <x:c r="F687" s="9" t="str">
        <x:v>Navegador + HTTP + persistencia</x:v>
      </x:c>
      <x:c r="G687" s="10" t="str">
        <x:v>Pendiente</x:v>
      </x:c>
      <x:c r="H687" s="10"/>
      <x:c r="I687" s="10"/>
      <x:c r="J687" s="10"/>
      <x:c r="K687" s="10"/>
      <x:c r="L687" s="11"/>
      <x:c r="M687" s="12"/>
      <x:c r="N687" s="10"/>
    </x:row>
    <x:row r="688" ht="25" customHeight="1">
      <x:c r="A688" s="9" t="str">
        <x:v>QA-PRE-005</x:v>
      </x:c>
      <x:c r="B688" s="9" t="str">
        <x:v>PRE</x:v>
      </x:c>
      <x:c r="C688" s="9" t="str">
        <x:v>Deducción parcial y agotamiento</x:v>
      </x:c>
      <x:c r="D688" s="9" t="str">
        <x:v>P0</x:v>
      </x:c>
      <x:c r="E688" s="9" t="str">
        <x:v>Negativa</x:v>
      </x:c>
      <x:c r="F688" s="9" t="str">
        <x:v>Navegador + HTTP + persistencia</x:v>
      </x:c>
      <x:c r="G688" s="10" t="str">
        <x:v>Pendiente</x:v>
      </x:c>
      <x:c r="H688" s="10"/>
      <x:c r="I688" s="10"/>
      <x:c r="J688" s="10"/>
      <x:c r="K688" s="10"/>
      <x:c r="L688" s="11"/>
      <x:c r="M688" s="12"/>
      <x:c r="N688" s="10"/>
    </x:row>
    <x:row r="689" ht="25" customHeight="1">
      <x:c r="A689" s="9" t="str">
        <x:v>QA-PRE-006</x:v>
      </x:c>
      <x:c r="B689" s="9" t="str">
        <x:v>PRE</x:v>
      </x:c>
      <x:c r="C689" s="9" t="str">
        <x:v>Anticipo ajeno o incompatible</x:v>
      </x:c>
      <x:c r="D689" s="9" t="str">
        <x:v>P0</x:v>
      </x:c>
      <x:c r="E689" s="9" t="str">
        <x:v>Seguridad</x:v>
      </x:c>
      <x:c r="F689" s="9" t="str">
        <x:v>Navegador + HTTP + persistencia</x:v>
      </x:c>
      <x:c r="G689" s="10" t="str">
        <x:v>Pendiente</x:v>
      </x:c>
      <x:c r="H689" s="10"/>
      <x:c r="I689" s="10"/>
      <x:c r="J689" s="10"/>
      <x:c r="K689" s="10"/>
      <x:c r="L689" s="11"/>
      <x:c r="M689" s="12"/>
      <x:c r="N689" s="10"/>
    </x:row>
    <x:row r="690" ht="25" customHeight="1">
      <x:c r="A690" s="9" t="str">
        <x:v>QA-PRE-007</x:v>
      </x:c>
      <x:c r="B690" s="9" t="str">
        <x:v>PRE</x:v>
      </x:c>
      <x:c r="C690" s="9" t="str">
        <x:v>Referencias vacías y con guiones</x:v>
      </x:c>
      <x:c r="D690" s="9" t="str">
        <x:v>P1</x:v>
      </x:c>
      <x:c r="E690" s="9" t="str">
        <x:v>Positiva</x:v>
      </x:c>
      <x:c r="F690" s="9" t="str">
        <x:v>Navegador + HTTP + persistencia</x:v>
      </x:c>
      <x:c r="G690" s="10" t="str">
        <x:v>Pendiente</x:v>
      </x:c>
      <x:c r="H690" s="10"/>
      <x:c r="I690" s="10"/>
      <x:c r="J690" s="10"/>
      <x:c r="K690" s="10"/>
      <x:c r="L690" s="11"/>
      <x:c r="M690" s="12"/>
      <x:c r="N690" s="10"/>
    </x:row>
    <x:row r="691" ht="25" customHeight="1">
      <x:c r="A691" s="9" t="str">
        <x:v>QA-PRE-008</x:v>
      </x:c>
      <x:c r="B691" s="9" t="str">
        <x:v>PRE</x:v>
      </x:c>
      <x:c r="C691" s="9" t="str">
        <x:v>Exceso y concurrencia de anticipos</x:v>
      </x:c>
      <x:c r="D691" s="9" t="str">
        <x:v>P0</x:v>
      </x:c>
      <x:c r="E691" s="9" t="str">
        <x:v>Concurrencia</x:v>
      </x:c>
      <x:c r="F691" s="9" t="str">
        <x:v>Navegador + HTTP + persistencia</x:v>
      </x:c>
      <x:c r="G691" s="10" t="str">
        <x:v>Pendiente</x:v>
      </x:c>
      <x:c r="H691" s="10"/>
      <x:c r="I691" s="10"/>
      <x:c r="J691" s="10"/>
      <x:c r="K691" s="10"/>
      <x:c r="L691" s="11"/>
      <x:c r="M691" s="12"/>
      <x:c r="N691" s="10"/>
    </x:row>
    <x:row r="692" ht="25" customHeight="1">
      <x:c r="A692" s="9" t="str">
        <x:v>QA-PRE-009</x:v>
      </x:c>
      <x:c r="B692" s="9" t="str">
        <x:v>PRE</x:v>
      </x:c>
      <x:c r="C692" s="9" t="str">
        <x:v>Cancelar y rollback de deducción</x:v>
      </x:c>
      <x:c r="D692" s="9" t="str">
        <x:v>P0</x:v>
      </x:c>
      <x:c r="E692" s="9" t="str">
        <x:v>Transaccional</x:v>
      </x:c>
      <x:c r="F692" s="9" t="str">
        <x:v>Navegador + HTTP + persistencia</x:v>
      </x:c>
      <x:c r="G692" s="10" t="str">
        <x:v>Pendiente</x:v>
      </x:c>
      <x:c r="H692" s="10"/>
      <x:c r="I692" s="10"/>
      <x:c r="J692" s="10"/>
      <x:c r="K692" s="10"/>
      <x:c r="L692" s="11"/>
      <x:c r="M692" s="12"/>
      <x:c r="N692" s="10"/>
    </x:row>
    <x:row r="693" ht="25" customHeight="1">
      <x:c r="A693" s="9" t="str">
        <x:v>QA-PRE-010</x:v>
      </x:c>
      <x:c r="B693" s="9" t="str">
        <x:v>PRE</x:v>
      </x:c>
      <x:c r="C693" s="9" t="str">
        <x:v>Afectaciones de anticipo retiradas</x:v>
      </x:c>
      <x:c r="D693" s="9" t="str">
        <x:v>P1</x:v>
      </x:c>
      <x:c r="E693" s="9" t="str">
        <x:v>Negativa</x:v>
      </x:c>
      <x:c r="F693" s="9" t="str">
        <x:v>Navegador + HTTP + persistencia</x:v>
      </x:c>
      <x:c r="G693" s="10" t="str">
        <x:v>Pendiente</x:v>
      </x:c>
      <x:c r="H693" s="10"/>
      <x:c r="I693" s="10"/>
      <x:c r="J693" s="10"/>
      <x:c r="K693" s="10"/>
      <x:c r="L693" s="11"/>
      <x:c r="M693" s="12"/>
      <x:c r="N693" s="10"/>
    </x:row>
    <x:row r="694" ht="25" customHeight="1">
      <x:c r="A694" s="9" t="str">
        <x:v>QA-PRE-011</x:v>
      </x:c>
      <x:c r="B694" s="9" t="str">
        <x:v>PRE</x:v>
      </x:c>
      <x:c r="C694" s="9" t="str">
        <x:v>Puntos del cliente y descuentos comerciales</x:v>
      </x:c>
      <x:c r="D694" s="9" t="str">
        <x:v>P1</x:v>
      </x:c>
      <x:c r="E694" s="9" t="str">
        <x:v>Positiva</x:v>
      </x:c>
      <x:c r="F694" s="9" t="str">
        <x:v>Navegador + HTTP + persistencia</x:v>
      </x:c>
      <x:c r="G694" s="10" t="str">
        <x:v>Pendiente</x:v>
      </x:c>
      <x:c r="H694" s="10"/>
      <x:c r="I694" s="10"/>
      <x:c r="J694" s="10"/>
      <x:c r="K694" s="10"/>
      <x:c r="L694" s="11"/>
      <x:c r="M694" s="12"/>
      <x:c r="N694" s="10"/>
    </x:row>
    <x:row r="695" ht="25" customHeight="1">
      <x:c r="A695" s="9" t="str">
        <x:v>QA-PRE-012</x:v>
      </x:c>
      <x:c r="B695" s="9" t="str">
        <x:v>PRE</x:v>
      </x:c>
      <x:c r="C695" s="9" t="str">
        <x:v>Condicionales de Hotel, transporte y TAP</x:v>
      </x:c>
      <x:c r="D695" s="9" t="str">
        <x:v>P1</x:v>
      </x:c>
      <x:c r="E695" s="9" t="str">
        <x:v>Positiva</x:v>
      </x:c>
      <x:c r="F695" s="9" t="str">
        <x:v>Navegador + HTTP + persistencia</x:v>
      </x:c>
      <x:c r="G695" s="10" t="str">
        <x:v>Pendiente</x:v>
      </x:c>
      <x:c r="H695" s="10"/>
      <x:c r="I695" s="10"/>
      <x:c r="J695" s="10"/>
      <x:c r="K695" s="10"/>
      <x:c r="L695" s="11"/>
      <x:c r="M695" s="12"/>
      <x:c r="N695" s="10"/>
    </x:row>
    <x:row r="696" ht="25" customHeight="1">
      <x:c r="A696" s="9" t="str">
        <x:v>QA-COM-001</x:v>
      </x:c>
      <x:c r="B696" s="9" t="str">
        <x:v>COM</x:v>
      </x:c>
      <x:c r="C696" s="9" t="str">
        <x:v>Factura 01 / VES / Gravado / Contado</x:v>
      </x:c>
      <x:c r="D696" s="9" t="str">
        <x:v>P1</x:v>
      </x:c>
      <x:c r="E696" s="9" t="str">
        <x:v>Positiva</x:v>
      </x:c>
      <x:c r="F696" s="9" t="str">
        <x:v>Navegador + HTTP + persistencia</x:v>
      </x:c>
      <x:c r="G696" s="10" t="str">
        <x:v>Pendiente</x:v>
      </x:c>
      <x:c r="H696" s="10"/>
      <x:c r="I696" s="10"/>
      <x:c r="J696" s="10"/>
      <x:c r="K696" s="10"/>
      <x:c r="L696" s="11"/>
      <x:c r="M696" s="12"/>
      <x:c r="N696" s="10"/>
    </x:row>
    <x:row r="697" ht="25" customHeight="1">
      <x:c r="A697" s="9" t="str">
        <x:v>QA-COM-002</x:v>
      </x:c>
      <x:c r="B697" s="9" t="str">
        <x:v>COM</x:v>
      </x:c>
      <x:c r="C697" s="9" t="str">
        <x:v>Factura 01 / VES / Gravado / Crédito</x:v>
      </x:c>
      <x:c r="D697" s="9" t="str">
        <x:v>P1</x:v>
      </x:c>
      <x:c r="E697" s="9" t="str">
        <x:v>Positiva</x:v>
      </x:c>
      <x:c r="F697" s="9" t="str">
        <x:v>Navegador + HTTP + persistencia</x:v>
      </x:c>
      <x:c r="G697" s="10" t="str">
        <x:v>Pendiente</x:v>
      </x:c>
      <x:c r="H697" s="10"/>
      <x:c r="I697" s="10"/>
      <x:c r="J697" s="10"/>
      <x:c r="K697" s="10"/>
      <x:c r="L697" s="11"/>
      <x:c r="M697" s="12"/>
      <x:c r="N697" s="10"/>
    </x:row>
    <x:row r="698" ht="25" customHeight="1">
      <x:c r="A698" s="9" t="str">
        <x:v>QA-COM-003</x:v>
      </x:c>
      <x:c r="B698" s="9" t="str">
        <x:v>COM</x:v>
      </x:c>
      <x:c r="C698" s="9" t="str">
        <x:v>Factura 01 / VES / Gravado / Crédito con cuotas</x:v>
      </x:c>
      <x:c r="D698" s="9" t="str">
        <x:v>P1</x:v>
      </x:c>
      <x:c r="E698" s="9" t="str">
        <x:v>Positiva</x:v>
      </x:c>
      <x:c r="F698" s="9" t="str">
        <x:v>Navegador + HTTP + persistencia</x:v>
      </x:c>
      <x:c r="G698" s="10" t="str">
        <x:v>Pendiente</x:v>
      </x:c>
      <x:c r="H698" s="10"/>
      <x:c r="I698" s="10"/>
      <x:c r="J698" s="10"/>
      <x:c r="K698" s="10"/>
      <x:c r="L698" s="11"/>
      <x:c r="M698" s="12"/>
      <x:c r="N698" s="10"/>
    </x:row>
    <x:row r="699" ht="25" customHeight="1">
      <x:c r="A699" s="9" t="str">
        <x:v>QA-COM-004</x:v>
      </x:c>
      <x:c r="B699" s="9" t="str">
        <x:v>COM</x:v>
      </x:c>
      <x:c r="C699" s="9" t="str">
        <x:v>Factura 01 / VES / Exento / Contado</x:v>
      </x:c>
      <x:c r="D699" s="9" t="str">
        <x:v>P1</x:v>
      </x:c>
      <x:c r="E699" s="9" t="str">
        <x:v>Positiva</x:v>
      </x:c>
      <x:c r="F699" s="9" t="str">
        <x:v>Navegador + HTTP + persistencia</x:v>
      </x:c>
      <x:c r="G699" s="10" t="str">
        <x:v>Pendiente</x:v>
      </x:c>
      <x:c r="H699" s="10"/>
      <x:c r="I699" s="10"/>
      <x:c r="J699" s="10"/>
      <x:c r="K699" s="10"/>
      <x:c r="L699" s="11"/>
      <x:c r="M699" s="12"/>
      <x:c r="N699" s="10"/>
    </x:row>
    <x:row r="700" ht="25" customHeight="1">
      <x:c r="A700" s="9" t="str">
        <x:v>QA-COM-005</x:v>
      </x:c>
      <x:c r="B700" s="9" t="str">
        <x:v>COM</x:v>
      </x:c>
      <x:c r="C700" s="9" t="str">
        <x:v>Factura 01 / VES / Exento / Crédito</x:v>
      </x:c>
      <x:c r="D700" s="9" t="str">
        <x:v>P1</x:v>
      </x:c>
      <x:c r="E700" s="9" t="str">
        <x:v>Positiva</x:v>
      </x:c>
      <x:c r="F700" s="9" t="str">
        <x:v>Navegador + HTTP + persistencia</x:v>
      </x:c>
      <x:c r="G700" s="10" t="str">
        <x:v>Pendiente</x:v>
      </x:c>
      <x:c r="H700" s="10"/>
      <x:c r="I700" s="10"/>
      <x:c r="J700" s="10"/>
      <x:c r="K700" s="10"/>
      <x:c r="L700" s="11"/>
      <x:c r="M700" s="12"/>
      <x:c r="N700" s="10"/>
    </x:row>
    <x:row r="701" ht="25" customHeight="1">
      <x:c r="A701" s="9" t="str">
        <x:v>QA-COM-006</x:v>
      </x:c>
      <x:c r="B701" s="9" t="str">
        <x:v>COM</x:v>
      </x:c>
      <x:c r="C701" s="9" t="str">
        <x:v>Factura 01 / VES / Exento / Crédito con cuotas</x:v>
      </x:c>
      <x:c r="D701" s="9" t="str">
        <x:v>P1</x:v>
      </x:c>
      <x:c r="E701" s="9" t="str">
        <x:v>Positiva</x:v>
      </x:c>
      <x:c r="F701" s="9" t="str">
        <x:v>Navegador + HTTP + persistencia</x:v>
      </x:c>
      <x:c r="G701" s="10" t="str">
        <x:v>Pendiente</x:v>
      </x:c>
      <x:c r="H701" s="10"/>
      <x:c r="I701" s="10"/>
      <x:c r="J701" s="10"/>
      <x:c r="K701" s="10"/>
      <x:c r="L701" s="11"/>
      <x:c r="M701" s="12"/>
      <x:c r="N701" s="10"/>
    </x:row>
    <x:row r="702" ht="25" customHeight="1">
      <x:c r="A702" s="9" t="str">
        <x:v>QA-COM-007</x:v>
      </x:c>
      <x:c r="B702" s="9" t="str">
        <x:v>COM</x:v>
      </x:c>
      <x:c r="C702" s="9" t="str">
        <x:v>Factura 01 / VES / Mixto / Contado</x:v>
      </x:c>
      <x:c r="D702" s="9" t="str">
        <x:v>P1</x:v>
      </x:c>
      <x:c r="E702" s="9" t="str">
        <x:v>Positiva</x:v>
      </x:c>
      <x:c r="F702" s="9" t="str">
        <x:v>Navegador + HTTP + persistencia</x:v>
      </x:c>
      <x:c r="G702" s="10" t="str">
        <x:v>Pendiente</x:v>
      </x:c>
      <x:c r="H702" s="10"/>
      <x:c r="I702" s="10"/>
      <x:c r="J702" s="10"/>
      <x:c r="K702" s="10"/>
      <x:c r="L702" s="11"/>
      <x:c r="M702" s="12"/>
      <x:c r="N702" s="10"/>
    </x:row>
    <x:row r="703" ht="25" customHeight="1">
      <x:c r="A703" s="9" t="str">
        <x:v>QA-COM-008</x:v>
      </x:c>
      <x:c r="B703" s="9" t="str">
        <x:v>COM</x:v>
      </x:c>
      <x:c r="C703" s="9" t="str">
        <x:v>Factura 01 / VES / Mixto / Crédito</x:v>
      </x:c>
      <x:c r="D703" s="9" t="str">
        <x:v>P1</x:v>
      </x:c>
      <x:c r="E703" s="9" t="str">
        <x:v>Positiva</x:v>
      </x:c>
      <x:c r="F703" s="9" t="str">
        <x:v>Navegador + HTTP + persistencia</x:v>
      </x:c>
      <x:c r="G703" s="10" t="str">
        <x:v>Pendiente</x:v>
      </x:c>
      <x:c r="H703" s="10"/>
      <x:c r="I703" s="10"/>
      <x:c r="J703" s="10"/>
      <x:c r="K703" s="10"/>
      <x:c r="L703" s="11"/>
      <x:c r="M703" s="12"/>
      <x:c r="N703" s="10"/>
    </x:row>
    <x:row r="704" ht="25" customHeight="1">
      <x:c r="A704" s="9" t="str">
        <x:v>QA-COM-009</x:v>
      </x:c>
      <x:c r="B704" s="9" t="str">
        <x:v>COM</x:v>
      </x:c>
      <x:c r="C704" s="9" t="str">
        <x:v>Factura 01 / VES / Mixto / Crédito con cuotas</x:v>
      </x:c>
      <x:c r="D704" s="9" t="str">
        <x:v>P1</x:v>
      </x:c>
      <x:c r="E704" s="9" t="str">
        <x:v>Positiva</x:v>
      </x:c>
      <x:c r="F704" s="9" t="str">
        <x:v>Navegador + HTTP + persistencia</x:v>
      </x:c>
      <x:c r="G704" s="10" t="str">
        <x:v>Pendiente</x:v>
      </x:c>
      <x:c r="H704" s="10"/>
      <x:c r="I704" s="10"/>
      <x:c r="J704" s="10"/>
      <x:c r="K704" s="10"/>
      <x:c r="L704" s="11"/>
      <x:c r="M704" s="12"/>
      <x:c r="N704" s="10"/>
    </x:row>
    <x:row r="705" ht="25" customHeight="1">
      <x:c r="A705" s="9" t="str">
        <x:v>QA-COM-010</x:v>
      </x:c>
      <x:c r="B705" s="9" t="str">
        <x:v>COM</x:v>
      </x:c>
      <x:c r="C705" s="9" t="str">
        <x:v>Factura 01 / USD / Gravado / Contado</x:v>
      </x:c>
      <x:c r="D705" s="9" t="str">
        <x:v>P1</x:v>
      </x:c>
      <x:c r="E705" s="9" t="str">
        <x:v>Positiva</x:v>
      </x:c>
      <x:c r="F705" s="9" t="str">
        <x:v>Navegador + HTTP + persistencia</x:v>
      </x:c>
      <x:c r="G705" s="10" t="str">
        <x:v>Pendiente</x:v>
      </x:c>
      <x:c r="H705" s="10"/>
      <x:c r="I705" s="10"/>
      <x:c r="J705" s="10"/>
      <x:c r="K705" s="10"/>
      <x:c r="L705" s="11"/>
      <x:c r="M705" s="12"/>
      <x:c r="N705" s="10"/>
    </x:row>
    <x:row r="706" ht="25" customHeight="1">
      <x:c r="A706" s="9" t="str">
        <x:v>QA-COM-011</x:v>
      </x:c>
      <x:c r="B706" s="9" t="str">
        <x:v>COM</x:v>
      </x:c>
      <x:c r="C706" s="9" t="str">
        <x:v>Factura 01 / USD / Gravado / Crédito</x:v>
      </x:c>
      <x:c r="D706" s="9" t="str">
        <x:v>P1</x:v>
      </x:c>
      <x:c r="E706" s="9" t="str">
        <x:v>Positiva</x:v>
      </x:c>
      <x:c r="F706" s="9" t="str">
        <x:v>Navegador + HTTP + persistencia</x:v>
      </x:c>
      <x:c r="G706" s="10" t="str">
        <x:v>Pendiente</x:v>
      </x:c>
      <x:c r="H706" s="10"/>
      <x:c r="I706" s="10"/>
      <x:c r="J706" s="10"/>
      <x:c r="K706" s="10"/>
      <x:c r="L706" s="11"/>
      <x:c r="M706" s="12"/>
      <x:c r="N706" s="10"/>
    </x:row>
    <x:row r="707" ht="25" customHeight="1">
      <x:c r="A707" s="9" t="str">
        <x:v>QA-COM-012</x:v>
      </x:c>
      <x:c r="B707" s="9" t="str">
        <x:v>COM</x:v>
      </x:c>
      <x:c r="C707" s="9" t="str">
        <x:v>Factura 01 / USD / Gravado / Crédito con cuotas</x:v>
      </x:c>
      <x:c r="D707" s="9" t="str">
        <x:v>P1</x:v>
      </x:c>
      <x:c r="E707" s="9" t="str">
        <x:v>Positiva</x:v>
      </x:c>
      <x:c r="F707" s="9" t="str">
        <x:v>Navegador + HTTP + persistencia</x:v>
      </x:c>
      <x:c r="G707" s="10" t="str">
        <x:v>Pendiente</x:v>
      </x:c>
      <x:c r="H707" s="10"/>
      <x:c r="I707" s="10"/>
      <x:c r="J707" s="10"/>
      <x:c r="K707" s="10"/>
      <x:c r="L707" s="11"/>
      <x:c r="M707" s="12"/>
      <x:c r="N707" s="10"/>
    </x:row>
    <x:row r="708" ht="25" customHeight="1">
      <x:c r="A708" s="9" t="str">
        <x:v>QA-COM-013</x:v>
      </x:c>
      <x:c r="B708" s="9" t="str">
        <x:v>COM</x:v>
      </x:c>
      <x:c r="C708" s="9" t="str">
        <x:v>Factura 01 / USD / Exento / Contado</x:v>
      </x:c>
      <x:c r="D708" s="9" t="str">
        <x:v>P1</x:v>
      </x:c>
      <x:c r="E708" s="9" t="str">
        <x:v>Positiva</x:v>
      </x:c>
      <x:c r="F708" s="9" t="str">
        <x:v>Navegador + HTTP + persistencia</x:v>
      </x:c>
      <x:c r="G708" s="10" t="str">
        <x:v>Pendiente</x:v>
      </x:c>
      <x:c r="H708" s="10"/>
      <x:c r="I708" s="10"/>
      <x:c r="J708" s="10"/>
      <x:c r="K708" s="10"/>
      <x:c r="L708" s="11"/>
      <x:c r="M708" s="12"/>
      <x:c r="N708" s="10"/>
    </x:row>
    <x:row r="709" ht="25" customHeight="1">
      <x:c r="A709" s="9" t="str">
        <x:v>QA-COM-014</x:v>
      </x:c>
      <x:c r="B709" s="9" t="str">
        <x:v>COM</x:v>
      </x:c>
      <x:c r="C709" s="9" t="str">
        <x:v>Factura 01 / USD / Exento / Crédito</x:v>
      </x:c>
      <x:c r="D709" s="9" t="str">
        <x:v>P1</x:v>
      </x:c>
      <x:c r="E709" s="9" t="str">
        <x:v>Positiva</x:v>
      </x:c>
      <x:c r="F709" s="9" t="str">
        <x:v>Navegador + HTTP + persistencia</x:v>
      </x:c>
      <x:c r="G709" s="10" t="str">
        <x:v>Pendiente</x:v>
      </x:c>
      <x:c r="H709" s="10"/>
      <x:c r="I709" s="10"/>
      <x:c r="J709" s="10"/>
      <x:c r="K709" s="10"/>
      <x:c r="L709" s="11"/>
      <x:c r="M709" s="12"/>
      <x:c r="N709" s="10"/>
    </x:row>
    <x:row r="710" ht="25" customHeight="1">
      <x:c r="A710" s="9" t="str">
        <x:v>QA-COM-015</x:v>
      </x:c>
      <x:c r="B710" s="9" t="str">
        <x:v>COM</x:v>
      </x:c>
      <x:c r="C710" s="9" t="str">
        <x:v>Factura 01 / USD / Exento / Crédito con cuotas</x:v>
      </x:c>
      <x:c r="D710" s="9" t="str">
        <x:v>P1</x:v>
      </x:c>
      <x:c r="E710" s="9" t="str">
        <x:v>Positiva</x:v>
      </x:c>
      <x:c r="F710" s="9" t="str">
        <x:v>Navegador + HTTP + persistencia</x:v>
      </x:c>
      <x:c r="G710" s="10" t="str">
        <x:v>Pendiente</x:v>
      </x:c>
      <x:c r="H710" s="10"/>
      <x:c r="I710" s="10"/>
      <x:c r="J710" s="10"/>
      <x:c r="K710" s="10"/>
      <x:c r="L710" s="11"/>
      <x:c r="M710" s="12"/>
      <x:c r="N710" s="10"/>
    </x:row>
    <x:row r="711" ht="25" customHeight="1">
      <x:c r="A711" s="9" t="str">
        <x:v>QA-COM-016</x:v>
      </x:c>
      <x:c r="B711" s="9" t="str">
        <x:v>COM</x:v>
      </x:c>
      <x:c r="C711" s="9" t="str">
        <x:v>Factura 01 / USD / Mixto / Contado</x:v>
      </x:c>
      <x:c r="D711" s="9" t="str">
        <x:v>P1</x:v>
      </x:c>
      <x:c r="E711" s="9" t="str">
        <x:v>Positiva</x:v>
      </x:c>
      <x:c r="F711" s="9" t="str">
        <x:v>Navegador + HTTP + persistencia</x:v>
      </x:c>
      <x:c r="G711" s="10" t="str">
        <x:v>Pendiente</x:v>
      </x:c>
      <x:c r="H711" s="10"/>
      <x:c r="I711" s="10"/>
      <x:c r="J711" s="10"/>
      <x:c r="K711" s="10"/>
      <x:c r="L711" s="11"/>
      <x:c r="M711" s="12"/>
      <x:c r="N711" s="10"/>
    </x:row>
    <x:row r="712" ht="25" customHeight="1">
      <x:c r="A712" s="9" t="str">
        <x:v>QA-COM-017</x:v>
      </x:c>
      <x:c r="B712" s="9" t="str">
        <x:v>COM</x:v>
      </x:c>
      <x:c r="C712" s="9" t="str">
        <x:v>Factura 01 / USD / Mixto / Crédito</x:v>
      </x:c>
      <x:c r="D712" s="9" t="str">
        <x:v>P1</x:v>
      </x:c>
      <x:c r="E712" s="9" t="str">
        <x:v>Positiva</x:v>
      </x:c>
      <x:c r="F712" s="9" t="str">
        <x:v>Navegador + HTTP + persistencia</x:v>
      </x:c>
      <x:c r="G712" s="10" t="str">
        <x:v>Pendiente</x:v>
      </x:c>
      <x:c r="H712" s="10"/>
      <x:c r="I712" s="10"/>
      <x:c r="J712" s="10"/>
      <x:c r="K712" s="10"/>
      <x:c r="L712" s="11"/>
      <x:c r="M712" s="12"/>
      <x:c r="N712" s="10"/>
    </x:row>
    <x:row r="713" ht="25" customHeight="1">
      <x:c r="A713" s="9" t="str">
        <x:v>QA-COM-018</x:v>
      </x:c>
      <x:c r="B713" s="9" t="str">
        <x:v>COM</x:v>
      </x:c>
      <x:c r="C713" s="9" t="str">
        <x:v>Factura 01 / USD / Mixto / Crédito con cuotas</x:v>
      </x:c>
      <x:c r="D713" s="9" t="str">
        <x:v>P1</x:v>
      </x:c>
      <x:c r="E713" s="9" t="str">
        <x:v>Positiva</x:v>
      </x:c>
      <x:c r="F713" s="9" t="str">
        <x:v>Navegador + HTTP + persistencia</x:v>
      </x:c>
      <x:c r="G713" s="10" t="str">
        <x:v>Pendiente</x:v>
      </x:c>
      <x:c r="H713" s="10"/>
      <x:c r="I713" s="10"/>
      <x:c r="J713" s="10"/>
      <x:c r="K713" s="10"/>
      <x:c r="L713" s="11"/>
      <x:c r="M713" s="12"/>
      <x:c r="N713" s="10"/>
    </x:row>
    <x:row r="714" ht="25" customHeight="1">
      <x:c r="A714" s="9" t="str">
        <x:v>QA-COM-019</x:v>
      </x:c>
      <x:c r="B714" s="9" t="str">
        <x:v>COM</x:v>
      </x:c>
      <x:c r="C714" s="9" t="str">
        <x:v>Nota 07 / VES / Gravado</x:v>
      </x:c>
      <x:c r="D714" s="9" t="str">
        <x:v>P1</x:v>
      </x:c>
      <x:c r="E714" s="9" t="str">
        <x:v>Positiva</x:v>
      </x:c>
      <x:c r="F714" s="9" t="str">
        <x:v>Navegador + HTTP + persistencia</x:v>
      </x:c>
      <x:c r="G714" s="10" t="str">
        <x:v>Pendiente</x:v>
      </x:c>
      <x:c r="H714" s="10"/>
      <x:c r="I714" s="10"/>
      <x:c r="J714" s="10"/>
      <x:c r="K714" s="10"/>
      <x:c r="L714" s="11"/>
      <x:c r="M714" s="12"/>
      <x:c r="N714" s="10"/>
    </x:row>
    <x:row r="715" ht="25" customHeight="1">
      <x:c r="A715" s="9" t="str">
        <x:v>QA-COM-020</x:v>
      </x:c>
      <x:c r="B715" s="9" t="str">
        <x:v>COM</x:v>
      </x:c>
      <x:c r="C715" s="9" t="str">
        <x:v>Nota 07 / VES / Exento</x:v>
      </x:c>
      <x:c r="D715" s="9" t="str">
        <x:v>P1</x:v>
      </x:c>
      <x:c r="E715" s="9" t="str">
        <x:v>Positiva</x:v>
      </x:c>
      <x:c r="F715" s="9" t="str">
        <x:v>Navegador + HTTP + persistencia</x:v>
      </x:c>
      <x:c r="G715" s="10" t="str">
        <x:v>Pendiente</x:v>
      </x:c>
      <x:c r="H715" s="10"/>
      <x:c r="I715" s="10"/>
      <x:c r="J715" s="10"/>
      <x:c r="K715" s="10"/>
      <x:c r="L715" s="11"/>
      <x:c r="M715" s="12"/>
      <x:c r="N715" s="10"/>
    </x:row>
    <x:row r="716" ht="25" customHeight="1">
      <x:c r="A716" s="9" t="str">
        <x:v>QA-COM-021</x:v>
      </x:c>
      <x:c r="B716" s="9" t="str">
        <x:v>COM</x:v>
      </x:c>
      <x:c r="C716" s="9" t="str">
        <x:v>Nota 07 / VES / Mixto</x:v>
      </x:c>
      <x:c r="D716" s="9" t="str">
        <x:v>P1</x:v>
      </x:c>
      <x:c r="E716" s="9" t="str">
        <x:v>Positiva</x:v>
      </x:c>
      <x:c r="F716" s="9" t="str">
        <x:v>Navegador + HTTP + persistencia</x:v>
      </x:c>
      <x:c r="G716" s="10" t="str">
        <x:v>Pendiente</x:v>
      </x:c>
      <x:c r="H716" s="10"/>
      <x:c r="I716" s="10"/>
      <x:c r="J716" s="10"/>
      <x:c r="K716" s="10"/>
      <x:c r="L716" s="11"/>
      <x:c r="M716" s="12"/>
      <x:c r="N716" s="10"/>
    </x:row>
    <x:row r="717" ht="25" customHeight="1">
      <x:c r="A717" s="9" t="str">
        <x:v>QA-COM-022</x:v>
      </x:c>
      <x:c r="B717" s="9" t="str">
        <x:v>COM</x:v>
      </x:c>
      <x:c r="C717" s="9" t="str">
        <x:v>Nota 07 / USD / Gravado</x:v>
      </x:c>
      <x:c r="D717" s="9" t="str">
        <x:v>P1</x:v>
      </x:c>
      <x:c r="E717" s="9" t="str">
        <x:v>Positiva</x:v>
      </x:c>
      <x:c r="F717" s="9" t="str">
        <x:v>Navegador + HTTP + persistencia</x:v>
      </x:c>
      <x:c r="G717" s="10" t="str">
        <x:v>Pendiente</x:v>
      </x:c>
      <x:c r="H717" s="10"/>
      <x:c r="I717" s="10"/>
      <x:c r="J717" s="10"/>
      <x:c r="K717" s="10"/>
      <x:c r="L717" s="11"/>
      <x:c r="M717" s="12"/>
      <x:c r="N717" s="10"/>
    </x:row>
    <x:row r="718" ht="25" customHeight="1">
      <x:c r="A718" s="9" t="str">
        <x:v>QA-COM-023</x:v>
      </x:c>
      <x:c r="B718" s="9" t="str">
        <x:v>COM</x:v>
      </x:c>
      <x:c r="C718" s="9" t="str">
        <x:v>Nota 07 / USD / Exento</x:v>
      </x:c>
      <x:c r="D718" s="9" t="str">
        <x:v>P1</x:v>
      </x:c>
      <x:c r="E718" s="9" t="str">
        <x:v>Positiva</x:v>
      </x:c>
      <x:c r="F718" s="9" t="str">
        <x:v>Navegador + HTTP + persistencia</x:v>
      </x:c>
      <x:c r="G718" s="10" t="str">
        <x:v>Pendiente</x:v>
      </x:c>
      <x:c r="H718" s="10"/>
      <x:c r="I718" s="10"/>
      <x:c r="J718" s="10"/>
      <x:c r="K718" s="10"/>
      <x:c r="L718" s="11"/>
      <x:c r="M718" s="12"/>
      <x:c r="N718" s="10"/>
    </x:row>
    <x:row r="719" ht="25" customHeight="1">
      <x:c r="A719" s="9" t="str">
        <x:v>QA-COM-024</x:v>
      </x:c>
      <x:c r="B719" s="9" t="str">
        <x:v>COM</x:v>
      </x:c>
      <x:c r="C719" s="9" t="str">
        <x:v>Nota 07 / USD / Mixto</x:v>
      </x:c>
      <x:c r="D719" s="9" t="str">
        <x:v>P1</x:v>
      </x:c>
      <x:c r="E719" s="9" t="str">
        <x:v>Positiva</x:v>
      </x:c>
      <x:c r="F719" s="9" t="str">
        <x:v>Navegador + HTTP + persistencia</x:v>
      </x:c>
      <x:c r="G719" s="10" t="str">
        <x:v>Pendiente</x:v>
      </x:c>
      <x:c r="H719" s="10"/>
      <x:c r="I719" s="10"/>
      <x:c r="J719" s="10"/>
      <x:c r="K719" s="10"/>
      <x:c r="L719" s="11"/>
      <x:c r="M719" s="12"/>
      <x:c r="N719" s="10"/>
    </x:row>
    <x:row r="720" ht="25" customHeight="1">
      <x:c r="A720" s="9" t="str">
        <x:v>QA-COM-025</x:v>
      </x:c>
      <x:c r="B720" s="9" t="str">
        <x:v>COM</x:v>
      </x:c>
      <x:c r="C720" s="9" t="str">
        <x:v>Nota 08 / VES / Gravado</x:v>
      </x:c>
      <x:c r="D720" s="9" t="str">
        <x:v>P1</x:v>
      </x:c>
      <x:c r="E720" s="9" t="str">
        <x:v>Positiva</x:v>
      </x:c>
      <x:c r="F720" s="9" t="str">
        <x:v>Navegador + HTTP + persistencia</x:v>
      </x:c>
      <x:c r="G720" s="10" t="str">
        <x:v>Pendiente</x:v>
      </x:c>
      <x:c r="H720" s="10"/>
      <x:c r="I720" s="10"/>
      <x:c r="J720" s="10"/>
      <x:c r="K720" s="10"/>
      <x:c r="L720" s="11"/>
      <x:c r="M720" s="12"/>
      <x:c r="N720" s="10"/>
    </x:row>
    <x:row r="721" ht="25" customHeight="1">
      <x:c r="A721" s="9" t="str">
        <x:v>QA-COM-026</x:v>
      </x:c>
      <x:c r="B721" s="9" t="str">
        <x:v>COM</x:v>
      </x:c>
      <x:c r="C721" s="9" t="str">
        <x:v>Nota 08 / VES / Exento</x:v>
      </x:c>
      <x:c r="D721" s="9" t="str">
        <x:v>P1</x:v>
      </x:c>
      <x:c r="E721" s="9" t="str">
        <x:v>Positiva</x:v>
      </x:c>
      <x:c r="F721" s="9" t="str">
        <x:v>Navegador + HTTP + persistencia</x:v>
      </x:c>
      <x:c r="G721" s="10" t="str">
        <x:v>Pendiente</x:v>
      </x:c>
      <x:c r="H721" s="10"/>
      <x:c r="I721" s="10"/>
      <x:c r="J721" s="10"/>
      <x:c r="K721" s="10"/>
      <x:c r="L721" s="11"/>
      <x:c r="M721" s="12"/>
      <x:c r="N721" s="10"/>
    </x:row>
    <x:row r="722" ht="25" customHeight="1">
      <x:c r="A722" s="9" t="str">
        <x:v>QA-COM-027</x:v>
      </x:c>
      <x:c r="B722" s="9" t="str">
        <x:v>COM</x:v>
      </x:c>
      <x:c r="C722" s="9" t="str">
        <x:v>Nota 08 / VES / Mixto</x:v>
      </x:c>
      <x:c r="D722" s="9" t="str">
        <x:v>P1</x:v>
      </x:c>
      <x:c r="E722" s="9" t="str">
        <x:v>Positiva</x:v>
      </x:c>
      <x:c r="F722" s="9" t="str">
        <x:v>Navegador + HTTP + persistencia</x:v>
      </x:c>
      <x:c r="G722" s="10" t="str">
        <x:v>Pendiente</x:v>
      </x:c>
      <x:c r="H722" s="10"/>
      <x:c r="I722" s="10"/>
      <x:c r="J722" s="10"/>
      <x:c r="K722" s="10"/>
      <x:c r="L722" s="11"/>
      <x:c r="M722" s="12"/>
      <x:c r="N722" s="10"/>
    </x:row>
    <x:row r="723" ht="25" customHeight="1">
      <x:c r="A723" s="9" t="str">
        <x:v>QA-COM-028</x:v>
      </x:c>
      <x:c r="B723" s="9" t="str">
        <x:v>COM</x:v>
      </x:c>
      <x:c r="C723" s="9" t="str">
        <x:v>Nota 08 / USD / Gravado</x:v>
      </x:c>
      <x:c r="D723" s="9" t="str">
        <x:v>P1</x:v>
      </x:c>
      <x:c r="E723" s="9" t="str">
        <x:v>Positiva</x:v>
      </x:c>
      <x:c r="F723" s="9" t="str">
        <x:v>Navegador + HTTP + persistencia</x:v>
      </x:c>
      <x:c r="G723" s="10" t="str">
        <x:v>Pendiente</x:v>
      </x:c>
      <x:c r="H723" s="10"/>
      <x:c r="I723" s="10"/>
      <x:c r="J723" s="10"/>
      <x:c r="K723" s="10"/>
      <x:c r="L723" s="11"/>
      <x:c r="M723" s="12"/>
      <x:c r="N723" s="10"/>
    </x:row>
    <x:row r="724" ht="25" customHeight="1">
      <x:c r="A724" s="9" t="str">
        <x:v>QA-COM-029</x:v>
      </x:c>
      <x:c r="B724" s="9" t="str">
        <x:v>COM</x:v>
      </x:c>
      <x:c r="C724" s="9" t="str">
        <x:v>Nota 08 / USD / Exento</x:v>
      </x:c>
      <x:c r="D724" s="9" t="str">
        <x:v>P1</x:v>
      </x:c>
      <x:c r="E724" s="9" t="str">
        <x:v>Positiva</x:v>
      </x:c>
      <x:c r="F724" s="9" t="str">
        <x:v>Navegador + HTTP + persistencia</x:v>
      </x:c>
      <x:c r="G724" s="10" t="str">
        <x:v>Pendiente</x:v>
      </x:c>
      <x:c r="H724" s="10"/>
      <x:c r="I724" s="10"/>
      <x:c r="J724" s="10"/>
      <x:c r="K724" s="10"/>
      <x:c r="L724" s="11"/>
      <x:c r="M724" s="12"/>
      <x:c r="N724" s="10"/>
    </x:row>
    <x:row r="725" ht="25" customHeight="1">
      <x:c r="A725" s="9" t="str">
        <x:v>QA-COM-030</x:v>
      </x:c>
      <x:c r="B725" s="9" t="str">
        <x:v>COM</x:v>
      </x:c>
      <x:c r="C725" s="9" t="str">
        <x:v>Nota 08 / USD / Mixto</x:v>
      </x:c>
      <x:c r="D725" s="9" t="str">
        <x:v>P1</x:v>
      </x:c>
      <x:c r="E725" s="9" t="str">
        <x:v>Positiva</x:v>
      </x:c>
      <x:c r="F725" s="9" t="str">
        <x:v>Navegador + HTTP + persistencia</x:v>
      </x:c>
      <x:c r="G725" s="10" t="str">
        <x:v>Pendiente</x:v>
      </x:c>
      <x:c r="H725" s="10"/>
      <x:c r="I725" s="10"/>
      <x:c r="J725" s="10"/>
      <x:c r="K725" s="10"/>
      <x:c r="L725" s="11"/>
      <x:c r="M725" s="12"/>
      <x:c r="N725" s="10"/>
    </x:row>
    <x:row r="726">
      <x:c r="A726"/>
      <x:c r="B726"/>
      <x:c r="C726"/>
      <x:c r="D726"/>
      <x:c r="E726"/>
      <x:c r="F726"/>
      <x:c r="G726"/>
      <x:c r="H726"/>
      <x:c r="I726"/>
      <x:c r="J726"/>
      <x:c r="K726"/>
      <x:c r="L726"/>
      <x:c r="M726"/>
      <x:c r="N726"/>
    </x:row>
  </x:sheetData>
  <x:conditionalFormatting sqref="G6:G725">
    <x:cfRule type="cellIs" dxfId="0" priority="1" operator="equal">
      <x:formula>"Aprobó"</x:formula>
    </x:cfRule>
    <x:cfRule type="cellIs" dxfId="1" priority="2" operator="equal">
      <x:formula>"Reprobó"</x:formula>
    </x:cfRule>
    <x:cfRule type="cellIs" dxfId="2" priority="3" operator="equal">
      <x:formula>"Bloqueada"</x:formula>
    </x:cfRule>
    <x:cfRule type="cellIs" dxfId="3" priority="4" operator="equal">
      <x:formula>"No aplica"</x:formula>
    </x:cfRule>
  </x:conditionalFormatting>
  <x:dataValidations count="1">
    <x:dataValidation type="list" sqref="G6:G725">
      <x:formula1>"Pendiente,Aprobó,Reprobó,Bloqueada,No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542d60d09446f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55" hidden="0" customWidth="1"/>
    <x:col min="3" max="3" width="64" hidden="0" customWidth="1"/>
    <x:col min="4" max="4" width="87" hidden="0" customWidth="1"/>
    <x:col min="5" max="5" width="92" hidden="0" customWidth="1"/>
    <x:col min="6" max="6" width="93" hidden="0" customWidth="1"/>
  </x:cols>
  <x:sheetData>
    <x:row r="1">
      <x:c r="A1" s="2"/>
      <x:c r="B1" s="2"/>
      <x:c r="C1" s="2"/>
      <x:c r="D1" s="2"/>
      <x:c r="E1" s="2"/>
      <x:c r="F1" s="2"/>
    </x:row>
    <x:row r="2" ht="27" customHeight="1">
      <x:c r="A2" s="3" t="str">
        <x:v>Especificaciones por ID de prueba</x:v>
      </x:c>
      <x:c r="B2" s="2"/>
      <x:c r="C2" s="2"/>
      <x:c r="D2" s="2"/>
      <x:c r="E2" s="2"/>
      <x:c r="F2" s="2"/>
    </x:row>
    <x:row r="3">
      <x:c r="A3" s="2" t="str">
        <x:v>Precondiciones comunes del grupo + específicas. Las variantes se ejecutan y reportan individualmente.</x:v>
      </x:c>
      <x:c r="B3" s="2"/>
      <x:c r="C3" s="2"/>
      <x:c r="D3" s="2"/>
      <x:c r="E3" s="2"/>
      <x:c r="F3" s="2"/>
    </x:row>
    <x:row r="4">
      <x:c r="A4" s="4"/>
      <x:c r="B4" s="4"/>
      <x:c r="C4" s="4"/>
      <x:c r="D4" s="4"/>
      <x:c r="E4" s="4"/>
      <x:c r="F4" s="4"/>
    </x:row>
    <x:row r="5" ht="36" customHeight="1">
      <x:c r="A5" s="8" t="str">
        <x:v>ID</x:v>
      </x:c>
      <x:c r="B5" s="8" t="str">
        <x:v>Caso</x:v>
      </x:c>
      <x:c r="C5" s="8" t="str">
        <x:v>Precondiciones y fixtures</x:v>
      </x:c>
      <x:c r="D5" s="8" t="str">
        <x:v>Pasos específicos</x:v>
      </x:c>
      <x:c r="E5" s="8" t="str">
        <x:v>Resultado esperado</x:v>
      </x:c>
      <x:c r="F5" s="8" t="str">
        <x:v>Fuente / entrada</x:v>
      </x:c>
    </x:row>
    <x:row r="6" ht="44" customHeight="1">
      <x:c r="A6" s="13" t="str">
        <x:v>QA-ENT-001</x:v>
      </x:c>
      <x:c r="B6" s="13" t="str">
        <x:v>Identificar la versión ejecutada</x:v>
      </x:c>
      <x:c r="C6" s="13" t="str">
        <x:v>Tenant QA-A digital DEMO, QA-B aislado, sucursales S 1/S 2, usuarios U-ADMIN/U-VENTA/U-SINPERMISO/U-INTEGRADOR.
Repositorio y despliegue accesibles</x:v>
      </x:c>
      <x:c r="D6" s="13" t="str">
        <x:v>1. Registrar commit, rama y cambios locales
2. Registrar URL, versión PHP, navegador, fecha Caracas y hash del manifest cargado
3. Comparar recursos del navegador con el despliegue</x:v>
      </x:c>
      <x:c r="E6" s="13" t="str">
        <x:v>Se conoce la versión de código y assets realmente probada; las discrepancias quedan documentadas antes de aceptar pruebas visuales.</x:v>
      </x:c>
      <x:c r="F6" s="13" t="str">
        <x:v>Fuentes: routes/web.php; routes/api.php; modules/*/Routes; resources/views/tenant/documents/form.blade.php
Entrada: Entorno QA y acceso al tenant</x:v>
      </x:c>
    </x:row>
    <x:row r="7" ht="44" customHeight="1">
      <x:c r="A7" s="13" t="str">
        <x:v>QA-ENT-002</x:v>
      </x:c>
      <x:c r="B7" s="13" t="str">
        <x:v>Confirmar modalidad digital y ambiente DEMO</x:v>
      </x:c>
      <x:c r="C7" s="13" t="str">
        <x:v>Tenant QA-A digital DEMO, QA-B aislado, sucursales S 1/S 2, usuarios U-ADMIN/U-VENTA/U-SINPERMISO/U-INTEGRADOR.
Usuario administrador de QA-A</x:v>
      </x:c>
      <x:c r="D7" s="13" t="str">
        <x:v>1. Abrir configuración fiscal
2. Leer modalidad y ambiente desde respuesta saneada y empresa en lectura
3. Comparar con los documentos de prueba</x:v>
      </x:c>
      <x:c r="E7" s="13" t="str">
        <x:v>Empresa digital/demo y cada factura nueva hereda estos valores del servidor. Ninguna prueba positiva usa Máquina fiscal, Forma libre ni producción.</x:v>
      </x:c>
      <x:c r="F7" s="13" t="str">
        <x:v>Fuentes: routes/web.php; routes/api.php; modules/*/Routes; resources/views/tenant/documents/form.blade.php
Entrada: Entorno QA y acceso al tenant</x:v>
      </x:c>
    </x:row>
    <x:row r="8" ht="44" customHeight="1">
      <x:c r="A8" s="13" t="str">
        <x:v>QA-ENT-003</x:v>
      </x:c>
      <x:c r="B8" s="13" t="str">
        <x:v>Verificar separación de datos QA</x:v>
      </x:c>
      <x:c r="C8" s="13" t="str">
        <x:v>Tenant QA-A digital DEMO, QA-B aislado, sucursales S 1/S 2, usuarios U-ADMIN/U-VENTA/U-SINPERMISO/U-INTEGRADOR.
Conexiones y almacenamiento identificados</x:v>
      </x:c>
      <x:c r="D8" s="13" t="str">
        <x:v>1. Identificar conexión central, conexión tenant, disco, caché y cola del entorno
2. Verificar QA-A y QA-B
3. Comprobar destinatarios de prueba y adaptadores de red</x:v>
      </x:c>
      <x:c r="E8" s="13" t="str">
        <x:v>Los datos y servicios de QA están identificados. Si el entorno no está aislado, las pruebas que mutan se registran Bloqueadas hasta disponer de él.</x:v>
      </x:c>
      <x:c r="F8" s="13" t="str">
        <x:v>Fuentes: routes/web.php; routes/api.php; modules/*/Routes; resources/views/tenant/documents/form.blade.php
Entrada: Entorno QA y acceso al tenant</x:v>
      </x:c>
    </x:row>
    <x:row r="9" ht="44" customHeight="1">
      <x:c r="A9" s="13" t="str">
        <x:v>QA-ENT-004</x:v>
      </x:c>
      <x:c r="B9" s="13" t="str">
        <x:v>Inventariar todas las opciones visibles</x:v>
      </x:c>
      <x:c r="C9" s="13" t="str">
        <x:v>Tenant QA-A digital DEMO, QA-B aislado, sucursales S 1/S 2, usuarios U-ADMIN/U-VENTA/U-SINPERMISO/U-INTEGRADOR.
Administrador y vendedor autenticados por separado</x:v>
      </x:c>
      <x:c r="D9" s="13" t="str">
        <x:v>1. Recorrer menú, Comprobantes, detalle, Opciones, POS, Garage y Finanzas
2. Registrar cada control, valor de selector y condición de visibilidad
3. Asignar a cada opción un caso existente o un QA-EXT</x:v>
      </x:c>
      <x:c r="E9" s="13" t="str">
        <x:v>Inventario con 100 % de opciones relacionadas con facturación mapeadas a casos; un botón sin caso impide declarar cobertura completa.</x:v>
      </x:c>
      <x:c r="F9" s="13" t="str">
        <x:v>Fuentes: routes/web.php; routes/api.php; modules/*/Routes; resources/views/tenant/documents/form.blade.php
Entrada: Entorno QA y acceso al tenant</x:v>
      </x:c>
    </x:row>
    <x:row r="10" ht="44" customHeight="1">
      <x:c r="A10" s="13" t="str">
        <x:v>QA-ENT-005</x:v>
      </x:c>
      <x:c r="B10" s="13" t="str">
        <x:v>Inventariar módulos y canales instalados</x:v>
      </x:c>
      <x:c r="C10" s="13" t="str">
        <x:v>Tenant QA-A digital DEMO, QA-B aislado, sucursales S 1/S 2, usuarios U-ADMIN/U-VENTA/U-SINPERMISO/U-INTEGRADOR.
Listado de módulos/plan disponible</x:v>
      </x:c>
      <x:c r="D10" s="13" t="str">
        <x:v>1. Registrar módulos habilitados y no habilitados
2. Identificar rutas activas que generan documentos
3. Comprobar cada canal contra la matriz de la guía</x:v>
      </x:c>
      <x:c r="E10" s="13" t="str">
        <x:v>La ausencia de un menú no borra un flujo existente. Un módulo soportado sin acceso se marca Bloqueado o se habilita en QA; No aplica requiere exclusión sustentada.</x:v>
      </x:c>
      <x:c r="F10" s="13" t="str">
        <x:v>Fuentes: routes/web.php; routes/api.php; modules/*/Routes; resources/views/tenant/documents/form.blade.php
Entrada: Entorno QA y acceso al tenant</x:v>
      </x:c>
    </x:row>
    <x:row r="11" ht="44" customHeight="1">
      <x:c r="A11" s="13" t="str">
        <x:v>QA-ENT-006</x:v>
      </x:c>
      <x:c r="B11" s="13" t="str">
        <x:v>Preparar caja, bancos y permisos</x:v>
      </x:c>
      <x:c r="C11" s="13" t="str">
        <x:v>Tenant QA-A digital DEMO, QA-B aislado, sucursales S 1/S 2, usuarios U-ADMIN/U-VENTA/U-SINPERMISO/U-INTEGRADOR.
S 1/S 2 y usuarios de QA creados</x:v>
      </x:c>
      <x:c r="D11" s="13" t="str">
        <x:v>1. Abrir caja de U-VENTA en S 1
2. Crear destino bancario QA y medios activos
3. Registrar saldo inicial por moneda</x:v>
      </x:c>
      <x:c r="E11" s="13" t="str">
        <x:v>Caja y banco tienen línea base verificable. Las pruebas posteriores pueden detectar entradas duplicadas y diferencias de recibido/aplicado.</x:v>
      </x:c>
      <x:c r="F11" s="13" t="str">
        <x:v>Fuentes: routes/web.php; routes/api.php; modules/*/Routes; resources/views/tenant/documents/form.blade.php
Entrada: Entorno QA y acceso al tenant</x:v>
      </x:c>
    </x:row>
    <x:row r="12" ht="44" customHeight="1">
      <x:c r="A12" s="13" t="str">
        <x:v>QA-ENT-007</x:v>
      </x:c>
      <x:c r="B12" s="13" t="str">
        <x:v>Preparar compradores domésticos</x:v>
      </x:c>
      <x:c r="C12" s="13" t="str">
        <x:v>Tenant QA-A digital DEMO, QA-B aislado, sucursales S 1/S 2, usuarios U-ADMIN/U-VENTA/U-SINPERMISO/U-INTEGRADOR.
Catálogo de identidad inicial</x:v>
      </x:c>
      <x:c r="D12" s="13" t="str">
        <x:v>1. Crear un cliente por cada 0/1/6/7/E/C/G/R con números de dígitos
2. Registrar sus IDs y contactos QA
3. Verificar elegibilidad de cada tipo</x:v>
      </x:c>
      <x:c r="E12" s="13" t="str">
        <x:v>Ocho clientes domésticos activos disponibles. Sus números y nombres visibles corresponden al catálogo; no se inventa una restricción identidad/tipo de venta.</x:v>
      </x:c>
      <x:c r="F12" s="13" t="str">
        <x:v>Fuentes: routes/web.php; routes/api.php; modules/*/Routes; resources/views/tenant/documents/form.blade.php
Entrada: Entorno QA y acceso al tenant</x:v>
      </x:c>
    </x:row>
    <x:row r="13" ht="44" customHeight="1">
      <x:c r="A13" s="13" t="str">
        <x:v>QA-ENT-008</x:v>
      </x:c>
      <x:c r="B13" s="13" t="str">
        <x:v>Preparar compradores ND y terceros</x:v>
      </x:c>
      <x:c r="C13" s="13" t="str">
        <x:v>Tenant QA-A digital DEMO, QA-B aislado, sucursales S 1/S 2, usuarios U-ADMIN/U-VENTA/U-SINPERMISO/U-INTEGRADOR.
Administrador con acceso a clientes</x:v>
      </x:c>
      <x:c r="D13" s="13" t="str">
        <x:v>1. Crear ND con país extranjero, tipo externo y número literal
2. Crear tercero VE con RIF fiscal válido de fixture, actividad y dirección
3. Registrar comprador distinto del titular</x:v>
      </x:c>
      <x:c r="E13" s="13" t="str">
        <x:v>Datos suficientes para probar exportación y terceros sin confundir ND, comprador, titular y emisor autenticado.</x:v>
      </x:c>
      <x:c r="F13" s="13" t="str">
        <x:v>Fuentes: routes/web.php; routes/api.php; modules/*/Routes; resources/views/tenant/documents/form.blade.php
Entrada: Entorno QA y acceso al tenant</x:v>
      </x:c>
    </x:row>
    <x:row r="14" ht="44" customHeight="1">
      <x:c r="A14" s="13" t="str">
        <x:v>QA-ENT-009</x:v>
      </x:c>
      <x:c r="B14" s="13" t="str">
        <x:v>Preparar productos y stock</x:v>
      </x:c>
      <x:c r="C14" s="13" t="str">
        <x:v>Tenant QA-A digital DEMO, QA-B aislado, sucursales S 1/S 2, usuarios U-ADMIN/U-VENTA/U-SINPERMISO/U-INTEGRADOR.
Almacenes QA-S 1/QA-S 2 disponibles</x:v>
      </x:c>
      <x:c r="D14" s="13" t="str">
        <x:v>1. Crear fixtures gravado, exento, servicio, variación, pack, presentación, lote y serial
2. Registrar costos, precios, stock y equivalencias HKA
3. Crear stock cero y restringido</x:v>
      </x:c>
      <x:c r="E14" s="13" t="str">
        <x:v>Cada fixture conserva un ID estable y saldo inicial. El producto padre variable se distingue de sus variaciones vendibles.</x:v>
      </x:c>
      <x:c r="F14" s="13" t="str">
        <x:v>Fuentes: routes/web.php; routes/api.php; modules/*/Routes; resources/views/tenant/documents/form.blade.php
Entrada: Entorno QA y acceso al tenant</x:v>
      </x:c>
    </x:row>
    <x:row r="15" ht="56" customHeight="1">
      <x:c r="A15" s="13" t="str">
        <x:v>QA-ENT-010</x:v>
      </x:c>
      <x:c r="B15" s="13" t="str">
        <x:v>Preparar estados fiscales controlados</x:v>
      </x:c>
      <x:c r="C15" s="13" t="str">
        <x:v>Tenant QA-A digital DEMO, QA-B aislado, sucursales S 1/S 2, usuarios U-ADMIN/U-VENTA/U-SINPERMISO/U-INTEGRADOR.
Proveedor simulado sin salida real</x:v>
      </x:c>
      <x:c r="D15" s="13" t="str">
        <x:v>1. Crear fixtures not_requested / prepared / pending / confirmed / rejected / uncertain / cancelled
2. Crear uncertain con y sin ausencia acreditada
3. Anotar control, UUID y antigüedad de intento</x:v>
      </x:c>
      <x:c r="E15" s="13" t="str">
        <x:v>Estados reproducibles creados sólo en QA. Ningún control simulado se usa para acreditar emisión real.</x:v>
      </x:c>
      <x:c r="F15" s="13" t="str">
        <x:v>Fuentes: routes/web.php; routes/api.php; modules/*/Routes; resources/views/tenant/documents/form.blade.php
Entrada: Entorno QA y acceso al tenant</x:v>
      </x:c>
    </x:row>
    <x:row r="16" ht="44" customHeight="1">
      <x:c r="A16" s="13" t="str">
        <x:v>QA-ENT-011</x:v>
      </x:c>
      <x:c r="B16" s="13" t="str">
        <x:v>Preparar fallos y evidencias</x:v>
      </x:c>
      <x:c r="C16" s="13" t="str">
        <x:v>Tenant QA-A digital DEMO, QA-B aislado, sucursales S 1/S 2, usuarios U-ADMIN/U-VENTA/U-SINPERMISO/U-INTEGRADOR.
Herramientas de captura disponibles</x:v>
      </x:c>
      <x:c r="D16" s="13" t="str">
        <x:v>1. Configurar respuestas HKA y reloj controlado
2. Definir carpeta por corrida y caso
3. Probar captura de HTTP saneado, PDF y lecturas antes/después</x:v>
      </x:c>
      <x:c r="E16" s="13" t="str">
        <x:v>Las evidencias son recuperables por caso y no contienen claves, JWT ni datos de terceros ajenos a QA.</x:v>
      </x:c>
      <x:c r="F16" s="13" t="str">
        <x:v>Fuentes: routes/web.php; routes/api.php; modules/*/Routes; resources/views/tenant/documents/form.blade.php
Entrada: Entorno QA y acceso al tenant</x:v>
      </x:c>
    </x:row>
    <x:row r="17" ht="44" customHeight="1">
      <x:c r="A17" s="13" t="str">
        <x:v>QA-ENT-012</x:v>
      </x:c>
      <x:c r="B17" s="13" t="str">
        <x:v>Comprobar el registro de ejecución</x:v>
      </x:c>
      <x:c r="C17" s="13" t="str">
        <x:v>Tenant QA-A digital DEMO, QA-B aislado, sucursales S 1/S 2, usuarios U-ADMIN/U-VENTA/U-SINPERMISO/U-INTEGRADOR.
Libro de resultados y casos disponibles</x:v>
      </x:c>
      <x:c r="D17" s="13" t="str">
        <x:v>1. Abrir registro y localizar un caso
2. Registrar en copia desechable resultado, evidencia y defecto
3. Reabrir y comprobar que el ID conserva la asociación</x:v>
      </x:c>
      <x:c r="E17" s="13" t="str">
        <x:v>Cada prueba tiene estado editable. Ninguna fila aparece Aprobó/Reprobó antes de ejecutar; se conserva trazabilidad tras ordenar o filtrar.</x:v>
      </x:c>
      <x:c r="F17" s="13" t="str">
        <x:v>Fuentes: routes/web.php; routes/api.php; modules/*/Routes; resources/views/tenant/documents/form.blade.php
Entrada: Entorno QA y acceso al tenant</x:v>
      </x:c>
    </x:row>
    <x:row r="18" ht="44" customHeight="1">
      <x:c r="A18" s="13" t="str">
        <x:v>QA-CFG-001</x:v>
      </x:c>
      <x:c r="B18" s="13" t="str">
        <x:v>Guardar digital sin credenciales</x:v>
      </x:c>
      <x:c r="C18" s="13" t="str">
        <x:v>QA-A digital DEMO; credenciales de doble/sandbox; empresa nueva independiente para bloqueo de ambiente.
Empresa digital DEMO sin operaciones</x:v>
      </x:c>
      <x:c r="D18" s="13" t="str">
        <x:v>1. Abrir configuración
2. Seleccionar Medios digitales/DEMO dejando credenciales vacías
3. Guardar y recargar</x:v>
      </x:c>
      <x:c r="E18" s="13" t="str">
        <x:v>Configuración digital guardada y conexión pendiente; guardar no transmite factura ni asigna control.</x:v>
      </x:c>
      <x:c r="F18" s="13" t="str">
        <x:v>Fuentes: app/Services/FiscalEmissionSettings.php; app/Services/Fiscal/HkaAuthentication.php; .codex/skills/configurar-conexion-hka-pro9/SKILL.md
Entrada: GET/POST /companies/fiscal-emission; formulario fiscal del tenant</x:v>
      </x:c>
    </x:row>
    <x:row r="19" ht="44" customHeight="1">
      <x:c r="A19" s="13" t="str">
        <x:v>QA-CFG-002</x:v>
      </x:c>
      <x:c r="B19" s="13" t="str">
        <x:v>Autenticar con datos válidos</x:v>
      </x:c>
      <x:c r="C19" s="13" t="str">
        <x:v>QA-A digital DEMO; credenciales de doble/sandbox; empresa nueva independiente para bloqueo de ambiente.
Doble de Autenticacion con token y expiración válida</x:v>
      </x:c>
      <x:c r="D19" s="13" t="str">
        <x:v>1. Ingresar usuario/clave del fixture
2. Guardar/activar conexión
3. Leer estado y contador de llamadas</x:v>
      </x:c>
      <x:c r="E19" s="13" t="str">
        <x:v>Autenticación correcta registrada por ambiente; respuestas sólo muestran indicador y fecha, sin usuario, clave o token.</x:v>
      </x:c>
      <x:c r="F19" s="13" t="str">
        <x:v>Fuentes: app/Services/FiscalEmissionSettings.php; app/Services/Fiscal/HkaAuthentication.php; .codex/skills/configurar-conexion-hka-pro9/SKILL.md
Entrada: GET/POST /companies/fiscal-emission; formulario fiscal del tenant</x:v>
      </x:c>
    </x:row>
    <x:row r="20" ht="44" customHeight="1">
      <x:c r="A20" s="13" t="str">
        <x:v>QA-CFG-003</x:v>
      </x:c>
      <x:c r="B20" s="13" t="str">
        <x:v>Credenciales incorrectas</x:v>
      </x:c>
      <x:c r="C20" s="13" t="str">
        <x:v>QA-A digital DEMO; credenciales de doble/sandbox; empresa nueva independiente para bloqueo de ambiente.
Configuración válida previa y respuesta de rechazo</x:v>
      </x:c>
      <x:c r="D20" s="13" t="str">
        <x:v>1. Sustituir credenciales por fixture rechazado
2. Guardar
3. Recargar y comparar configuración anterior</x:v>
      </x:c>
      <x:c r="E20" s="13" t="str">
        <x:v>Error legible y estado previo conservado; ninguna emisión ni almacenamiento de secretos en respuesta.</x:v>
      </x:c>
      <x:c r="F20" s="13" t="str">
        <x:v>Fuentes: app/Services/FiscalEmissionSettings.php; app/Services/Fiscal/HkaAuthentication.php; .codex/skills/configurar-conexion-hka-pro9/SKILL.md
Entrada: GET/POST /companies/fiscal-emission; formulario fiscal del tenant</x:v>
      </x:c>
    </x:row>
    <x:row r="21" ht="44" customHeight="1">
      <x:c r="A21" s="13" t="str">
        <x:v>QA-CFG-004</x:v>
      </x:c>
      <x:c r="B21" s="13" t="str">
        <x:v>Autenticación incompleta</x:v>
      </x:c>
      <x:c r="C21" s="13" t="str">
        <x:v>QA-A digital DEMO; credenciales de doble/sandbox; empresa nueva independiente para bloqueo de ambiente.
Doble devuelve token ausente o expiración inválida</x:v>
      </x:c>
      <x:c r="D21" s="13" t="str">
        <x:v>1. Ejecutar por separado cada respuesta incompleta
2. Intentar guardar
3. Leer configuración y auditoría</x:v>
      </x:c>
      <x:c r="E21" s="13" t="str">
        <x:v>No se acredita conexión válida y no se reemplaza la configuración válida anterior.</x:v>
      </x:c>
      <x:c r="F21" s="13" t="str">
        <x:v>Fuentes: app/Services/FiscalEmissionSettings.php; app/Services/Fiscal/HkaAuthentication.php; .codex/skills/configurar-conexion-hka-pro9/SKILL.md
Entrada: GET/POST /companies/fiscal-emission; formulario fiscal del tenant</x:v>
      </x:c>
    </x:row>
    <x:row r="22" ht="44" customHeight="1">
      <x:c r="A22" s="13" t="str">
        <x:v>QA-CFG-005</x:v>
      </x:c>
      <x:c r="B22" s="13" t="str">
        <x:v>Timeout de autenticación</x:v>
      </x:c>
      <x:c r="C22" s="13" t="str">
        <x:v>QA-A digital DEMO; credenciales de doble/sandbox; empresa nueva independiente para bloqueo de ambiente.
Doble provoca timeout</x:v>
      </x:c>
      <x:c r="D22" s="13" t="str">
        <x:v>1. Intentar activar conexión
2. Esperar respuesta acotada
3. Comprobar estado previo y ausencia de venta</x:v>
      </x:c>
      <x:c r="E22" s="13" t="str">
        <x:v>Error saneado; no se transmite documento ni se pierde configuración.</x:v>
      </x:c>
      <x:c r="F22" s="13" t="str">
        <x:v>Fuentes: app/Services/FiscalEmissionSettings.php; app/Services/Fiscal/HkaAuthentication.php; .codex/skills/configurar-conexion-hka-pro9/SKILL.md
Entrada: GET/POST /companies/fiscal-emission; formulario fiscal del tenant</x:v>
      </x:c>
    </x:row>
    <x:row r="23" ht="44" customHeight="1">
      <x:c r="A23" s="13" t="str">
        <x:v>QA-CFG-006</x:v>
      </x:c>
      <x:c r="B23" s="13" t="str">
        <x:v>Campos vacíos conservan secreto</x:v>
      </x:c>
      <x:c r="C23" s="13" t="str">
        <x:v>QA-A digital DEMO; credenciales de doble/sandbox; empresa nueva independiente para bloqueo de ambiente.
Credenciales válidas almacenadas</x:v>
      </x:c>
      <x:c r="D23" s="13" t="str">
        <x:v>1. Abrir configuración sin revelar valores
2. Guardar otros ajustes con campos secretos vacíos
3. Autenticar con doble y comparar fingerprint interno</x:v>
      </x:c>
      <x:c r="E23" s="13" t="str">
        <x:v>El secreto continúa cifrado y no se borra por campos vacíos. Guardar ajustes ajenos no reautentica innecesariamente.</x:v>
      </x:c>
      <x:c r="F23" s="13" t="str">
        <x:v>Fuentes: app/Services/FiscalEmissionSettings.php; app/Services/Fiscal/HkaAuthentication.php; .codex/skills/configurar-conexion-hka-pro9/SKILL.md
Entrada: GET/POST /companies/fiscal-emission; formulario fiscal del tenant</x:v>
      </x:c>
    </x:row>
    <x:row r="24" ht="44" customHeight="1">
      <x:c r="A24" s="13" t="str">
        <x:v>QA-CFG-007</x:v>
      </x:c>
      <x:c r="B24" s="13" t="str">
        <x:v>Borrado explícito de credenciales</x:v>
      </x:c>
      <x:c r="C24" s="13" t="str">
        <x:v>QA-A digital DEMO; credenciales de doble/sandbox; empresa nueva independiente para bloqueo de ambiente.
Credenciales y fecha de autenticación existentes</x:v>
      </x:c>
      <x:c r="D24" s="13" t="str">
        <x:v>1. Usar acción de borrado
2. Guardar y recargar
3. Comprobar intento de emisión controlado</x:v>
      </x:c>
      <x:c r="E24" s="13" t="str">
        <x:v>Se eliminan credenciales y fecha de conexión; emisión se bloquea con motivo claro y venta local se conserva si ya fue guardada.</x:v>
      </x:c>
      <x:c r="F24" s="13" t="str">
        <x:v>Fuentes: app/Services/FiscalEmissionSettings.php; app/Services/Fiscal/HkaAuthentication.php; .codex/skills/configurar-conexion-hka-pro9/SKILL.md
Entrada: GET/POST /companies/fiscal-emission; formulario fiscal del tenant</x:v>
      </x:c>
    </x:row>
    <x:row r="25" ht="44" customHeight="1">
      <x:c r="A25" s="13" t="str">
        <x:v>QA-CFG-008</x:v>
      </x:c>
      <x:c r="B25" s="13" t="str">
        <x:v>Permisos sobre configuración fiscal</x:v>
      </x:c>
      <x:c r="C25" s="13" t="str">
        <x:v>QA-A digital DEMO; credenciales de doble/sandbox; empresa nueva independiente para bloqueo de ambiente.
U-VENTA y U-SINPERMISO</x:v>
      </x:c>
      <x:c r="D25" s="13" t="str">
        <x:v>1. Intentar consultar y guardar desde UI
2. Repetir POST directo y AJAX
3. Medir cambios y llamadas HKA</x:v>
      </x:c>
      <x:c r="E25" s="13" t="str">
        <x:v>Servidor restringe configuración al administrador; acceso denegado no guarda ni autentica.</x:v>
      </x:c>
      <x:c r="F25" s="13" t="str">
        <x:v>Fuentes: app/Services/FiscalEmissionSettings.php; app/Services/Fiscal/HkaAuthentication.php; .codex/skills/configurar-conexion-hka-pro9/SKILL.md
Entrada: GET/POST /companies/fiscal-emission; formulario fiscal del tenant</x:v>
      </x:c>
    </x:row>
    <x:row r="26" ht="44" customHeight="1">
      <x:c r="A26" s="13" t="str">
        <x:v>QA-CFG-009</x:v>
      </x:c>
      <x:c r="B26" s="13" t="str">
        <x:v>El editor general no cambia datos fiscales</x:v>
      </x:c>
      <x:c r="C26" s="13" t="str">
        <x:v>QA-A digital DEMO; credenciales de doble/sandbox; empresa nueva independiente para bloqueo de ambiente.
Empresa digital/demo</x:v>
      </x:c>
      <x:c r="D26" s="13" t="str">
        <x:v>1. Enviar fiscal_environment y credenciales al endpoint general de empresa
2. Enviar modalidad manipulada
3. Leer empresa y auditoría</x:v>
      </x:c>
      <x:c r="E26" s="13" t="str">
        <x:v>La vía general rechaza cambios fiscales; no permite saltar la validación dedicada.</x:v>
      </x:c>
      <x:c r="F26" s="13" t="str">
        <x:v>Fuentes: app/Services/FiscalEmissionSettings.php; app/Services/Fiscal/HkaAuthentication.php; .codex/skills/configurar-conexion-hka-pro9/SKILL.md
Entrada: GET/POST /companies/fiscal-emission; formulario fiscal del tenant</x:v>
      </x:c>
    </x:row>
    <x:row r="27" ht="44" customHeight="1">
      <x:c r="A27" s="13" t="str">
        <x:v>QA-CFG-010</x:v>
      </x:c>
      <x:c r="B27" s="13" t="str">
        <x:v>Ambiente bloqueado después de operar</x:v>
      </x:c>
      <x:c r="C27" s="13" t="str">
        <x:v>QA-A digital DEMO; credenciales de doble/sandbox; empresa nueva independiente para bloqueo de ambiente.
Empresa QA nueva; primera factura de prueba</x:v>
      </x:c>
      <x:c r="D27" s="13" t="str">
        <x:v>1. Registrar operación
2. Intentar cambiar demo a production
3. Eliminar sólo datos permitidos del fixture y volver a intentar</x:v>
      </x:c>
      <x:c r="E27" s="13" t="str">
        <x:v>Ambiente permanece bloqueado después de operar, aun si se eliminan movimientos; producción no se habilita sobre ese tenant.</x:v>
      </x:c>
      <x:c r="F27" s="13" t="str">
        <x:v>Fuentes: app/Services/FiscalEmissionSettings.php; app/Services/Fiscal/HkaAuthentication.php; .codex/skills/configurar-conexion-hka-pro9/SKILL.md
Entrada: GET/POST /companies/fiscal-emission; formulario fiscal del tenant</x:v>
      </x:c>
    </x:row>
    <x:row r="28" ht="44" customHeight="1">
      <x:c r="A28" s="13" t="str">
        <x:v>QA-CFG-011</x:v>
      </x:c>
      <x:c r="B28" s="13" t="str">
        <x:v>Ambiente enviado por el cliente</x:v>
      </x:c>
      <x:c r="C28" s="13" t="str">
        <x:v>QA-A digital DEMO; credenciales de doble/sandbox; empresa nueva independiente para bloqueo de ambiente.
Factura ordinaria lista para guardar</x:v>
      </x:c>
      <x:c r="D28" s="13" t="str">
        <x:v>1. Manipular payload con production o free_form
2. Guardar por web y API
3. Leer modalidad/ambiente persistidos y emisión</x:v>
      </x:c>
      <x:c r="E28" s="13" t="str">
        <x:v>El servidor usa digital/demo de la empresa; los valores del cliente no sustituyen la configuración.</x:v>
      </x:c>
      <x:c r="F28" s="13" t="str">
        <x:v>Fuentes: app/Services/FiscalEmissionSettings.php; app/Services/Fiscal/HkaAuthentication.php; .codex/skills/configurar-conexion-hka-pro9/SKILL.md
Entrada: GET/POST /companies/fiscal-emission; formulario fiscal del tenant</x:v>
      </x:c>
    </x:row>
    <x:row r="29" ht="44" customHeight="1">
      <x:c r="A29" s="13" t="str">
        <x:v>QA-CFG-012</x:v>
      </x:c>
      <x:c r="B29" s="13" t="str">
        <x:v>Auditoría fiscal sin secretos</x:v>
      </x:c>
      <x:c r="C29" s="13" t="str">
        <x:v>QA-A digital DEMO; credenciales de doble/sandbox; empresa nueva independiente para bloqueo de ambiente.
Cambio administrativo válido</x:v>
      </x:c>
      <x:c r="D29" s="13" t="str">
        <x:v>1. Modificar configuración permitida
2. Leer auditoría en QA
3. Buscar usuario/clave/token literal del fixture en respuestas y logs</x:v>
      </x:c>
      <x:c r="E29" s="13" t="str">
        <x:v>Actor y campos modificados trazables; no hay valores secretos ni JWT publicados.</x:v>
      </x:c>
      <x:c r="F29" s="13" t="str">
        <x:v>Fuentes: app/Services/FiscalEmissionSettings.php; app/Services/Fiscal/HkaAuthentication.php; .codex/skills/configurar-conexion-hka-pro9/SKILL.md
Entrada: GET/POST /companies/fiscal-emission; formulario fiscal del tenant</x:v>
      </x:c>
    </x:row>
    <x:row r="30" ht="44" customHeight="1">
      <x:c r="A30" s="13" t="str">
        <x:v>QA-CFG-013</x:v>
      </x:c>
      <x:c r="B30" s="13" t="str">
        <x:v>IGTF deshabilitado inicialmente</x:v>
      </x:c>
      <x:c r="C30" s="13" t="str">
        <x:v>QA-A digital DEMO; credenciales de doble/sandbox; empresa nueva independiente para bloqueo de ambiente.
Tenant nuevo digital/demo</x:v>
      </x:c>
      <x:c r="D30" s="13" t="str">
        <x:v>1. Leer configuración IGTF
2. Intentar pago subject con doble
3. Comprobar catálogos y estado</x:v>
      </x:c>
      <x:c r="E30" s="13" t="str">
        <x:v>IGTF inicia deshabilitado y no toma automáticamente una tasa HKA; pago subject requiere configuración explícita.</x:v>
      </x:c>
      <x:c r="F30" s="13" t="str">
        <x:v>Fuentes: app/Services/FiscalEmissionSettings.php; app/Services/Fiscal/HkaAuthentication.php; .codex/skills/configurar-conexion-hka-pro9/SKILL.md
Entrada: GET/POST /companies/fiscal-emission; formulario fiscal del tenant</x:v>
      </x:c>
    </x:row>
    <x:row r="31" ht="44" customHeight="1">
      <x:c r="A31" s="13" t="str">
        <x:v>QA-CFG-014</x:v>
      </x:c>
      <x:c r="B31" s="13" t="str">
        <x:v>Configurar IGTF operativo</x:v>
      </x:c>
      <x:c r="C31" s="13" t="str">
        <x:v>QA-A digital DEMO; credenciales de doble/sandbox; empresa nueva independiente para bloqueo de ambiente.
Administrador; tasa QA=3 %</x:v>
      </x:c>
      <x:c r="D31" s="13" t="str">
        <x:v>1. Habilitar con 3
2. Guardar y recargar
3. Leer auditoría</x:v>
      </x:c>
      <x:c r="E31" s="13" t="str">
        <x:v>Tasa operativa 3 % y actor conservados. Es un dato sintético de QA, no una afirmación de tasa legal.</x:v>
      </x:c>
      <x:c r="F31" s="13" t="str">
        <x:v>Fuentes: app/Services/FiscalEmissionSettings.php; app/Services/Fiscal/HkaAuthentication.php; .codex/skills/configurar-conexion-hka-pro9/SKILL.md
Entrada: GET/POST /companies/fiscal-emission; formulario fiscal del tenant</x:v>
      </x:c>
    </x:row>
    <x:row r="32" ht="44" customHeight="1">
      <x:c r="A32" s="13" t="str">
        <x:v>QA-CFG-015</x:v>
      </x:c>
      <x:c r="B32" s="13" t="str">
        <x:v>Rechazar IGTF sin tasa o fuera de rango</x:v>
      </x:c>
      <x:c r="C32" s="13" t="str">
        <x:v>QA-A digital DEMO; credenciales de doble/sandbox; empresa nueva independiente para bloqueo de ambiente.
Administrador y estado previo guardado</x:v>
      </x:c>
      <x:c r="D32" s="13" t="str">
        <x:v>1. Enviar habilitado sin tasa, cero, negativo y &gt;100 por separado
2. Repetir con vendedor
3. Comparar empresa antes/después</x:v>
      </x:c>
      <x:c r="E32" s="13" t="str">
        <x:v>Validación/permiso impide todos los cambios inválidos sin alterar el valor válido.</x:v>
      </x:c>
      <x:c r="F32" s="13" t="str">
        <x:v>Fuentes: app/Services/FiscalEmissionSettings.php; app/Services/Fiscal/HkaAuthentication.php; .codex/skills/configurar-conexion-hka-pro9/SKILL.md
Entrada: GET/POST /companies/fiscal-emission; formulario fiscal del tenant</x:v>
      </x:c>
    </x:row>
    <x:row r="33" ht="44" customHeight="1">
      <x:c r="A33" s="13" t="str">
        <x:v>QA-CFG-016</x:v>
      </x:c>
      <x:c r="B33" s="13" t="str">
        <x:v>Catálogos efectivos de facturación</x:v>
      </x:c>
      <x:c r="C33" s="13" t="str">
        <x:v>QA-A digital DEMO; credenciales de doble/sandbox; empresa nueva independiente para bloqueo de ambiente.
Tenant nuevo y copia QA de catálogo</x:v>
      </x:c>
      <x:c r="D33" s="13" t="str">
        <x:v>1. Leer tipos, monedas, afectaciones, unidades, pagos y motivos
2. Comparar con seed actual
3. Desactivar temporalmente una opción y recargar</x:v>
      </x:c>
      <x:c r="E33" s="13" t="str">
        <x:v>Valores iniciales y banderas documentados; una opción inactiva no puede utilizarse manipulando el backend. Restaurar sólo el fixture QA.</x:v>
      </x:c>
      <x:c r="F33" s="13" t="str">
        <x:v>Fuentes: app/Services/FiscalEmissionSettings.php; app/Services/Fiscal/HkaAuthentication.php; .codex/skills/configurar-conexion-hka-pro9/SKILL.md
Entrada: GET/POST /companies/fiscal-emission; formulario fiscal del tenant</x:v>
      </x:c>
    </x:row>
    <x:row r="34" ht="44" customHeight="1">
      <x:c r="A34" s="13" t="str">
        <x:v>QA-CFG-017</x:v>
      </x:c>
      <x:c r="B34" s="13" t="str">
        <x:v>Bloqueo de producción digital</x:v>
      </x:c>
      <x:c r="C34" s="13" t="str">
        <x:v>QA-A digital DEMO; credenciales de doble/sandbox; empresa nueva independiente para bloqueo de ambiente.
Tenant QA limpio separado en production; red simulada</x:v>
      </x:c>
      <x:c r="D34" s="13" t="str">
        <x:v>1. Intentar envío, correo y PDF HKA con fixtures
2. Contar llamadas al proveedor
3. Comprobar mensajes</x:v>
      </x:c>
      <x:c r="E34" s="13" t="str">
        <x:v>Producción permanece fuera del transporte implementado; bloqueo explícito y cero emisión/correo/descarga real. Este caso no autoriza ensayos en producción.</x:v>
      </x:c>
      <x:c r="F34" s="13" t="str">
        <x:v>Fuentes: app/Services/FiscalEmissionSettings.php; app/Services/Fiscal/HkaAuthentication.php; .codex/skills/configurar-conexion-hka-pro9/SKILL.md
Entrada: GET/POST /companies/fiscal-emission; formulario fiscal del tenant</x:v>
      </x:c>
    </x:row>
    <x:row r="35" ht="56" customHeight="1">
      <x:c r="A35" s="13" t="str">
        <x:v>QA-NUM-001</x:v>
      </x:c>
      <x:c r="B35" s="13" t="str">
        <x:v>Series iniciales del tenant digital</x:v>
      </x:c>
      <x:c r="C35" s="13" t="str">
        <x:v>S 1/S 2; series vacías y QA-FF-01; inicio 100; grupo G 1/G 2 y dos sesiones.
Tenant nuevo</x:v>
      </x:c>
      <x:c r="D35" s="13" t="str">
        <x:v>1. Leer series y configuraciones
2. Abrir selector de comprobantes
3. Comparar tipos básicos y series internas</x:v>
      </x:c>
      <x:c r="E35" s="13" t="str">
        <x:v>01/FE/07/08 tienen serie vacía inicial e inicio 1; NV 01/AI 01/AS 01/AT 01 conservan su contrato. La fila FE no habilita emisión con document_type_id=FE.</x:v>
      </x:c>
      <x:c r="F35" s="13" t="str">
        <x:v>Fuentes: app/Services/SeriesNumbering.php; app/Services/SeriesAdministration.php; app/Services/SeriesResolver.php; app/Services/Fiscal/FiscalIdentity.php; .codex/skills/mantener-numeracion-fiscal-venezuela-pro9/SKILL.md
Entrada: Sucursales → Numeración y emisión; creación de documentos</x:v>
      </x:c>
    </x:row>
    <x:row r="36" ht="56" customHeight="1">
      <x:c r="A36" s="13" t="str">
        <x:v>QA-NUM-002</x:v>
      </x:c>
      <x:c r="B36" s="13" t="str">
        <x:v>Crear serie vacía</x:v>
      </x:c>
      <x:c r="C36" s="13" t="str">
        <x:v>S 1/S 2; series vacías y QA-FF-01; inicio 100; grupo G 1/G 2 y dos sesiones.
Sin configuración vacía para tipo/sucursal del fixture</x:v>
      </x:c>
      <x:c r="D36" s="13" t="str">
        <x:v>1. Guardar omitiendo serie y repetir con null, vacío y espacios en fixtures independientes
2. Leer valor persistido
3. Abrir selector</x:v>
      </x:c>
      <x:c r="E36" s="13" t="str">
        <x:v>Se normaliza a cadena vacía; etiqueta visual vacía seleccionable sin mostrar ID, Sin serie ni marcador técnico.</x:v>
      </x:c>
      <x:c r="F36" s="13" t="str">
        <x:v>Fuentes: app/Services/SeriesNumbering.php; app/Services/SeriesAdministration.php; app/Services/SeriesResolver.php; app/Services/Fiscal/FiscalIdentity.php; .codex/skills/mantener-numeracion-fiscal-venezuela-pro9/SKILL.md
Entrada: Sucursales → Numeración y emisión; creación de documentos</x:v>
      </x:c>
    </x:row>
    <x:row r="37" ht="56" customHeight="1">
      <x:c r="A37" s="13" t="str">
        <x:v>QA-NUM-003</x:v>
      </x:c>
      <x:c r="B37" s="13" t="str">
        <x:v>Normalizar serie con guiones</x:v>
      </x:c>
      <x:c r="C37" s="13" t="str">
        <x:v>S 1/S 2; series vacías y QA-FF-01; inicio 100; grupo G 1/G 2 y dos sesiones.
Serie nueva sin usar</x:v>
      </x:c>
      <x:c r="D37" s="13" t="str">
        <x:v>1. Ingresar qa-ff-01 con espacios externos
2. Guardar
3. Crear factura y buscar referencia</x:v>
      </x:c>
      <x:c r="E37" s="13" t="str">
        <x:v>Serie persistida QA-FF-01, referencia con último guion como separador del número; guiones internos conservados.</x:v>
      </x:c>
      <x:c r="F37" s="13" t="str">
        <x:v>Fuentes: app/Services/SeriesNumbering.php; app/Services/SeriesAdministration.php; app/Services/SeriesResolver.php; app/Services/Fiscal/FiscalIdentity.php; .codex/skills/mantener-numeracion-fiscal-venezuela-pro9/SKILL.md
Entrada: Sucursales → Numeración y emisión; creación de documentos</x:v>
      </x:c>
    </x:row>
    <x:row r="38" ht="56" customHeight="1">
      <x:c r="A38" s="13" t="str">
        <x:v>QA-NUM-004</x:v>
      </x:c>
      <x:c r="B38" s="13" t="str">
        <x:v>Longitud y caracteres de serie</x:v>
      </x:c>
      <x:c r="C38" s="13" t="str">
        <x:v>S 1/S 2; series vacías y QA-FF-01; inicio 100; grupo G 1/G 2 y dos sesiones.
Configuración nueva</x:v>
      </x:c>
      <x:c r="D38" s="13" t="str">
        <x:v>1. Guardar código de 20 caracteres
2. Probar 21, espacio interno, acento, barra y símbolo por separado
3. Leer errores y filas</x:v>
      </x:c>
      <x:c r="E38" s="13" t="str">
        <x:v>20 caracteres ASCII letras/números/guiones admitidos; entradas inválidas rechazadas sin crear configuración.</x:v>
      </x:c>
      <x:c r="F38" s="13" t="str">
        <x:v>Fuentes: app/Services/SeriesNumbering.php; app/Services/SeriesAdministration.php; app/Services/SeriesResolver.php; app/Services/Fiscal/FiscalIdentity.php; .codex/skills/mantener-numeracion-fiscal-venezuela-pro9/SKILL.md
Entrada: Sucursales → Numeración y emisión; creación de documentos</x:v>
      </x:c>
    </x:row>
    <x:row r="39" ht="56" customHeight="1">
      <x:c r="A39" s="13" t="str">
        <x:v>QA-NUM-005</x:v>
      </x:c>
      <x:c r="B39" s="13" t="str">
        <x:v>Prefijo libre en tipo vigente</x:v>
      </x:c>
      <x:c r="C39" s="13" t="str">
        <x:v>S 1/S 2; series vacías y QA-FF-01; inicio 100; grupo G 1/G 2 y dos sesiones.
Tipo Factura 01</x:v>
      </x:c>
      <x:c r="D39" s="13" t="str">
        <x:v>1. Crear series BB-QA, BC-QA, BD-QA en fixtures distintos
2. Guardar factura 01 con cada una
3. Leer documento</x:v>
      </x:c>
      <x:c r="E39" s="13" t="str">
        <x:v>No se infiere Boleta del prefijo. La restricción de Boleta corresponde al tipo 03.</x:v>
      </x:c>
      <x:c r="F39" s="13" t="str">
        <x:v>Fuentes: app/Services/SeriesNumbering.php; app/Services/SeriesAdministration.php; app/Services/SeriesResolver.php; app/Services/Fiscal/FiscalIdentity.php; .codex/skills/mantener-numeracion-fiscal-venezuela-pro9/SKILL.md
Entrada: Sucursales → Numeración y emisión; creación de documentos</x:v>
      </x:c>
    </x:row>
    <x:row r="40" ht="56" customHeight="1">
      <x:c r="A40" s="13" t="str">
        <x:v>QA-NUM-006</x:v>
      </x:c>
      <x:c r="B40" s="13" t="str">
        <x:v>Inicio configurado 100</x:v>
      </x:c>
      <x:c r="C40" s="13" t="str">
        <x:v>S 1/S 2; series vacías y QA-FF-01; inicio 100; grupo G 1/G 2 y dos sesiones.
Serie nueva con inicio 100</x:v>
      </x:c>
      <x:c r="D40" s="13" t="str">
        <x:v>1. Abrir formulario y cancelar
2. Guardar primera factura
3. Guardar segunda</x:v>
      </x:c>
      <x:c r="E40" s="13" t="str">
        <x:v>Abrir no consume números; primero 100 y después 101, presentados 00000100 y 00000101.</x:v>
      </x:c>
      <x:c r="F40" s="13" t="str">
        <x:v>Fuentes: app/Services/SeriesNumbering.php; app/Services/SeriesAdministration.php; app/Services/SeriesResolver.php; app/Services/Fiscal/FiscalIdentity.php; .codex/skills/mantener-numeracion-fiscal-venezuela-pro9/SKILL.md
Entrada: Sucursales → Numeración y emisión; creación de documentos</x:v>
      </x:c>
    </x:row>
    <x:row r="41" ht="56" customHeight="1">
      <x:c r="A41" s="13" t="str">
        <x:v>QA-NUM-007</x:v>
      </x:c>
      <x:c r="B41" s="13" t="str">
        <x:v>Rollback no consume uso ni factura</x:v>
      </x:c>
      <x:c r="C41" s="13" t="str">
        <x:v>S 1/S 2; series vacías y QA-FF-01; inicio 100; grupo G 1/G 2 y dos sesiones.
Serie nueva sin usar; fallo local inyectado</x:v>
      </x:c>
      <x:c r="D41" s="13" t="str">
        <x:v>1. Guardar forzando error antes de commit
2. Leer documentos y in_use
3. Quitar fallo y guardar</x:v>
      </x:c>
      <x:c r="E41" s="13" t="str">
        <x:v>No queda factura parcial ni serie marcada en uso; siguiente guardado usa el primer número configurado.</x:v>
      </x:c>
      <x:c r="F41" s="13" t="str">
        <x:v>Fuentes: app/Services/SeriesNumbering.php; app/Services/SeriesAdministration.php; app/Services/SeriesResolver.php; app/Services/Fiscal/FiscalIdentity.php; .codex/skills/mantener-numeracion-fiscal-venezuela-pro9/SKILL.md
Entrada: Sucursales → Numeración y emisión; creación de documentos</x:v>
      </x:c>
    </x:row>
    <x:row r="42" ht="56" customHeight="1">
      <x:c r="A42" s="13" t="str">
        <x:v>QA-NUM-008</x:v>
      </x:c>
      <x:c r="B42" s="13" t="str">
        <x:v>Serie utilizada no se modifica ni elimina</x:v>
      </x:c>
      <x:c r="C42" s="13" t="str">
        <x:v>S 1/S 2; series vacías y QA-FF-01; inicio 100; grupo G 1/G 2 y dos sesiones.
Serie con documentos e in_use</x:v>
      </x:c>
      <x:c r="D42" s="13" t="str">
        <x:v>1. Intentar cambiar inicio/código/tipo y eliminar
2. Repetir por petición directa
3. Comparar configuración</x:v>
      </x:c>
      <x:c r="E42" s="13" t="str">
        <x:v>Operaciones bloqueadas aun si el fixture no tiene el flag in_use; registros existentes mantienen numeración.</x:v>
      </x:c>
      <x:c r="F42" s="13" t="str">
        <x:v>Fuentes: app/Services/SeriesNumbering.php; app/Services/SeriesAdministration.php; app/Services/SeriesResolver.php; app/Services/Fiscal/FiscalIdentity.php; .codex/skills/mantener-numeracion-fiscal-venezuela-pro9/SKILL.md
Entrada: Sucursales → Numeración y emisión; creación de documentos</x:v>
      </x:c>
    </x:row>
    <x:row r="43" ht="56" customHeight="1">
      <x:c r="A43" s="13" t="str">
        <x:v>QA-NUM-009</x:v>
      </x:c>
      <x:c r="B43" s="13" t="str">
        <x:v>Unicidad de serie vacía por sucursal y tipo</x:v>
      </x:c>
      <x:c r="C43" s="13" t="str">
        <x:v>S 1/S 2; series vacías y QA-FF-01; inicio 100; grupo G 1/G 2 y dos sesiones.
Serie vacía normal existente en S 1</x:v>
      </x:c>
      <x:c r="D43" s="13" t="str">
        <x:v>1. Crear vacía dedicada o contingencia para mismo tipo/S 1
2. Crear vacía mismo tipo en S 2
3. Crear vacía tipo distinto en S 1</x:v>
      </x:c>
      <x:c r="E43" s="13" t="str">
        <x:v>Duplicado del mismo tipo/S 1 se rechaza entre categorías; combinaciones distintas admitidas según contrato de sucursal.</x:v>
      </x:c>
      <x:c r="F43" s="13" t="str">
        <x:v>Fuentes: app/Services/SeriesNumbering.php; app/Services/SeriesAdministration.php; app/Services/SeriesResolver.php; app/Services/Fiscal/FiscalIdentity.php; .codex/skills/mantener-numeracion-fiscal-venezuela-pro9/SKILL.md
Entrada: Sucursales → Numeración y emisión; creación de documentos</x:v>
      </x:c>
    </x:row>
    <x:row r="44" ht="56" customHeight="1">
      <x:c r="A44" s="13" t="str">
        <x:v>QA-NUM-010</x:v>
      </x:c>
      <x:c r="B44" s="13" t="str">
        <x:v>Código con contenido duplicado entre sucursales</x:v>
      </x:c>
      <x:c r="C44" s="13" t="str">
        <x:v>S 1/S 2; series vacías y QA-FF-01; inicio 100; grupo G 1/G 2 y dos sesiones.
Código no vacío del tipo 01 usado en S 1</x:v>
      </x:c>
      <x:c r="D44" s="13" t="str">
        <x:v>1. Intentar el mismo código/tipo en S 2
2. Repetir concurrentemente
3. Leer filas</x:v>
      </x:c>
      <x:c r="E44" s="13" t="str">
        <x:v>Validación empresarial bajo bloqueo impide duplicidad del código con contenido por tipo. No confundir con unicidad de serie vacía.</x:v>
      </x:c>
      <x:c r="F44" s="13" t="str">
        <x:v>Fuentes: app/Services/SeriesNumbering.php; app/Services/SeriesAdministration.php; app/Services/SeriesResolver.php; app/Services/Fiscal/FiscalIdentity.php; .codex/skills/mantener-numeracion-fiscal-venezuela-pro9/SKILL.md
Entrada: Sucursales → Numeración y emisión; creación de documentos</x:v>
      </x:c>
    </x:row>
    <x:row r="45" ht="56" customHeight="1">
      <x:c r="A45" s="13" t="str">
        <x:v>QA-NUM-011</x:v>
      </x:c>
      <x:c r="B45" s="13" t="str">
        <x:v>Concurrencia del correlativo</x:v>
      </x:c>
      <x:c r="C45" s="13" t="str">
        <x:v>S 1/S 2; series vacías y QA-FF-01; inicio 100; grupo G 1/G 2 y dos sesiones.
Dos sesiones autorizadas, misma serie</x:v>
      </x:c>
      <x:c r="D45" s="13" t="str">
        <x:v>1. Enviar dos ventas distintas simultáneamente
2. Esperar ambas respuestas
3. Leer números y filas</x:v>
      </x:c>
      <x:c r="E45" s="13" t="str">
        <x:v>Dos documentos distintos con correlativos únicos y consecutivos; pagos y movimientos corresponden a cada documento.</x:v>
      </x:c>
      <x:c r="F45" s="13" t="str">
        <x:v>Fuentes: app/Services/SeriesNumbering.php; app/Services/SeriesAdministration.php; app/Services/SeriesResolver.php; app/Services/Fiscal/FiscalIdentity.php; .codex/skills/mantener-numeracion-fiscal-venezuela-pro9/SKILL.md
Entrada: Sucursales → Numeración y emisión; creación de documentos</x:v>
      </x:c>
    </x:row>
    <x:row r="46" ht="56" customHeight="1">
      <x:c r="A46" s="13" t="str">
        <x:v>QA-NUM-012</x:v>
      </x:c>
      <x:c r="B46" s="13" t="str">
        <x:v>Número explícito duplicado</x:v>
      </x:c>
      <x:c r="C46" s="13" t="str">
        <x:v>S 1/S 2; series vacías y QA-FF-01; inicio 100; grupo G 1/G 2 y dos sesiones.
Factura existente</x:v>
      </x:c>
      <x:c r="D46" s="13" t="str">
        <x:v>1. Repetir identidad sucursal/ambiente/tipo/serie/número en petición manipulada
2. Registrar respuesta
3. Comparar conteos</x:v>
      </x:c>
      <x:c r="E46" s="13" t="str">
        <x:v>Duplicado rechazado sin otra venta, pago, stock o emisión.</x:v>
      </x:c>
      <x:c r="F46" s="13" t="str">
        <x:v>Fuentes: app/Services/SeriesNumbering.php; app/Services/SeriesAdministration.php; app/Services/SeriesResolver.php; app/Services/Fiscal/FiscalIdentity.php; .codex/skills/mantener-numeracion-fiscal-venezuela-pro9/SKILL.md
Entrada: Sucursales → Numeración y emisión; creación de documentos</x:v>
      </x:c>
    </x:row>
    <x:row r="47" ht="56" customHeight="1">
      <x:c r="A47" s="13" t="str">
        <x:v>QA-NUM-013</x:v>
      </x:c>
      <x:c r="B47" s="13" t="str">
        <x:v>Grupo dedicado del dispositivo</x:v>
      </x:c>
      <x:c r="C47" s="13" t="str">
        <x:v>S 1/S 2; series vacías y QA-FF-01; inicio 100; grupo G 1/G 2 y dos sesiones.
G 1 con serie D 1 y equipo vinculado</x:v>
      </x:c>
      <x:c r="D47" s="13" t="str">
        <x:v>1. Abrir formulario con equipo G 1
2. Cambiar cliente y recargar
3. Intentar series G 2/no autorizadas por POST</x:v>
      </x:c>
      <x:c r="E47" s="13" t="str">
        <x:v>Sólo series autorizadas para G 1. ID/cookie manipulados no autorizan otra sucursal o grupo.</x:v>
      </x:c>
      <x:c r="F47" s="13" t="str">
        <x:v>Fuentes: app/Services/SeriesNumbering.php; app/Services/SeriesAdministration.php; app/Services/SeriesResolver.php; app/Services/Fiscal/FiscalIdentity.php; .codex/skills/mantener-numeracion-fiscal-venezuela-pro9/SKILL.md
Entrada: Sucursales → Numeración y emisión; creación de documentos</x:v>
      </x:c>
    </x:row>
    <x:row r="48" ht="56" customHeight="1">
      <x:c r="A48" s="13" t="str">
        <x:v>QA-NUM-014</x:v>
      </x:c>
      <x:c r="B48" s="13" t="str">
        <x:v>Equipo sin grupo</x:v>
      </x:c>
      <x:c r="C48" s="13" t="str">
        <x:v>S 1/S 2; series vacías y QA-FF-01; inicio 100; grupo G 1/G 2 y dos sesiones.
Series normales y dedicadas</x:v>
      </x:c>
      <x:c r="D48" s="13" t="str">
        <x:v>1. Abrir desde sesión sin vínculo
2. Listar series
3. Intentar dedicada por petición directa</x:v>
      </x:c>
      <x:c r="E48" s="13" t="str">
        <x:v>Resolver permite sólo series no dedicadas al equipo sin grupo; selección no autorizada se rechaza.</x:v>
      </x:c>
      <x:c r="F48" s="13" t="str">
        <x:v>Fuentes: app/Services/SeriesNumbering.php; app/Services/SeriesAdministration.php; app/Services/SeriesResolver.php; app/Services/Fiscal/FiscalIdentity.php; .codex/skills/mantener-numeracion-fiscal-venezuela-pro9/SKILL.md
Entrada: Sucursales → Numeración y emisión; creación de documentos</x:v>
      </x:c>
    </x:row>
    <x:row r="49" ht="56" customHeight="1">
      <x:c r="A49" s="13" t="str">
        <x:v>QA-NUM-015</x:v>
      </x:c>
      <x:c r="B49" s="13" t="str">
        <x:v>Desvincular y recuperar equipo</x:v>
      </x:c>
      <x:c r="C49" s="13" t="str">
        <x:v>S 1/S 2; series vacías y QA-FF-01; inicio 100; grupo G 1/G 2 y dos sesiones.
Equipo QA vinculado</x:v>
      </x:c>
      <x:c r="D49" s="13" t="str">
        <x:v>1. Usar perfil y administración para desvincular
2. Recuperar vínculo autorizado
3. Reabrir ventas y reportes</x:v>
      </x:c>
      <x:c r="E49" s="13" t="str">
        <x:v>Vínculo actualizado sin apropiarse de otro grupo; reportes no quedan filtrados por grupo de dispositivo.</x:v>
      </x:c>
      <x:c r="F49" s="13" t="str">
        <x:v>Fuentes: app/Services/SeriesNumbering.php; app/Services/SeriesAdministration.php; app/Services/SeriesResolver.php; app/Services/Fiscal/FiscalIdentity.php; .codex/skills/mantener-numeracion-fiscal-venezuela-pro9/SKILL.md
Entrada: Sucursales → Numeración y emisión; creación de documentos</x:v>
      </x:c>
    </x:row>
    <x:row r="50" ht="56" customHeight="1">
      <x:c r="A50" s="13" t="str">
        <x:v>QA-NUM-016</x:v>
      </x:c>
      <x:c r="B50" s="13" t="str">
        <x:v>Todas las pestañas de numeración</x:v>
      </x:c>
      <x:c r="C50" s="13" t="str">
        <x:v>S 1/S 2; series vacías y QA-FF-01; inicio 100; grupo G 1/G 2 y dos sesiones.
Administrador digital</x:v>
      </x:c>
      <x:c r="D50" s="13" t="str">
        <x:v>1. Recorrer Todos/Básico/Avanzado/Interno/Dedicado/Contingencia
2. Abrir Nuevo, Cancelar, Guardar y popup Número con foco/clic/hover
3. Comprobar red</x:v>
      </x:c>
      <x:c r="E50" s="13" t="str">
        <x:v>Opciones y filtros coherentes; Número representa inicio; guardar series no llama a HKA ni ofrece perfiles/reservas fiscales.</x:v>
      </x:c>
      <x:c r="F50" s="13" t="str">
        <x:v>Fuentes: app/Services/SeriesNumbering.php; app/Services/SeriesAdministration.php; app/Services/SeriesResolver.php; app/Services/Fiscal/FiscalIdentity.php; .codex/skills/mantener-numeracion-fiscal-venezuela-pro9/SKILL.md
Entrada: Sucursales → Numeración y emisión; creación de documentos</x:v>
      </x:c>
    </x:row>
    <x:row r="51" ht="56" customHeight="1">
      <x:c r="A51" s="13" t="str">
        <x:v>QA-NUM-017</x:v>
      </x:c>
      <x:c r="B51" s="13" t="str">
        <x:v>Permiso de administrar series</x:v>
      </x:c>
      <x:c r="C51" s="13" t="str">
        <x:v>S 1/S 2; series vacías y QA-FF-01; inicio 100; grupo G 1/G 2 y dos sesiones.
Vendedor sin administración</x:v>
      </x:c>
      <x:c r="D51" s="13" t="str">
        <x:v>1. Intentar crear serie, grupo, vínculo y cambiar correlativo por UI/HTTP
2. Leer base
3. Contar efectos</x:v>
      </x:c>
      <x:c r="E51" s="13" t="str">
        <x:v>Administración restringida en servidor; ningún cambio por acceso directo.</x:v>
      </x:c>
      <x:c r="F51" s="13" t="str">
        <x:v>Fuentes: app/Services/SeriesNumbering.php; app/Services/SeriesAdministration.php; app/Services/SeriesResolver.php; app/Services/Fiscal/FiscalIdentity.php; .codex/skills/mantener-numeracion-fiscal-venezuela-pro9/SKILL.md
Entrada: Sucursales → Numeración y emisión; creación de documentos</x:v>
      </x:c>
    </x:row>
    <x:row r="52" ht="56" customHeight="1">
      <x:c r="A52" s="13" t="str">
        <x:v>QA-NUM-018</x:v>
      </x:c>
      <x:c r="B52" s="13" t="str">
        <x:v>Ocho dígitos y números largos</x:v>
      </x:c>
      <x:c r="C52" s="13" t="str">
        <x:v>S 1/S 2; series vacías y QA-FF-01; inicio 100; grupo G 1/G 2 y dos sesiones.
Fixtures número 25 y &gt;8 dígitos</x:v>
      </x:c>
      <x:c r="D52" s="13" t="str">
        <x:v>1. Consultar listado, detalle, nota, reporte y nombres
2. Comparar número persistido y payload
3. Leer con y sin serie</x:v>
      </x:c>
      <x:c r="E52" s="13" t="str">
        <x:v>Mínimo ocho dígitos sin truncar largos; número fiscal persistido y HKA conservan original 25, sin relleno usado como nueva identidad.</x:v>
      </x:c>
      <x:c r="F52" s="13" t="str">
        <x:v>Fuentes: app/Services/SeriesNumbering.php; app/Services/SeriesAdministration.php; app/Services/SeriesResolver.php; app/Services/Fiscal/FiscalIdentity.php; .codex/skills/mantener-numeracion-fiscal-venezuela-pro9/SKILL.md
Entrada: Sucursales → Numeración y emisión; creación de documentos</x:v>
      </x:c>
    </x:row>
    <x:row r="53" ht="56" customHeight="1">
      <x:c r="A53" s="13" t="str">
        <x:v>QA-NUM-019</x:v>
      </x:c>
      <x:c r="B53" s="13" t="str">
        <x:v>Dos sucursales sin serie y mismo número</x:v>
      </x:c>
      <x:c r="C53" s="13" t="str">
        <x:v>S 1/S 2; series vacías y QA-FF-01; inicio 100; grupo G 1/G 2 y dos sesiones.
Fixtures locales S 1/S 2 con número 25</x:v>
      </x:c>
      <x:c r="D53" s="13" t="str">
        <x:v>1. Buscar sin indicar sucursal
2. Consultar con sucursal autorizada
3. Intentar enviar HKA en simulación</x:v>
      </x:c>
      <x:c r="E53" s="13" t="str">
        <x:v>Consultas ambiguas exigen alcance; identidad remota serie/número duplicada se bloquea explícitamente. No se cambia la serie ni se inventa control.</x:v>
      </x:c>
      <x:c r="F53" s="13" t="str">
        <x:v>Fuentes: app/Services/SeriesNumbering.php; app/Services/SeriesAdministration.php; app/Services/SeriesResolver.php; app/Services/Fiscal/FiscalIdentity.php; .codex/skills/mantener-numeracion-fiscal-venezuela-pro9/SKILL.md
Entrada: Sucursales → Numeración y emisión; creación de documentos</x:v>
      </x:c>
    </x:row>
    <x:row r="54" ht="56" customHeight="1">
      <x:c r="A54" s="13" t="str">
        <x:v>QA-NUM-020</x:v>
      </x:c>
      <x:c r="B54" s="13" t="str">
        <x:v>Filtro de serie vacía</x:v>
      </x:c>
      <x:c r="C54" s="13" t="str">
        <x:v>S 1/S 2; series vacías y QA-FF-01; inicio 100; grupo G 1/G 2 y dos sesiones.
Listado con series vacías y con contenido</x:v>
      </x:c>
      <x:c r="D54" s="13" t="str">
        <x:v>1. Filtrar exclusivamente vacía
2. Limpiar filtro
3. Inspeccionar request</x:v>
      </x:c>
      <x:c r="E54" s="13" t="str">
        <x:v>Marcador __without_series__ sólo filtra; vacío/null limpia; marcador no se persiste ni aparece en nombre/payload.</x:v>
      </x:c>
      <x:c r="F54" s="13" t="str">
        <x:v>Fuentes: app/Services/SeriesNumbering.php; app/Services/SeriesAdministration.php; app/Services/SeriesResolver.php; app/Services/Fiscal/FiscalIdentity.php; .codex/skills/mantener-numeracion-fiscal-venezuela-pro9/SKILL.md
Entrada: Sucursales → Numeración y emisión; creación de documentos</x:v>
      </x:c>
    </x:row>
    <x:row r="55" ht="56" customHeight="1">
      <x:c r="A55" s="13" t="str">
        <x:v>QA-NUM-021</x:v>
      </x:c>
      <x:c r="B55" s="13" t="str">
        <x:v>Número de control independiente</x:v>
      </x:c>
      <x:c r="C55" s="13" t="str">
        <x:v>S 1/S 2; series vacías y QA-FF-01; inicio 100; grupo G 1/G 2 y dos sesiones.
Factura confirmada con control de prefijo/ceros</x:v>
      </x:c>
      <x:c r="D55" s="13" t="str">
        <x:v>1. Leer control y número en todas las vistas
2. Enviar control_number /issuer por endpoint comercial
3. Comprobar documento</x:v>
      </x:c>
      <x:c r="E55" s="13" t="str">
        <x:v>Control íntegro e independiente; request comercial no lo asigna. Número, serie y control no se sustituyen entre sí.</x:v>
      </x:c>
      <x:c r="F55" s="13" t="str">
        <x:v>Fuentes: app/Services/SeriesNumbering.php; app/Services/SeriesAdministration.php; app/Services/SeriesResolver.php; app/Services/Fiscal/FiscalIdentity.php; .codex/skills/mantener-numeracion-fiscal-venezuela-pro9/SKILL.md
Entrada: Sucursales → Numeración y emisión; creación de documentos</x:v>
      </x:c>
    </x:row>
    <x:row r="56" ht="56" customHeight="1">
      <x:c r="A56" s="13" t="str">
        <x:v>QA-CLI-001</x:v>
      </x:c>
      <x:c r="B56" s="13" t="str">
        <x:v>Buscar por nombre y número</x:v>
      </x:c>
      <x:c r="C56" s="13" t="str">
        <x:v>Ocho clientes domésticos, ND, inactivo, contactos largos, dos direcciones y tercero.
Compradores con prefijos visibles</x:v>
      </x:c>
      <x:c r="D56" s="13" t="str">
        <x:v>1. Buscar nombre parcial
2. Buscar número crudo y presentación prefijada
3. Seleccionar y guardar factura</x:v>
      </x:c>
      <x:c r="E56" s="13" t="str">
        <x:v>Se selecciona el ID correcto, sin mezclar tipo/número con otro cliente; snapshot coincide con la selección.</x:v>
      </x:c>
      <x:c r="F56" s="13" t="str">
        <x:v>Fuentes: app/Services/SalesCustomerIdentityPolicy.php; resources/js/views/tenant/persons/form.vue; resources/js/views/tenant/documents/_document_form_fields_catalog.js; .codex/skills/gestionar-clientes-venezuela/SKILL.md
Entrada: Cliente y Dirección del formulario /documents/create</x:v>
      </x:c>
    </x:row>
    <x:row r="57" ht="56" customHeight="1">
      <x:c r="A57" s="13" t="str">
        <x:v>QA-CLI-002</x:v>
      </x:c>
      <x:c r="B57" s="13" t="str">
        <x:v>Crear comprador desde formulario</x:v>
      </x:c>
      <x:c r="C57" s="13" t="str">
        <x:v>Ocho clientes domésticos, ND, inactivo, contactos largos, dos direcciones y tercero.
Factura en borrador</x:v>
      </x:c>
      <x:c r="D57" s="13" t="str">
        <x:v>1. Abrir Nuevo cliente
2. Guardar datos válidos domésticos
3. Volver al borrador y seleccionar</x:v>
      </x:c>
      <x:c r="E57" s="13" t="str">
        <x:v>Cliente nuevo aparece seleccionado una vez y conserva borrador, serie, artículos y pagos.</x:v>
      </x:c>
      <x:c r="F57" s="13" t="str">
        <x:v>Fuentes: app/Services/SalesCustomerIdentityPolicy.php; resources/js/views/tenant/persons/form.vue; resources/js/views/tenant/documents/_document_form_fields_catalog.js; .codex/skills/gestionar-clientes-venezuela/SKILL.md
Entrada: Cliente y Dirección del formulario /documents/create</x:v>
      </x:c>
    </x:row>
    <x:row r="58" ht="56" customHeight="1">
      <x:c r="A58" s="13" t="str">
        <x:v>QA-CLI-003</x:v>
      </x:c>
      <x:c r="B58" s="13" t="str">
        <x:v>Editar comprador y cancelar</x:v>
      </x:c>
      <x:c r="C58" s="13" t="str">
        <x:v>Ocho clientes domésticos, ND, inactivo, contactos largos, dos direcciones y tercero.
Cliente seleccionado y factura borrador</x:v>
      </x:c>
      <x:c r="D58" s="13" t="str">
        <x:v>1. Abrir editar
2. Modificar contacto y cancelar
3. Reabrir y guardar cambio válido</x:v>
      </x:c>
      <x:c r="E58" s="13" t="str">
        <x:v>Cancelar no modifica datos; guardar actualiza selección y snapshot al registrar la factura.</x:v>
      </x:c>
      <x:c r="F58" s="13" t="str">
        <x:v>Fuentes: app/Services/SalesCustomerIdentityPolicy.php; resources/js/views/tenant/persons/form.vue; resources/js/views/tenant/documents/_document_form_fields_catalog.js; .codex/skills/gestionar-clientes-venezuela/SKILL.md
Entrada: Cliente y Dirección del formulario /documents/create</x:v>
      </x:c>
    </x:row>
    <x:row r="59" ht="56" customHeight="1">
      <x:c r="A59" s="13" t="str">
        <x:v>QA-CLI-004</x:v>
      </x:c>
      <x:c r="B59" s="13" t="str">
        <x:v>Cambiar comprador con varias direcciones</x:v>
      </x:c>
      <x:c r="C59" s="13" t="str">
        <x:v>Ocho clientes domésticos, ND, inactivo, contactos largos, dos direcciones y tercero.
Dos clientes y direcciones A 1/B 1</x:v>
      </x:c>
      <x:c r="D59" s="13" t="str">
        <x:v>1. Seleccionar A y dirección A 1
2. Cambiar a B
3. Intentar enviar A 1 como dirección de B</x:v>
      </x:c>
      <x:c r="E59" s="13" t="str">
        <x:v>Dirección corresponde al comprador actual; no queda una dirección del cliente previo ni se acepta ID ajeno.</x:v>
      </x:c>
      <x:c r="F59" s="13" t="str">
        <x:v>Fuentes: app/Services/SalesCustomerIdentityPolicy.php; resources/js/views/tenant/persons/form.vue; resources/js/views/tenant/documents/_document_form_fields_catalog.js; .codex/skills/gestionar-clientes-venezuela/SKILL.md
Entrada: Cliente y Dirección del formulario /documents/create</x:v>
      </x:c>
    </x:row>
    <x:row r="60" ht="56" customHeight="1">
      <x:c r="A60" s="13" t="str">
        <x:v>QA-CLI-005</x:v>
      </x:c>
      <x:c r="B60" s="13" t="str">
        <x:v>Clientes de identidad desactivada</x:v>
      </x:c>
      <x:c r="C60" s="13" t="str">
        <x:v>Ocho clientes domésticos, ND, inactivo, contactos largos, dos direcciones y tercero.
Tipo doméstico del fixture marcado inactivo</x:v>
      </x:c>
      <x:c r="D60" s="13" t="str">
        <x:v>1. Recargar buscadores
2. Intentar ID precargado desde conversión
3. Enviar ID directamente por web/API</x:v>
      </x:c>
      <x:c r="E60" s="13" t="str">
        <x:v>Excluido y rechazado antes de venta, pagos, inventario o HKA. Restaurar catálogo QA al terminar.</x:v>
      </x:c>
      <x:c r="F60" s="13" t="str">
        <x:v>Fuentes: app/Services/SalesCustomerIdentityPolicy.php; resources/js/views/tenant/persons/form.vue; resources/js/views/tenant/documents/_document_form_fields_catalog.js; .codex/skills/gestionar-clientes-venezuela/SKILL.md
Entrada: Cliente y Dirección del formulario /documents/create</x:v>
      </x:c>
    </x:row>
    <x:row r="61" ht="56" customHeight="1">
      <x:c r="A61" s="13" t="str">
        <x:v>QA-CLI-006</x:v>
      </x:c>
      <x:c r="B61" s="13" t="str">
        <x:v>ND excluido de venta interna</x:v>
      </x:c>
      <x:c r="C61" s="13" t="str">
        <x:v>Ocho clientes domésticos, ND, inactivo, contactos largos, dos direcciones y tercero.
ND activo y comprador doméstico</x:v>
      </x:c>
      <x:c r="D61" s="13" t="str">
        <x:v>1. Elegir operación 0101
2. Buscar ND
3. Enviar su ID por petición manipulada</x:v>
      </x:c>
      <x:c r="E61" s="13" t="str">
        <x:v>ND no es comprador de venta interna; servidor rechaza sin efectos. Sigue disponible exclusivamente en exportación soportada.</x:v>
      </x:c>
      <x:c r="F61" s="13" t="str">
        <x:v>Fuentes: app/Services/SalesCustomerIdentityPolicy.php; resources/js/views/tenant/persons/form.vue; resources/js/views/tenant/documents/_document_form_fields_catalog.js; .codex/skills/gestionar-clientes-venezuela/SKILL.md
Entrada: Cliente y Dirección del formulario /documents/create</x:v>
      </x:c>
    </x:row>
    <x:row r="62" ht="56" customHeight="1">
      <x:c r="A62" s="13" t="str">
        <x:v>QA-CLI-007</x:v>
      </x:c>
      <x:c r="B62" s="13" t="str">
        <x:v>Identidad sin letras en número doméstico</x:v>
      </x:c>
      <x:c r="C62" s="13" t="str">
        <x:v>Ocho clientes domésticos, ND, inactivo, contactos largos, dos direcciones y tercero.
Formulario de cliente</x:v>
      </x:c>
      <x:c r="D62" s="13" t="str">
        <x:v>1. Probar número de dígitos
2. Probar J-123456789, puntos, espacios y letras
3. Leer persistencia y presentación</x:v>
      </x:c>
      <x:c r="E62" s="13" t="str">
        <x:v>Número doméstico conserva dígitos; entradas de formato inválido rechazadas; presentación añade sólo el prefijo del tipo.</x:v>
      </x:c>
      <x:c r="F62" s="13" t="str">
        <x:v>Fuentes: app/Services/SalesCustomerIdentityPolicy.php; resources/js/views/tenant/persons/form.vue; resources/js/views/tenant/documents/_document_form_fields_catalog.js; .codex/skills/gestionar-clientes-venezuela/SKILL.md
Entrada: Cliente y Dirección del formulario /documents/create</x:v>
      </x:c>
    </x:row>
    <x:row r="63" ht="56" customHeight="1">
      <x:c r="A63" s="13" t="str">
        <x:v>QA-CLI-008</x:v>
      </x:c>
      <x:c r="B63" s="13" t="str">
        <x:v>Extranjero y pasaporte sin territorio VE</x:v>
      </x:c>
      <x:c r="C63" s="13" t="str">
        <x:v>Ocho clientes domésticos, ND, inactivo, contactos largos, dos direcciones y tercero.
Cliente E y 7</x:v>
      </x:c>
      <x:c r="D63" s="13" t="str">
        <x:v>1. Crear ambos sin Estado/Municipio/Parroquia
2. Enviar territorio manipulado en persona y direcciones
3. Editar y leer datos</x:v>
      </x:c>
      <x:c r="E63" s="13" t="str">
        <x:v>Controles ocultos y campos territoriales limpiados en servidor; nacionalidad extranjera sólo requerida en E.</x:v>
      </x:c>
      <x:c r="F63" s="13" t="str">
        <x:v>Fuentes: app/Services/SalesCustomerIdentityPolicy.php; resources/js/views/tenant/persons/form.vue; resources/js/views/tenant/documents/_document_form_fields_catalog.js; .codex/skills/gestionar-clientes-venezuela/SKILL.md
Entrada: Cliente y Dirección del formulario /documents/create</x:v>
      </x:c>
    </x:row>
    <x:row r="64" ht="56" customHeight="1">
      <x:c r="A64" s="13" t="str">
        <x:v>QA-CLI-009</x:v>
      </x:c>
      <x:c r="B64" s="13" t="str">
        <x:v>Formato de identidad en documentos</x:v>
      </x:c>
      <x:c r="C64" s="13" t="str">
        <x:v>Ocho clientes domésticos, ND, inactivo, contactos largos, dos direcciones y tercero.
Clientes 0/1/6/7/E/C/G/R</x:v>
      </x:c>
      <x:c r="D64" s="13" t="str">
        <x:v>1. Registrar y consultar factura de cada uno mediante matriz
2. Revisar listado, detalle, PDF local/ticket y reporte
3. Comparar campo crudo</x:v>
      </x:c>
      <x:c r="E64" s="13" t="str">
        <x:v>Etiquetas sin letra redundante; números V/J/P/E/C/G/R según tipo y Doc.sin.rif sin prefijo. ND conserva número literal.</x:v>
      </x:c>
      <x:c r="F64" s="13" t="str">
        <x:v>Fuentes: app/Services/SalesCustomerIdentityPolicy.php; resources/js/views/tenant/persons/form.vue; resources/js/views/tenant/documents/_document_form_fields_catalog.js; .codex/skills/gestionar-clientes-venezuela/SKILL.md
Entrada: Cliente y Dirección del formulario /documents/create</x:v>
      </x:c>
    </x:row>
    <x:row r="65" ht="56" customHeight="1">
      <x:c r="A65" s="13" t="str">
        <x:v>QA-CLI-010</x:v>
      </x:c>
      <x:c r="B65" s="13" t="str">
        <x:v>Cliente sin contacto</x:v>
      </x:c>
      <x:c r="C65" s="13" t="str">
        <x:v>Ocho clientes domésticos, ND, inactivo, contactos largos, dos direcciones y tercero.
Comprador sin email/teléfono</x:v>
      </x:c>
      <x:c r="D65" s="13" t="str">
        <x:v>1. Crear factura con envío automático configurado
2. Preparar por doble
3. Leer intención de correo y payload</x:v>
      </x:c>
      <x:c r="E65" s="13" t="str">
        <x:v>No se inventan contactos; payload omite campos vacíos y correo automático skipped si no hay correo válido. Registro comercial no depende de inventar contacto.</x:v>
      </x:c>
      <x:c r="F65" s="13" t="str">
        <x:v>Fuentes: app/Services/SalesCustomerIdentityPolicy.php; resources/js/views/tenant/persons/form.vue; resources/js/views/tenant/documents/_document_form_fields_catalog.js; .codex/skills/gestionar-clientes-venezuela/SKILL.md
Entrada: Cliente y Dirección del formulario /documents/create</x:v>
      </x:c>
    </x:row>
    <x:row r="66" ht="56" customHeight="1">
      <x:c r="A66" s="13" t="str">
        <x:v>QA-CLI-011</x:v>
      </x:c>
      <x:c r="B66" s="13" t="str">
        <x:v>Snapshot del comprador</x:v>
      </x:c>
      <x:c r="C66" s="13" t="str">
        <x:v>Ocho clientes domésticos, ND, inactivo, contactos largos, dos direcciones y tercero.
Factura guardada/preparada</x:v>
      </x:c>
      <x:c r="D66" s="13" t="str">
        <x:v>1. Cambiar ficha del cliente en QA
2. Reimprimir/leer payload congelado
3. Guardar edición autorizada explícita de la factura</x:v>
      </x:c>
      <x:c r="E66" s="13" t="str">
        <x:v>Ficha no cambia el histórico; edición autorizada renueva snapshot y sigue las reglas de invalidación; factura confirmada no se edita.</x:v>
      </x:c>
      <x:c r="F66" s="13" t="str">
        <x:v>Fuentes: app/Services/SalesCustomerIdentityPolicy.php; resources/js/views/tenant/persons/form.vue; resources/js/views/tenant/documents/_document_form_fields_catalog.js; .codex/skills/gestionar-clientes-venezuela/SKILL.md
Entrada: Cliente y Dirección del formulario /documents/create</x:v>
      </x:c>
    </x:row>
    <x:row r="67" ht="56" customHeight="1">
      <x:c r="A67" s="13" t="str">
        <x:v>QA-CLI-012</x:v>
      </x:c>
      <x:c r="B67" s="13" t="str">
        <x:v>Vendedor y asignación de clientes</x:v>
      </x:c>
      <x:c r="C67" s="13" t="str">
        <x:v>Ocho clientes domésticos, ND, inactivo, contactos largos, dos direcciones y tercero.
Usuario con filtro de clientes por vendedor</x:v>
      </x:c>
      <x:c r="D67" s="13" t="str">
        <x:v>1. Buscar comprador propio y ajeno
2. Intentar comprador/tercero ajeno por request
3. Leer asociación vendedor de venta</x:v>
      </x:c>
      <x:c r="E67" s="13" t="str">
        <x:v>Se aplica el alcance real de usuario; un selector filtrado no es la única barrera. Toda diferencia con el permiso configurado queda como defecto.</x:v>
      </x:c>
      <x:c r="F67" s="13" t="str">
        <x:v>Fuentes: app/Services/SalesCustomerIdentityPolicy.php; resources/js/views/tenant/persons/form.vue; resources/js/views/tenant/documents/_document_form_fields_catalog.js; .codex/skills/gestionar-clientes-venezuela/SKILL.md
Entrada: Cliente y Dirección del formulario /documents/create</x:v>
      </x:c>
    </x:row>
    <x:row r="68" ht="56" customHeight="1">
      <x:c r="A68" s="13" t="str">
        <x:v>QA-CLI-013</x:v>
      </x:c>
      <x:c r="B68" s="13" t="str">
        <x:v>Fecha de emisión y vencimiento</x:v>
      </x:c>
      <x:c r="C68" s="13" t="str">
        <x:v>Ocho clientes domésticos, ND, inactivo, contactos largos, dos direcciones y tercero.
Factura ordinaria</x:v>
      </x:c>
      <x:c r="D68" s="13" t="str">
        <x:v>1. Guardar fecha actual y vencimiento válido
2. Probar vacío, texto inválido y vencimiento anterior por separado
3. Consultar reporte por fecha Caracas</x:v>
      </x:c>
      <x:c r="E68" s="13" t="str">
        <x:v>Fechas válidas persistidas y presentadas coherentes; inválidas no producen documentos parciales. Registrar como defecto si un valor inválido atraviesa el backend.</x:v>
      </x:c>
      <x:c r="F68" s="13" t="str">
        <x:v>Fuentes: app/Services/SalesCustomerIdentityPolicy.php; resources/js/views/tenant/persons/form.vue; resources/js/views/tenant/documents/_document_form_fields_catalog.js; .codex/skills/gestionar-clientes-venezuela/SKILL.md
Entrada: Cliente y Dirección del formulario /documents/create</x:v>
      </x:c>
    </x:row>
    <x:row r="69" ht="56" customHeight="1">
      <x:c r="A69" s="13" t="str">
        <x:v>QA-CLI-014</x:v>
      </x:c>
      <x:c r="B69" s="13" t="str">
        <x:v>Orden de compra y observaciones</x:v>
      </x:c>
      <x:c r="C69" s="13" t="str">
        <x:v>Ocho clientes domésticos, ND, inactivo, contactos largos, dos direcciones y tercero.
Texto con tildes, salto de línea y caracteres HTML</x:v>
      </x:c>
      <x:c r="D69" s="13" t="str">
        <x:v>1. Completar ambos
2. Guardar/consultar/PDF
3. Repetir con texto de límite y exceso según request real</x:v>
      </x:c>
      <x:c r="E69" s="13" t="str">
        <x:v>Contenido se conserva sin ejecutar HTML y sin cortar importes o pie. Límites efectivos quedan inventariados y validados.</x:v>
      </x:c>
      <x:c r="F69" s="13" t="str">
        <x:v>Fuentes: app/Services/SalesCustomerIdentityPolicy.php; resources/js/views/tenant/persons/form.vue; resources/js/views/tenant/documents/_document_form_fields_catalog.js; .codex/skills/gestionar-clientes-venezuela/SKILL.md
Entrada: Cliente y Dirección del formulario /documents/create</x:v>
      </x:c>
    </x:row>
    <x:row r="70" ht="56" customHeight="1">
      <x:c r="A70" s="13" t="str">
        <x:v>QA-CLI-015</x:v>
      </x:c>
      <x:c r="B70" s="13" t="str">
        <x:v>Consignado, vendedor y placa</x:v>
      </x:c>
      <x:c r="C70" s="13" t="str">
        <x:v>Ocho clientes domésticos, ND, inactivo, contactos largos, dos direcciones y tercero.
Flags y giro TAP disponibles en QA</x:v>
      </x:c>
      <x:c r="D70" s="13" t="str">
        <x:v>1. Habilitar consignado y seleccionar dirección propia
2. Seleccionar vendedor y placa
3. Guardar, deshabilitar flag y reabrir</x:v>
      </x:c>
      <x:c r="E70" s="13" t="str">
        <x:v>Opciones condicionadas por configuración conservan datos correctos; campos ocultos no introducen datos de otra persona o giro.</x:v>
      </x:c>
      <x:c r="F70" s="13" t="str">
        <x:v>Fuentes: app/Services/SalesCustomerIdentityPolicy.php; resources/js/views/tenant/persons/form.vue; resources/js/views/tenant/documents/_document_form_fields_catalog.js; .codex/skills/gestionar-clientes-venezuela/SKILL.md
Entrada: Cliente y Dirección del formulario /documents/create</x:v>
      </x:c>
    </x:row>
    <x:row r="71" ht="56" customHeight="1">
      <x:c r="A71" s="13" t="str">
        <x:v>QA-CLI-016</x:v>
      </x:c>
      <x:c r="B71" s="13" t="str">
        <x:v>Venta itinerante</x:v>
      </x:c>
      <x:c r="C71" s="13" t="str">
        <x:v>Ocho clientes domésticos, ND, inactivo, contactos largos, dos direcciones y tercero.
Venta 0101 y fixture de punto itinerante</x:v>
      </x:c>
      <x:c r="D71" s="13" t="str">
        <x:v>1. Activar opción
2. Completar RIF/dirección requeridos
3. Guardar y revisar leyenda/sucursal/payload</x:v>
      </x:c>
      <x:c r="E71" s="13" t="str">
        <x:v>Datos condicionales coherentes y numeración autorizada; no se afirma soporte de regímenes HKA especiales sólo por ver un campo. Si HKA no admite la combinación, registrar su límite por separado.</x:v>
      </x:c>
      <x:c r="F71" s="13" t="str">
        <x:v>Fuentes: app/Services/SalesCustomerIdentityPolicy.php; resources/js/views/tenant/persons/form.vue; resources/js/views/tenant/documents/_document_form_fields_catalog.js; .codex/skills/gestionar-clientes-venezuela/SKILL.md
Entrada: Cliente y Dirección del formulario /documents/create</x:v>
      </x:c>
    </x:row>
    <x:row r="72" ht="56" customHeight="1">
      <x:c r="A72" s="13" t="str">
        <x:v>QA-CLI-017</x:v>
      </x:c>
      <x:c r="B72" s="13" t="str">
        <x:v>Personalizar formulario</x:v>
      </x:c>
      <x:c r="C72" s="13" t="str">
        <x:v>Ocho clientes domésticos, ND, inactivo, contactos largos, dos direcciones y tercero.
Administrador y layout inicial</x:v>
      </x:c>
      <x:c r="D72" s="13" t="str">
        <x:v>1. Mover/fijar campos, cambiar ancho y guardar
2. Recargar y abrir otra sesión
3. Cancelar edición y restablecer layout</x:v>
      </x:c>
      <x:c r="E72" s="13" t="str">
        <x:v>Campos obligatorios siguen accesibles; persistencia, cancelación/restablecimiento no alteran borrador ni datos fiscales.</x:v>
      </x:c>
      <x:c r="F72" s="13" t="str">
        <x:v>Fuentes: app/Services/SalesCustomerIdentityPolicy.php; resources/js/views/tenant/persons/form.vue; resources/js/views/tenant/documents/_document_form_fields_catalog.js; .codex/skills/gestionar-clientes-venezuela/SKILL.md
Entrada: Cliente y Dirección del formulario /documents/create</x:v>
      </x:c>
    </x:row>
    <x:row r="73" ht="56" customHeight="1">
      <x:c r="A73" s="13" t="str">
        <x:v>QA-CLI-018</x:v>
      </x:c>
      <x:c r="B73" s="13" t="str">
        <x:v>Información adicional y barra fijada</x:v>
      </x:c>
      <x:c r="C73" s="13" t="str">
        <x:v>Ocho clientes domésticos, ND, inactivo, contactos largos, dos direcciones y tercero.
Layout y datos generales preparados</x:v>
      </x:c>
      <x:c r="D73" s="13" t="str">
        <x:v>1. Abrir/cerrar Información adicional
2. Fijar observaciones/vendedor y usar atajos reales
3. Guardar y abrir nueva factura</x:v>
      </x:c>
      <x:c r="E73" s="13" t="str">
        <x:v>Los valores no se duplican ni desaparecen; formulario nuevo limpia datos de factura anterior.</x:v>
      </x:c>
      <x:c r="F73" s="13" t="str">
        <x:v>Fuentes: app/Services/SalesCustomerIdentityPolicy.php; resources/js/views/tenant/persons/form.vue; resources/js/views/tenant/documents/_document_form_fields_catalog.js; .codex/skills/gestionar-clientes-venezuela/SKILL.md
Entrada: Cliente y Dirección del formulario /documents/create</x:v>
      </x:c>
    </x:row>
    <x:row r="74" ht="56" customHeight="1">
      <x:c r="A74" s="13" t="str">
        <x:v>QA-ITM-001</x:v>
      </x:c>
      <x:c r="B74" s="13" t="str">
        <x:v>Agregar producto gravado</x:v>
      </x:c>
      <x:c r="C74" s="13" t="str">
        <x:v>P-G: UND gravado 116; P-E: exento 50; P-S: SERV 116; P-V, P-PACK, P-PRES, P-LOTE, P-SERIAL y almacenes QA.
P-G stock 100 y precio final 116</x:v>
      </x:c>
      <x:c r="D74" s="13" t="str">
        <x:v>1. Buscar P-G
2. Agregar cantidad 1
3. Guardar factura y leer stock/Kardex</x:v>
      </x:c>
      <x:c r="E74" s="13" t="str">
        <x:v>Una línea base 100, IVA 16, total 116; una salida de una unidad del almacén autorizado.</x:v>
      </x:c>
      <x:c r="F74" s="13" t="str">
        <x:v>Fuentes: resources/js/views/tenant/documents/partials/item.vue; app/Services/Fiscal/FiscalDocumentPersistence.php; .codex/skills/mantener-flujo-productos-pro9/SKILL.md
Entrada: Agregar producto/servicio y tabla de artículos</x:v>
      </x:c>
    </x:row>
    <x:row r="75" ht="56" customHeight="1">
      <x:c r="A75" s="13" t="str">
        <x:v>QA-ITM-002</x:v>
      </x:c>
      <x:c r="B75" s="13" t="str">
        <x:v>Agregar exento</x:v>
      </x:c>
      <x:c r="C75" s="13" t="str">
        <x:v>P-G: UND gravado 116; P-E: exento 50; P-S: SERV 116; P-V, P-PACK, P-PRES, P-LOTE, P-SERIAL y almacenes QA.
P-E precio 50</x:v>
      </x:c>
      <x:c r="D75" s="13" t="str">
        <x:v>1. Elegir afectación 20
2. Agregar cantidad 2
3. Guardar y consultar</x:v>
      </x:c>
      <x:c r="E75" s="13" t="str">
        <x:v>Base exenta 100, IVA 0 y total 100; no aparece como exportación.</x:v>
      </x:c>
      <x:c r="F75" s="13" t="str">
        <x:v>Fuentes: resources/js/views/tenant/documents/partials/item.vue; app/Services/Fiscal/FiscalDocumentPersistence.php; .codex/skills/mantener-flujo-productos-pro9/SKILL.md
Entrada: Agregar producto/servicio y tabla de artículos</x:v>
      </x:c>
    </x:row>
    <x:row r="76" ht="56" customHeight="1">
      <x:c r="A76" s="13" t="str">
        <x:v>QA-ITM-003</x:v>
      </x:c>
      <x:c r="B76" s="13" t="str">
        <x:v>Agregar servicio</x:v>
      </x:c>
      <x:c r="C76" s="13" t="str">
        <x:v>P-G: UND gravado 116; P-E: exento 50; P-S: SERV 116; P-V, P-PACK, P-PRES, P-LOTE, P-SERIAL y almacenes QA.
P-S unidad SERV</x:v>
      </x:c>
      <x:c r="D76" s="13" t="str">
        <x:v>1. Agregar servicio cantidad 1
2. Guardar factura
3. Comparar inventario antes/después</x:v>
      </x:c>
      <x:c r="E76" s="13" t="str">
        <x:v>Servicio conserva unidad/snapshot y IVA aplicable; no genera salida física de stock de un producto.</x:v>
      </x:c>
      <x:c r="F76" s="13" t="str">
        <x:v>Fuentes: resources/js/views/tenant/documents/partials/item.vue; app/Services/Fiscal/FiscalDocumentPersistence.php; .codex/skills/mantener-flujo-productos-pro9/SKILL.md
Entrada: Agregar producto/servicio y tabla de artículos</x:v>
      </x:c>
    </x:row>
    <x:row r="77" ht="56" customHeight="1">
      <x:c r="A77" s="13" t="str">
        <x:v>QA-ITM-004</x:v>
      </x:c>
      <x:c r="B77" s="13" t="str">
        <x:v>Factura mixta de producto y servicio</x:v>
      </x:c>
      <x:c r="C77" s="13" t="str">
        <x:v>P-G: UND gravado 116; P-E: exento 50; P-S: SERV 116; P-V, P-PACK, P-PRES, P-LOTE, P-SERIAL y almacenes QA.
P-G/P-E/P-S</x:v>
      </x:c>
      <x:c r="D77" s="13" t="str">
        <x:v>1. Agregar los tres
2. Modificar cantidades
3. Guardar y revisar cada línea, impuestos y stock</x:v>
      </x:c>
      <x:c r="E77" s="13" t="str">
        <x:v>Bases y alícuotas correctas por línea; sólo bienes mueven stock; total coincide con el cálculo independiente.</x:v>
      </x:c>
      <x:c r="F77" s="13" t="str">
        <x:v>Fuentes: resources/js/views/tenant/documents/partials/item.vue; app/Services/Fiscal/FiscalDocumentPersistence.php; .codex/skills/mantener-flujo-productos-pro9/SKILL.md
Entrada: Agregar producto/servicio y tabla de artículos</x:v>
      </x:c>
    </x:row>
    <x:row r="78" ht="56" customHeight="1">
      <x:c r="A78" s="13" t="str">
        <x:v>QA-ITM-005</x:v>
      </x:c>
      <x:c r="B78" s="13" t="str">
        <x:v>Buscar por código y código de barras</x:v>
      </x:c>
      <x:c r="C78" s="13" t="str">
        <x:v>P-G: UND gravado 116; P-E: exento 50; P-S: SERV 116; P-V, P-PACK, P-PRES, P-LOTE, P-SERIAL y almacenes QA.
Producto con código único y barcode</x:v>
      </x:c>
      <x:c r="D78" s="13" t="str">
        <x:v>1. Buscar por descripción/código/barcode en modos habilitados
2. Seleccionar mismo producto
3. Agregar y revisar</x:v>
      </x:c>
      <x:c r="E78" s="13" t="str">
        <x:v>Cada buscador devuelve artículo correcto sin duplicar ni vender una coincidencia parcial errónea.</x:v>
      </x:c>
      <x:c r="F78" s="13" t="str">
        <x:v>Fuentes: resources/js/views/tenant/documents/partials/item.vue; app/Services/Fiscal/FiscalDocumentPersistence.php; .codex/skills/mantener-flujo-productos-pro9/SKILL.md
Entrada: Agregar producto/servicio y tabla de artículos</x:v>
      </x:c>
    </x:row>
    <x:row r="79" ht="56" customHeight="1">
      <x:c r="A79" s="13" t="str">
        <x:v>QA-ITM-006</x:v>
      </x:c>
      <x:c r="B79" s="13" t="str">
        <x:v>Producto variable</x:v>
      </x:c>
      <x:c r="C79" s="13" t="str">
        <x:v>P-G: UND gravado 116; P-E: exento 50; P-S: SERV 116; P-V, P-PACK, P-PRES, P-LOTE, P-SERIAL y almacenes QA.
Padre P-V con dos variaciones</x:v>
      </x:c>
      <x:c r="D79" s="13" t="str">
        <x:v>1. Buscar padre y expandir
2. Seleccionar color/talla de una variación
3. Guardar y leer ID/stock</x:v>
      </x:c>
      <x:c r="E79" s="13" t="str">
        <x:v>Padre sólo agrupa; venta utiliza hijo y atributos elegidos; inventario descuenta variación, no otra ni el padre.</x:v>
      </x:c>
      <x:c r="F79" s="13" t="str">
        <x:v>Fuentes: resources/js/views/tenant/documents/partials/item.vue; app/Services/Fiscal/FiscalDocumentPersistence.php; .codex/skills/mantener-flujo-productos-pro9/SKILL.md
Entrada: Agregar producto/servicio y tabla de artículos</x:v>
      </x:c>
    </x:row>
    <x:row r="80" ht="56" customHeight="1">
      <x:c r="A80" s="13" t="str">
        <x:v>QA-ITM-007</x:v>
      </x:c>
      <x:c r="B80" s="13" t="str">
        <x:v>Variación sin stock</x:v>
      </x:c>
      <x:c r="C80" s="13" t="str">
        <x:v>P-G: UND gravado 116; P-E: exento 50; P-S: SERV 116; P-V, P-PACK, P-PRES, P-LOTE, P-SERIAL y almacenes QA.
Hijo stock cero y regla de stock activa</x:v>
      </x:c>
      <x:c r="D80" s="13" t="str">
        <x:v>1. Seleccionar hijo
2. Intentar cantidad 1 por UI y POST
3. Comparar ventas e inventario</x:v>
      </x:c>
      <x:c r="E80" s="13" t="str">
        <x:v>Se cumple la política configurada de stock; no se elude enviando el padre o un hijo no disponible.</x:v>
      </x:c>
      <x:c r="F80" s="13" t="str">
        <x:v>Fuentes: resources/js/views/tenant/documents/partials/item.vue; app/Services/Fiscal/FiscalDocumentPersistence.php; .codex/skills/mantener-flujo-productos-pro9/SKILL.md
Entrada: Agregar producto/servicio y tabla de artículos</x:v>
      </x:c>
    </x:row>
    <x:row r="81" ht="56" customHeight="1">
      <x:c r="A81" s="13" t="str">
        <x:v>QA-ITM-008</x:v>
      </x:c>
      <x:c r="B81" s="13" t="str">
        <x:v>Presentación y unidad alternativa</x:v>
      </x:c>
      <x:c r="C81" s="13" t="str">
        <x:v>P-G: UND gravado 116; P-E: exento 50; P-S: SERV 116; P-V, P-PACK, P-PRES, P-LOTE, P-SERIAL y almacenes QA.
P-PRES equivalencia 6 UND por caja</x:v>
      </x:c>
      <x:c r="D81" s="13" t="str">
        <x:v>1. Elegir caja y precio autorizado
2. Vender 2 cajas
3. Leer cantidades/stock y payload HKA</x:v>
      </x:c>
      <x:c r="E81" s="13" t="str">
        <x:v>Presentación conserva equivalencia: 12 unidades físicas descontadas cuando esa es la regla del fixture; precios y unidad HKA concilian.</x:v>
      </x:c>
      <x:c r="F81" s="13" t="str">
        <x:v>Fuentes: resources/js/views/tenant/documents/partials/item.vue; app/Services/Fiscal/FiscalDocumentPersistence.php; .codex/skills/mantener-flujo-productos-pro9/SKILL.md
Entrada: Agregar producto/servicio y tabla de artículos</x:v>
      </x:c>
    </x:row>
    <x:row r="82" ht="56" customHeight="1">
      <x:c r="A82" s="13" t="str">
        <x:v>QA-ITM-009</x:v>
      </x:c>
      <x:c r="B82" s="13" t="str">
        <x:v>Precios múltiples y último precio</x:v>
      </x:c>
      <x:c r="C82" s="13" t="str">
        <x:v>P-G: UND gravado 116; P-E: exento 50; P-S: SERV 116; P-V, P-PACK, P-PRES, P-LOTE, P-SERIAL y almacenes QA.
Producto con niveles y venta anterior</x:v>
      </x:c>
      <x:c r="D82" s="13" t="str">
        <x:v>1. Alternar precios disponibles
2. Leer último precio y selector autorizado
3. Guardar y consultar snapshot</x:v>
      </x:c>
      <x:c r="E82" s="13" t="str">
        <x:v>Precio elegido aplicado una vez; último precio es informativo y no sustituye silenciosamente la selección.</x:v>
      </x:c>
      <x:c r="F82" s="13" t="str">
        <x:v>Fuentes: resources/js/views/tenant/documents/partials/item.vue; app/Services/Fiscal/FiscalDocumentPersistence.php; .codex/skills/mantener-flujo-productos-pro9/SKILL.md
Entrada: Agregar producto/servicio y tabla de artículos</x:v>
      </x:c>
    </x:row>
    <x:row r="83" ht="56" customHeight="1">
      <x:c r="A83" s="13" t="str">
        <x:v>QA-ITM-010</x:v>
      </x:c>
      <x:c r="B83" s="13" t="str">
        <x:v>Conversión de moneda del artículo</x:v>
      </x:c>
      <x:c r="C83" s="13" t="str">
        <x:v>P-G: UND gravado 116; P-E: exento 50; P-S: SERV 116; P-V, P-PACK, P-PRES, P-LOTE, P-SERIAL y almacenes QA.
Artículo USD y factura VES con tasa R 1</x:v>
      </x:c>
      <x:c r="D83" s="13" t="str">
        <x:v>1. Seleccionar conversión habilitada
2. Agregar y cambiar moneda documental antes de guardar
3. Comparar cálculo independiente</x:v>
      </x:c>
      <x:c r="E83" s="13" t="str">
        <x:v>Se convierte en dirección correcta con tasa congelada; no se duplica conversión al alternar o reabrir.</x:v>
      </x:c>
      <x:c r="F83" s="13" t="str">
        <x:v>Fuentes: resources/js/views/tenant/documents/partials/item.vue; app/Services/Fiscal/FiscalDocumentPersistence.php; .codex/skills/mantener-flujo-productos-pro9/SKILL.md
Entrada: Agregar producto/servicio y tabla de artículos</x:v>
      </x:c>
    </x:row>
    <x:row r="84" ht="56" customHeight="1">
      <x:c r="A84" s="13" t="str">
        <x:v>QA-ITM-011</x:v>
      </x:c>
      <x:c r="B84" s="13" t="str">
        <x:v>Pack o conjunto</x:v>
      </x:c>
      <x:c r="C84" s="13" t="str">
        <x:v>P-G: UND gravado 116; P-E: exento 50; P-S: SERV 116; P-V, P-PACK, P-PRES, P-LOTE, P-SERIAL y almacenes QA.
Pack con componentes y stock conocido</x:v>
      </x:c>
      <x:c r="D84" s="13" t="str">
        <x:v>1. Agregar un pack
2. Guardar
3. Leer snapshot y Kardex del pack/componentes</x:v>
      </x:c>
      <x:c r="E84" s="13" t="str">
        <x:v>Componentes y descripción concuerdan con la regla del pack registrada antes; no hay doble descuento de stock. Si la regla no está definida, bloquear sólo la comprobación dependiente hasta fijar el oráculo.</x:v>
      </x:c>
      <x:c r="F84" s="13" t="str">
        <x:v>Fuentes: resources/js/views/tenant/documents/partials/item.vue; app/Services/Fiscal/FiscalDocumentPersistence.php; .codex/skills/mantener-flujo-productos-pro9/SKILL.md
Entrada: Agregar producto/servicio y tabla de artículos</x:v>
      </x:c>
    </x:row>
    <x:row r="85" ht="56" customHeight="1">
      <x:c r="A85" s="13" t="str">
        <x:v>QA-ITM-012</x:v>
      </x:c>
      <x:c r="B85" s="13" t="str">
        <x:v>Selección de lotes obligatoria</x:v>
      </x:c>
      <x:c r="C85" s="13" t="str">
        <x:v>P-G: UND gravado 116; P-E: exento 50; P-S: SERV 116; P-V, P-PACK, P-PRES, P-LOTE, P-SERIAL y almacenes QA.
P-LOTE cantidad 3</x:v>
      </x:c>
      <x:c r="D85" s="13" t="str">
        <x:v>1. Agregar sin lotes
2. Enviar selección vacía por POST
3. Leer validación y stock</x:v>
      </x:c>
      <x:c r="E85" s="13" t="str">
        <x:v>Rechazo explícito con artículo identificado; no queda factura ni reserva/movimiento parcial.</x:v>
      </x:c>
      <x:c r="F85" s="13" t="str">
        <x:v>Fuentes: resources/js/views/tenant/documents/partials/item.vue; app/Services/Fiscal/FiscalDocumentPersistence.php; .codex/skills/mantener-flujo-productos-pro9/SKILL.md
Entrada: Agregar producto/servicio y tabla de artículos</x:v>
      </x:c>
    </x:row>
    <x:row r="86" ht="56" customHeight="1">
      <x:c r="A86" s="13" t="str">
        <x:v>QA-ITM-013</x:v>
      </x:c>
      <x:c r="B86" s="13" t="str">
        <x:v>Distribuir cantidad en lotes</x:v>
      </x:c>
      <x:c r="C86" s="13" t="str">
        <x:v>P-G: UND gravado 116; P-E: exento 50; P-S: SERV 116; P-V, P-PACK, P-PRES, P-LOTE, P-SERIAL y almacenes QA.
Lotes L 1=2 y L 2=5 disponibles</x:v>
      </x:c>
      <x:c r="D86" s="13" t="str">
        <x:v>1. Seleccionar venta 3 como L 1=2/L 2=1
2. Guardar
3. Consultar compromisos y Kardex</x:v>
      </x:c>
      <x:c r="E86" s="13" t="str">
        <x:v>Suma de lotes exactamente 3; cada lote del artículo y almacén correcto se afecta una vez.</x:v>
      </x:c>
      <x:c r="F86" s="13" t="str">
        <x:v>Fuentes: resources/js/views/tenant/documents/partials/item.vue; app/Services/Fiscal/FiscalDocumentPersistence.php; .codex/skills/mantener-flujo-productos-pro9/SKILL.md
Entrada: Agregar producto/servicio y tabla de artículos</x:v>
      </x:c>
    </x:row>
    <x:row r="87" ht="56" customHeight="1">
      <x:c r="A87" s="13" t="str">
        <x:v>QA-ITM-014</x:v>
      </x:c>
      <x:c r="B87" s="13" t="str">
        <x:v>Lotes inválidos o suma distinta</x:v>
      </x:c>
      <x:c r="C87" s="13" t="str">
        <x:v>P-G: UND gravado 116; P-E: exento 50; P-S: SERV 116; P-V, P-PACK, P-PRES, P-LOTE, P-SERIAL y almacenes QA.
P-LOTE venta 3</x:v>
      </x:c>
      <x:c r="D87" s="13" t="str">
        <x:v>1. Enviar suma 2 o 4, cantidad cero, lote sin ID y lote ajeno en variantes independientes
2. Guardar
3. Leer rechazo</x:v>
      </x:c>
      <x:c r="E87" s="13" t="str">
        <x:v>No se admite asignación incoherente o ajena. Caso que se acepte sin autorización o stock adecuado se registra Reprobó.</x:v>
      </x:c>
      <x:c r="F87" s="13" t="str">
        <x:v>Fuentes: resources/js/views/tenant/documents/partials/item.vue; app/Services/Fiscal/FiscalDocumentPersistence.php; .codex/skills/mantener-flujo-productos-pro9/SKILL.md
Entrada: Agregar producto/servicio y tabla de artículos</x:v>
      </x:c>
    </x:row>
    <x:row r="88" ht="56" customHeight="1">
      <x:c r="A88" s="13" t="str">
        <x:v>QA-ITM-015</x:v>
      </x:c>
      <x:c r="B88" s="13" t="str">
        <x:v>Seriales únicos</x:v>
      </x:c>
      <x:c r="C88" s="13" t="str">
        <x:v>P-G: UND gravado 116; P-E: exento 50; P-S: SERV 116; P-V, P-PACK, P-PRES, P-LOTE, P-SERIAL y almacenes QA.
P-SERIAL con S-A/S-B</x:v>
      </x:c>
      <x:c r="D88" s="13" t="str">
        <x:v>1. Seleccionar serial y guardar
2. Intentar venderlo de nuevo
3. Probar serial de otro artículo</x:v>
      </x:c>
      <x:c r="E88" s="13" t="str">
        <x:v>Cada serial pertenece al artículo y no se vende dos veces; errores no afectan seriales válidos restantes.</x:v>
      </x:c>
      <x:c r="F88" s="13" t="str">
        <x:v>Fuentes: resources/js/views/tenant/documents/partials/item.vue; app/Services/Fiscal/FiscalDocumentPersistence.php; .codex/skills/mantener-flujo-productos-pro9/SKILL.md
Entrada: Agregar producto/servicio y tabla de artículos</x:v>
      </x:c>
    </x:row>
    <x:row r="89" ht="56" customHeight="1">
      <x:c r="A89" s="13" t="str">
        <x:v>QA-ITM-016</x:v>
      </x:c>
      <x:c r="B89" s="13" t="str">
        <x:v>Elegir almacén</x:v>
      </x:c>
      <x:c r="C89" s="13" t="str">
        <x:v>P-G: UND gravado 116; P-E: exento 50; P-S: SERV 116; P-V, P-PACK, P-PRES, P-LOTE, P-SERIAL y almacenes QA.
Dos almacenes y existencias distintas</x:v>
      </x:c>
      <x:c r="D89" s="13" t="str">
        <x:v>1. Seleccionar almacén autorizado
2. Guardar
3. Intentar almacén de otra sucursal por POST</x:v>
      </x:c>
      <x:c r="E89" s="13" t="str">
        <x:v>Movimiento coincide con almacén autorizado y sucursal de venta; no se confunde ID de sucursal con ID de almacén.</x:v>
      </x:c>
      <x:c r="F89" s="13" t="str">
        <x:v>Fuentes: resources/js/views/tenant/documents/partials/item.vue; app/Services/Fiscal/FiscalDocumentPersistence.php; .codex/skills/mantener-flujo-productos-pro9/SKILL.md
Entrada: Agregar producto/servicio y tabla de artículos</x:v>
      </x:c>
    </x:row>
    <x:row r="90" ht="56" customHeight="1">
      <x:c r="A90" s="13" t="str">
        <x:v>QA-ITM-017</x:v>
      </x:c>
      <x:c r="B90" s="13" t="str">
        <x:v>Cantidad decimal y precisión</x:v>
      </x:c>
      <x:c r="C90" s="13" t="str">
        <x:v>P-G: UND gravado 116; P-E: exento 50; P-S: SERV 116; P-V, P-PACK, P-PRES, P-LOTE, P-SERIAL y almacenes QA.
Artículo fraccionable</x:v>
      </x:c>
      <x:c r="D90" s="13" t="str">
        <x:v>1. Vender 0.1250 y 1.2345 en variantes
2. Probar más precisión y límites observados
3. Comparar cantidad persistida, stock y total</x:v>
      </x:c>
      <x:c r="E90" s="13" t="str">
        <x:v>Precisión contractual identificada y coherente; ningún redondeo silencioso produce saldo de lote/stock distinto del vendido.</x:v>
      </x:c>
      <x:c r="F90" s="13" t="str">
        <x:v>Fuentes: resources/js/views/tenant/documents/partials/item.vue; app/Services/Fiscal/FiscalDocumentPersistence.php; .codex/skills/mantener-flujo-productos-pro9/SKILL.md
Entrada: Agregar producto/servicio y tabla de artículos</x:v>
      </x:c>
    </x:row>
    <x:row r="91" ht="56" customHeight="1">
      <x:c r="A91" s="13" t="str">
        <x:v>QA-ITM-018</x:v>
      </x:c>
      <x:c r="B91" s="13" t="str">
        <x:v>Cantidad inválida</x:v>
      </x:c>
      <x:c r="C91" s="13" t="str">
        <x:v>P-G: UND gravado 116; P-E: exento 50; P-S: SERV 116; P-V, P-PACK, P-PRES, P-LOTE, P-SERIAL y almacenes QA.
Borrador P-G</x:v>
      </x:c>
      <x:c r="D91" s="13" t="str">
        <x:v>1. Enviar cero, negativo, vacío y texto por separado
2. Intentar generar
3. Leer conteos y errores</x:v>
      </x:c>
      <x:c r="E91" s="13" t="str">
        <x:v>Cantidad inválida rechazada antes de efectos comerciales o HTTP fiscal.</x:v>
      </x:c>
      <x:c r="F91" s="13" t="str">
        <x:v>Fuentes: resources/js/views/tenant/documents/partials/item.vue; app/Services/Fiscal/FiscalDocumentPersistence.php; .codex/skills/mantener-flujo-productos-pro9/SKILL.md
Entrada: Agregar producto/servicio y tabla de artículos</x:v>
      </x:c>
    </x:row>
    <x:row r="92" ht="56" customHeight="1">
      <x:c r="A92" s="13" t="str">
        <x:v>QA-ITM-019</x:v>
      </x:c>
      <x:c r="B92" s="13" t="str">
        <x:v>Precio cero y precio negativo</x:v>
      </x:c>
      <x:c r="C92" s="13" t="str">
        <x:v>P-G: UND gravado 116; P-E: exento 50; P-S: SERV 116; P-V, P-PACK, P-PRES, P-LOTE, P-SERIAL y almacenes QA.
Fixture gratuito y P-G normal</x:v>
      </x:c>
      <x:c r="D92" s="13" t="str">
        <x:v>1. Probar unit_price cero por contrato vigente
2. Probar negativo y texto
3. Comprobar totals y restricciones de UI</x:v>
      </x:c>
      <x:c r="E92" s="13" t="str">
        <x:v>Backend permite precio no negativo según cálculo de línea; total cero se evalúa según flujo disponible. Negativos/texto rechazados. No forzar emisión real de un borrador cero.</x:v>
      </x:c>
      <x:c r="F92" s="13" t="str">
        <x:v>Fuentes: resources/js/views/tenant/documents/partials/item.vue; app/Services/Fiscal/FiscalDocumentPersistence.php; .codex/skills/mantener-flujo-productos-pro9/SKILL.md
Entrada: Agregar producto/servicio y tabla de artículos</x:v>
      </x:c>
    </x:row>
    <x:row r="93" ht="56" customHeight="1">
      <x:c r="A93" s="13" t="str">
        <x:v>QA-ITM-020</x:v>
      </x:c>
      <x:c r="B93" s="13" t="str">
        <x:v>Editar y eliminar línea</x:v>
      </x:c>
      <x:c r="C93" s="13" t="str">
        <x:v>P-G: UND gravado 116; P-E: exento 50; P-S: SERV 116; P-V, P-PACK, P-PRES, P-LOTE, P-SERIAL y almacenes QA.
Borrador con dos artículos</x:v>
      </x:c>
      <x:c r="D93" s="13" t="str">
        <x:v>1. Editar cantidad/precio/IVA de uno
2. Eliminar otro
3. Cancelar cambio y volver a abrir</x:v>
      </x:c>
      <x:c r="E93" s="13" t="str">
        <x:v>Recalculo exacto sin líneas fantasma; no se mueve stock antes del guardado definitivo.</x:v>
      </x:c>
      <x:c r="F93" s="13" t="str">
        <x:v>Fuentes: resources/js/views/tenant/documents/partials/item.vue; app/Services/Fiscal/FiscalDocumentPersistence.php; .codex/skills/mantener-flujo-productos-pro9/SKILL.md
Entrada: Agregar producto/servicio y tabla de artículos</x:v>
      </x:c>
    </x:row>
    <x:row r="94" ht="56" customHeight="1">
      <x:c r="A94" s="13" t="str">
        <x:v>QA-ITM-021</x:v>
      </x:c>
      <x:c r="B94" s="13" t="str">
        <x:v>Descripción comercial para PDF</x:v>
      </x:c>
      <x:c r="C94" s="13" t="str">
        <x:v>P-G: UND gravado 116; P-E: exento 50; P-S: SERV 116; P-V, P-PACK, P-PRES, P-LOTE, P-SERIAL y almacenes QA.
Flag de edición de nombre activo</x:v>
      </x:c>
      <x:c r="D94" s="13" t="str">
        <x:v>1. Cambiar name_product_pdf y añadir descripción larga
2. Guardar y reimprimir
3. Leer snapshot del catálogo</x:v>
      </x:c>
      <x:c r="E94" s="13" t="str">
        <x:v>Nombre comercial se conserva sin modificar el catálogo ni crear name_product_xml; impresión legible y texto escapado.</x:v>
      </x:c>
      <x:c r="F94" s="13" t="str">
        <x:v>Fuentes: resources/js/views/tenant/documents/partials/item.vue; app/Services/Fiscal/FiscalDocumentPersistence.php; .codex/skills/mantener-flujo-productos-pro9/SKILL.md
Entrada: Agregar producto/servicio y tabla de artículos</x:v>
      </x:c>
    </x:row>
    <x:row r="95" ht="56" customHeight="1">
      <x:c r="A95" s="13" t="str">
        <x:v>QA-ITM-022</x:v>
      </x:c>
      <x:c r="B95" s="13" t="str">
        <x:v>Atributos especiales de línea</x:v>
      </x:c>
      <x:c r="C95" s="13" t="str">
        <x:v>P-G: UND gravado 116; P-E: exento 50; P-S: SERV 116; P-V, P-PACK, P-PRES, P-LOTE, P-SERIAL y almacenes QA.
Catálogo activo de atributos inventariado</x:v>
      </x:c>
      <x:c r="D95" s="13" t="str">
        <x:v>1. Agregar cada atributo disponible en subcaso separado
2. Modificar/quitar y guardar
3. Comparar línea, PDF y payload</x:v>
      </x:c>
      <x:c r="E95" s="13" t="str">
        <x:v>Cada atributo tiene su prueba individual y efecto declarado; valores no admitidos por HKA producen diagnóstico explícito, sin fingir soporte por catálogo.</x:v>
      </x:c>
      <x:c r="F95" s="13" t="str">
        <x:v>Fuentes: resources/js/views/tenant/documents/partials/item.vue; app/Services/Fiscal/FiscalDocumentPersistence.php; .codex/skills/mantener-flujo-productos-pro9/SKILL.md
Entrada: Agregar producto/servicio y tabla de artículos</x:v>
      </x:c>
    </x:row>
    <x:row r="96" ht="56" customHeight="1">
      <x:c r="A96" s="13" t="str">
        <x:v>QA-ITM-023</x:v>
      </x:c>
      <x:c r="B96" s="13" t="str">
        <x:v>Producto restringido por comprobante</x:v>
      </x:c>
      <x:c r="C96" s="13" t="str">
        <x:v>P-G: UND gravado 116; P-E: exento 50; P-S: SERV 116; P-V, P-PACK, P-PRES, P-LOTE, P-SERIAL y almacenes QA.
Regla restrict_sale activa</x:v>
      </x:c>
      <x:c r="D96" s="13" t="str">
        <x:v>1. Intentar Factura/Nota de venta permitida y prohibida
2. Repetir desde conversión precargada y POST
3. Leer efectos</x:v>
      </x:c>
      <x:c r="E96" s="13" t="str">
        <x:v>Restricción vigente aplicada también a artículos heredados de otros documentos; no basta ocultar selector.</x:v>
      </x:c>
      <x:c r="F96" s="13" t="str">
        <x:v>Fuentes: resources/js/views/tenant/documents/partials/item.vue; app/Services/Fiscal/FiscalDocumentPersistence.php; .codex/skills/mantener-flujo-productos-pro9/SKILL.md
Entrada: Agregar producto/servicio y tabla de artículos</x:v>
      </x:c>
    </x:row>
    <x:row r="97" ht="56" customHeight="1">
      <x:c r="A97" s="13" t="str">
        <x:v>QA-ITM-024</x:v>
      </x:c>
      <x:c r="B97" s="13" t="str">
        <x:v>Unidad inactiva o sin equivalencia HKA</x:v>
      </x:c>
      <x:c r="C97" s="13" t="str">
        <x:v>P-G: UND gravado 116; P-E: exento 50; P-S: SERV 116; P-V, P-PACK, P-PRES, P-LOTE, P-SERIAL y almacenes QA.
Unidad de fixture desactivada o sin hka_code</x:v>
      </x:c>
      <x:c r="D97" s="13" t="str">
        <x:v>1. Intentar agregar/guardar/preparar
2. Leer validación
3. Comparar stock y emisión</x:v>
      </x:c>
      <x:c r="E97" s="13" t="str">
        <x:v>Error explícito de unidad; no se inventa equivalencia. El caso separa persistencia de preparación según el punto real de rechazo.</x:v>
      </x:c>
      <x:c r="F97" s="13" t="str">
        <x:v>Fuentes: resources/js/views/tenant/documents/partials/item.vue; app/Services/Fiscal/FiscalDocumentPersistence.php; .codex/skills/mantener-flujo-productos-pro9/SKILL.md
Entrada: Agregar producto/servicio y tabla de artículos</x:v>
      </x:c>
    </x:row>
    <x:row r="98" ht="56" customHeight="1">
      <x:c r="A98" s="13" t="str">
        <x:v>QA-ITM-025</x:v>
      </x:c>
      <x:c r="B98" s="13" t="str">
        <x:v>Producto inexistente o deshabilitado</x:v>
      </x:c>
      <x:c r="C98" s="13" t="str">
        <x:v>P-G: UND gravado 116; P-E: exento 50; P-S: SERV 116; P-V, P-PACK, P-PRES, P-LOTE, P-SERIAL y almacenes QA.
Borrador válido y ID ajeno</x:v>
      </x:c>
      <x:c r="D98" s="13" t="str">
        <x:v>1. Manipular item_id
2. Enviar artículo eliminado/deshabilitado
3. Comparar efectos</x:v>
      </x:c>
      <x:c r="E98" s="13" t="str">
        <x:v>No se guarda ni cobra un artículo no autorizado/inexistente; la integridad referencial y validación se comprueban en servidor.</x:v>
      </x:c>
      <x:c r="F98" s="13" t="str">
        <x:v>Fuentes: resources/js/views/tenant/documents/partials/item.vue; app/Services/Fiscal/FiscalDocumentPersistence.php; .codex/skills/mantener-flujo-productos-pro9/SKILL.md
Entrada: Agregar producto/servicio y tabla de artículos</x:v>
      </x:c>
    </x:row>
    <x:row r="99" ht="44" customHeight="1">
      <x:c r="A99" s="13" t="str">
        <x:v>QA-CAL-001</x:v>
      </x:c>
      <x:c r="B99" s="13" t="str">
        <x:v>IVA incluido y no incluido en alta de producto</x:v>
      </x:c>
      <x:c r="C99" s="13" t="str">
        <x:v>P-G=116 IVA incluido; P-E=50; R 1=40.12345678; dinero final a dos decimales.
Dos productos equivalentes base 100</x:v>
      </x:c>
      <x:c r="D99" s="13" t="str">
        <x:v>1. Configurar uno final 116 con IVA incluido y otro base 100 según UI
2. Agregar ambos
3. Comparar líneas guardadas</x:v>
      </x:c>
      <x:c r="E99" s="13" t="str">
        <x:v>Ambos resultan base 100/IVA 16/total 116 por unidad; no se agrega IVA dos veces ni se resta dos veces.</x:v>
      </x:c>
      <x:c r="F99" s="13" t="str">
        <x:v>Fuentes: app/Services/Fiscal/FiscalDocumentPersistence.php; config/venezuela.php; tests/Unit/FiscalLineCalculationTest.php
Entrada: Líneas, descuentos globales y resumen de factura</x:v>
      </x:c>
    </x:row>
    <x:row r="100" ht="44" customHeight="1">
      <x:c r="A100" s="13" t="str">
        <x:v>QA-CAL-002</x:v>
      </x:c>
      <x:c r="B100" s="13" t="str">
        <x:v>Recalcular totales manipulados</x:v>
      </x:c>
      <x:c r="C100" s="13" t="str">
        <x:v>P-G=116 IVA incluido; P-E=50; R 1=40.12345678; dinero final a dos decimales.
Factura P-G válida</x:v>
      </x:c>
      <x:c r="D100" s="13" t="str">
        <x:v>1. Enviar base 1/IVA 0/total 1 en payload con precio 116
2. Guardar
3. Leer valores del servidor</x:v>
      </x:c>
      <x:c r="E100" s="13" t="str">
        <x:v>Servidor recalcula base 100/IVA 16/total 116; valores del navegador no autorizan un menor total.</x:v>
      </x:c>
      <x:c r="F100" s="13" t="str">
        <x:v>Fuentes: app/Services/Fiscal/FiscalDocumentPersistence.php; config/venezuela.php; tests/Unit/FiscalLineCalculationTest.php
Entrada: Líneas, descuentos globales y resumen de factura</x:v>
      </x:c>
    </x:row>
    <x:row r="101" ht="44" customHeight="1">
      <x:c r="A101" s="13" t="str">
        <x:v>QA-CAL-003</x:v>
      </x:c>
      <x:c r="B101" s="13" t="str">
        <x:v>IVA configurado distinto al defecto</x:v>
      </x:c>
      <x:c r="C101" s="13" t="str">
        <x:v>P-G=116 IVA incluido; P-E=50; R 1=40.12345678; dinero final a dos decimales.
Entorno QA independiente con tasa 8 %</x:v>
      </x:c>
      <x:c r="D101" s="13" t="str">
        <x:v>1. Registrar precio 108 base 100
2. Guardar y preparar con doble
3. Restaurar fixture</x:v>
      </x:c>
      <x:c r="E101" s="13" t="str">
        <x:v>IVA 8 y equivalencia R coherentes con configuración. Es una variación técnica; no modifica el tenant principal ni afirma tasa legal.</x:v>
      </x:c>
      <x:c r="F101" s="13" t="str">
        <x:v>Fuentes: app/Services/Fiscal/FiscalDocumentPersistence.php; config/venezuela.php; tests/Unit/FiscalLineCalculationTest.php
Entrada: Líneas, descuentos globales y resumen de factura</x:v>
      </x:c>
    </x:row>
    <x:row r="102" ht="44" customHeight="1">
      <x:c r="A102" s="13" t="str">
        <x:v>QA-CAL-004</x:v>
      </x:c>
      <x:c r="B102" s="13" t="str">
        <x:v>Exento permanece a cero</x:v>
      </x:c>
      <x:c r="C102" s="13" t="str">
        <x:v>P-G=116 IVA incluido; P-E=50; R 1=40.12345678; dinero final a dos decimales.
P-E y configuración 16 %</x:v>
      </x:c>
      <x:c r="D102" s="13" t="str">
        <x:v>1. Cambiar cantidades/precio
2. Aplicar descuento admitido
3. Leer IVA y resumen</x:v>
      </x:c>
      <x:c r="E102" s="13" t="str">
        <x:v>20 siempre IVA 0; base exenta no migra a gravada ni exportación.</x:v>
      </x:c>
      <x:c r="F102" s="13" t="str">
        <x:v>Fuentes: app/Services/Fiscal/FiscalDocumentPersistence.php; config/venezuela.php; tests/Unit/FiscalLineCalculationTest.php
Entrada: Líneas, descuentos globales y resumen de factura</x:v>
      </x:c>
    </x:row>
    <x:row r="103" ht="44" customHeight="1">
      <x:c r="A103" s="13" t="str">
        <x:v>QA-CAL-005</x:v>
      </x:c>
      <x:c r="B103" s="13" t="str">
        <x:v>Afectaciones retiradas</x:v>
      </x:c>
      <x:c r="C103" s="13" t="str">
        <x:v>P-G=116 IVA incluido; P-E=50; R 1=40.12345678; dinero final a dos decimales.
Venta interna y IDs antiguos</x:v>
      </x:c>
      <x:c r="D103" s="13" t="str">
        <x:v>1. Enviar afectación desconocida, 40, inafecta/gratuita retirada
2. Enviar EXP en 0101
3. Leer errores</x:v>
      </x:c>
      <x:c r="E103" s="13" t="str">
        <x:v>Sólo 10/20 en venta interna; EXP sólo exportación. Rechazo sin remapeo silencioso.</x:v>
      </x:c>
      <x:c r="F103" s="13" t="str">
        <x:v>Fuentes: app/Services/Fiscal/FiscalDocumentPersistence.php; config/venezuela.php; tests/Unit/FiscalLineCalculationTest.php
Entrada: Líneas, descuentos globales y resumen de factura</x:v>
      </x:c>
    </x:row>
    <x:row r="104" ht="44" customHeight="1">
      <x:c r="A104" s="13" t="str">
        <x:v>QA-CAL-006</x:v>
      </x:c>
      <x:c r="B104" s="13" t="str">
        <x:v>Descuento de línea sobre base</x:v>
      </x:c>
      <x:c r="C104" s="13" t="str">
        <x:v>P-G=116 IVA incluido; P-E=50; R 1=40.12345678; dinero final a dos decimales.
P-G cantidad 1, descuento 00 al 10 %</x:v>
      </x:c>
      <x:c r="D104" s="13" t="str">
        <x:v>1. Aplicar descuento porcentual
2. Guardar
3. Comparar base/IVA/total</x:v>
      </x:c>
      <x:c r="E104" s="13" t="str">
        <x:v>Base 90, IVA 14.40 y total 104.40; descuento 10 sobre base, no sobre 116.</x:v>
      </x:c>
      <x:c r="F104" s="13" t="str">
        <x:v>Fuentes: app/Services/Fiscal/FiscalDocumentPersistence.php; config/venezuela.php; tests/Unit/FiscalLineCalculationTest.php
Entrada: Líneas, descuentos globales y resumen de factura</x:v>
      </x:c>
    </x:row>
    <x:row r="105" ht="44" customHeight="1">
      <x:c r="A105" s="13" t="str">
        <x:v>QA-CAL-007</x:v>
      </x:c>
      <x:c r="B105" s="13" t="str">
        <x:v>Descuento de línea por importe</x:v>
      </x:c>
      <x:c r="C105" s="13" t="str">
        <x:v>P-G=116 IVA incluido; P-E=50; R 1=40.12345678; dinero final a dos decimales.
P-G y descuento 00 importe 10</x:v>
      </x:c>
      <x:c r="D105" s="13" t="str">
        <x:v>1. Aplicar monto 10
2. Alternar porcentaje y volver al monto
3. Guardar y leer</x:v>
      </x:c>
      <x:c r="E105" s="13" t="str">
        <x:v>Mismo resultado base 90/IVA 14.40/104.40 sin aplicar el descuento dos veces.</x:v>
      </x:c>
      <x:c r="F105" s="13" t="str">
        <x:v>Fuentes: app/Services/Fiscal/FiscalDocumentPersistence.php; config/venezuela.php; tests/Unit/FiscalLineCalculationTest.php
Entrada: Líneas, descuentos globales y resumen de factura</x:v>
      </x:c>
    </x:row>
    <x:row r="106" ht="44" customHeight="1">
      <x:c r="A106" s="13" t="str">
        <x:v>QA-CAL-008</x:v>
      </x:c>
      <x:c r="B106" s="13" t="str">
        <x:v>Descuento sin afectar base</x:v>
      </x:c>
      <x:c r="C106" s="13" t="str">
        <x:v>P-G=116 IVA incluido; P-E=50; R 1=40.12345678; dinero final a dos decimales.
P-G con tipo distinto 00 del catálogo autorizado</x:v>
      </x:c>
      <x:c r="D106" s="13" t="str">
        <x:v>1. Aplicar importe 10
2. Guardar
3. Leer base/impuesto/total</x:v>
      </x:c>
      <x:c r="E106" s="13" t="str">
        <x:v>Según cálculo actual: base 100, IVA 16, total 106. Tipo/equivalencia deben quedar mapeados, sin asumir todos los descuentos afectan IVA.</x:v>
      </x:c>
      <x:c r="F106" s="13" t="str">
        <x:v>Fuentes: app/Services/Fiscal/FiscalDocumentPersistence.php; config/venezuela.php; tests/Unit/FiscalLineCalculationTest.php
Entrada: Líneas, descuentos globales y resumen de factura</x:v>
      </x:c>
    </x:row>
    <x:row r="107" ht="44" customHeight="1">
      <x:c r="A107" s="13" t="str">
        <x:v>QA-CAL-009</x:v>
      </x:c>
      <x:c r="B107" s="13" t="str">
        <x:v>Descuento global gravado</x:v>
      </x:c>
      <x:c r="C107" s="13" t="str">
        <x:v>P-G=116 IVA incluido; P-E=50; R 1=40.12345678; dinero final a dos decimales.
P-G con descuento global sobre base 10</x:v>
      </x:c>
      <x:c r="D107" s="13" t="str">
        <x:v>1. Activar global monto
2. Guardar
3. Comparar descuento distribuido y resumen</x:v>
      </x:c>
      <x:c r="E107" s="13" t="str">
        <x:v>Base 90/IVA 14.40/total 104.40 si el tipo ajusta base; global no se repite cuando ya se distribuyó en líneas.</x:v>
      </x:c>
      <x:c r="F107" s="13" t="str">
        <x:v>Fuentes: app/Services/Fiscal/FiscalDocumentPersistence.php; config/venezuela.php; tests/Unit/FiscalLineCalculationTest.php
Entrada: Líneas, descuentos globales y resumen de factura</x:v>
      </x:c>
    </x:row>
    <x:row r="108" ht="44" customHeight="1">
      <x:c r="A108" s="13" t="str">
        <x:v>QA-CAL-010</x:v>
      </x:c>
      <x:c r="B108" s="13" t="str">
        <x:v>Descuento global exento</x:v>
      </x:c>
      <x:c r="C108" s="13" t="str">
        <x:v>P-G=116 IVA incluido; P-E=50; R 1=40.12345678; dinero final a dos decimales.
P-E cantidad 2 base 100</x:v>
      </x:c>
      <x:c r="D108" s="13" t="str">
        <x:v>1. Aplicar descuento global exento 10
2. Guardar
3. Comparar impuestos</x:v>
      </x:c>
      <x:c r="E108" s="13" t="str">
        <x:v>Exento 90/IVA 0/total 90; no se toma descuento de una base gravada ajena.</x:v>
      </x:c>
      <x:c r="F108" s="13" t="str">
        <x:v>Fuentes: app/Services/Fiscal/FiscalDocumentPersistence.php; config/venezuela.php; tests/Unit/FiscalLineCalculationTest.php
Entrada: Líneas, descuentos globales y resumen de factura</x:v>
      </x:c>
    </x:row>
    <x:row r="109" ht="44" customHeight="1">
      <x:c r="A109" s="13" t="str">
        <x:v>QA-CAL-011</x:v>
      </x:c>
      <x:c r="B109" s="13" t="str">
        <x:v>Factura mixta con global</x:v>
      </x:c>
      <x:c r="C109" s="13" t="str">
        <x:v>P-G=116 IVA incluido; P-E=50; R 1=40.12345678; dinero final a dos decimales.
Gravado 116 y exento 50</x:v>
      </x:c>
      <x:c r="D109" s="13" t="str">
        <x:v>1. Aplicar descuento global según tipo activo
2. Calcular distribución por regla observada documentada
3. Guardar y conciliar líneas/resumen</x:v>
      </x:c>
      <x:c r="E109" s="13" t="str">
        <x:v>Bases de cada afectación y suma concilian; se identifica regla de distribución y no se deduce desde el total final únicamente.</x:v>
      </x:c>
      <x:c r="F109" s="13" t="str">
        <x:v>Fuentes: app/Services/Fiscal/FiscalDocumentPersistence.php; config/venezuela.php; tests/Unit/FiscalLineCalculationTest.php
Entrada: Líneas, descuentos globales y resumen de factura</x:v>
      </x:c>
    </x:row>
    <x:row r="110" ht="44" customHeight="1">
      <x:c r="A110" s="13" t="str">
        <x:v>QA-CAL-012</x:v>
      </x:c>
      <x:c r="B110" s="13" t="str">
        <x:v>Descuentos inválidos</x:v>
      </x:c>
      <x:c r="C110" s="13" t="str">
        <x:v>P-G=116 IVA incluido; P-E=50; R 1=40.12345678; dinero final a dos decimales.
Base 100 del fixture</x:v>
      </x:c>
      <x:c r="D110" s="13" t="str">
        <x:v>1. Probar negativo, &gt;base y porcentaje fuera del contrato
2. Enviar por POST aunque UI bloquee
3. Leer efectos</x:v>
      </x:c>
      <x:c r="E110" s="13" t="str">
        <x:v>No se genera base/total negativos ni se persiste descuento inválido. Diferencias UI/backend se reportan.</x:v>
      </x:c>
      <x:c r="F110" s="13" t="str">
        <x:v>Fuentes: app/Services/Fiscal/FiscalDocumentPersistence.php; config/venezuela.php; tests/Unit/FiscalLineCalculationTest.php
Entrada: Líneas, descuentos globales y resumen de factura</x:v>
      </x:c>
    </x:row>
    <x:row r="111" ht="44" customHeight="1">
      <x:c r="A111" s="13" t="str">
        <x:v>QA-CAL-013</x:v>
      </x:c>
      <x:c r="B111" s="13" t="str">
        <x:v>Cargos de línea</x:v>
      </x:c>
      <x:c r="C111" s="13" t="str">
        <x:v>P-G=116 IVA incluido; P-E=50; R 1=40.12345678; dinero final a dos decimales.
P-G con cargo de 10 % sobre bruto base</x:v>
      </x:c>
      <x:c r="D111" s="13" t="str">
        <x:v>1. Aplicar cargo disponible
2. Guardar
3. Leer base/IVA/total</x:v>
      </x:c>
      <x:c r="E111" s="13" t="str">
        <x:v>En cálculo actual: cargo 10, base IVA 100, IVA 16, total 126. Verificar tipo real; no atribuir IVA adicional sin contrato.</x:v>
      </x:c>
      <x:c r="F111" s="13" t="str">
        <x:v>Fuentes: app/Services/Fiscal/FiscalDocumentPersistence.php; config/venezuela.php; tests/Unit/FiscalLineCalculationTest.php
Entrada: Líneas, descuentos globales y resumen de factura</x:v>
      </x:c>
    </x:row>
    <x:row r="112" ht="44" customHeight="1">
      <x:c r="A112" s="13" t="str">
        <x:v>QA-CAL-014</x:v>
      </x:c>
      <x:c r="B112" s="13" t="str">
        <x:v>Cargos globales</x:v>
      </x:c>
      <x:c r="C112" s="13" t="str">
        <x:v>P-G=116 IVA incluido; P-E=50; R 1=40.12345678; dinero final a dos decimales.
Documento sin cargo previo</x:v>
      </x:c>
      <x:c r="D112" s="13" t="str">
        <x:v>1. Agregar cargo global positivo y quitarlo
2. Guardar variantes con/sin cargo
3. Comparar línea, resumen y HKA</x:v>
      </x:c>
      <x:c r="E112" s="13" t="str">
        <x:v>Cargo aplicado una vez conforme a tipo; total y payload adaptado concilian sin doble IVA ni doble recargo.</x:v>
      </x:c>
      <x:c r="F112" s="13" t="str">
        <x:v>Fuentes: app/Services/Fiscal/FiscalDocumentPersistence.php; config/venezuela.php; tests/Unit/FiscalLineCalculationTest.php
Entrada: Líneas, descuentos globales y resumen de factura</x:v>
      </x:c>
    </x:row>
    <x:row r="113" ht="44" customHeight="1">
      <x:c r="A113" s="13" t="str">
        <x:v>QA-CAL-015</x:v>
      </x:c>
      <x:c r="B113" s="13" t="str">
        <x:v>Todos los tipos de descuentos y cargos</x:v>
      </x:c>
      <x:c r="C113" s="13" t="str">
        <x:v>P-G=116 IVA incluido; P-E=50; R 1=40.12345678; dinero final a dos decimales.
Inventario activo y permitido del tenant</x:v>
      </x:c>
      <x:c r="D113" s="13" t="str">
        <x:v>1. Crear QA-EXT para cada tipo por línea/global disponible
2. Ejecutar porcentaje/monto cuando se ofrezcan
3. Registrar base, IVA, total y payload</x:v>
      </x:c>
      <x:c r="E113" s="13" t="str">
        <x:v>Cada opción real tiene resultado individual. Ninguna opción se considera cubierta sólo por probar otra del mismo catálogo.</x:v>
      </x:c>
      <x:c r="F113" s="13" t="str">
        <x:v>Fuentes: app/Services/Fiscal/FiscalDocumentPersistence.php; config/venezuela.php; tests/Unit/FiscalLineCalculationTest.php
Entrada: Líneas, descuentos globales y resumen de factura</x:v>
      </x:c>
    </x:row>
    <x:row r="114" ht="44" customHeight="1">
      <x:c r="A114" s="13" t="str">
        <x:v>QA-CAL-016</x:v>
      </x:c>
      <x:c r="B114" s="13" t="str">
        <x:v>Otros impuestos identificados</x:v>
      </x:c>
      <x:c r="C114" s="13" t="str">
        <x:v>P-G=116 IVA incluido; P-E=50; R 1=40.12345678; dinero final a dos decimales.
Creación por API/local soportada con taxes</x:v>
      </x:c>
      <x:c r="D114" s="13" t="str">
        <x:v>1. Enviar OTI código QA, base 100 y 2 %
2. Guardar y leer impuesto/equivalente VES
3. Enviar total_other_taxes sin detalle</x:v>
      </x:c>
      <x:c r="E114" s="13" t="str">
        <x:v>OTI 2 se conserva separado e identificado; total genérico sin detalle se rechaza. Aceptación HKA se mide aparte.</x:v>
      </x:c>
      <x:c r="F114" s="13" t="str">
        <x:v>Fuentes: app/Services/Fiscal/FiscalDocumentPersistence.php; config/venezuela.php; tests/Unit/FiscalLineCalculationTest.php
Entrada: Líneas, descuentos globales y resumen de factura</x:v>
      </x:c>
    </x:row>
    <x:row r="115" ht="44" customHeight="1">
      <x:c r="A115" s="13" t="str">
        <x:v>QA-CAL-017</x:v>
      </x:c>
      <x:c r="B115" s="13" t="str">
        <x:v>Redondeo de líneas</x:v>
      </x:c>
      <x:c r="C115" s="13" t="str">
        <x:v>P-G=116 IVA incluido; P-E=50; R 1=40.12345678; dinero final a dos decimales.
Valores 0.01,0.03 y 3 líneas repetidas gravadas</x:v>
      </x:c>
      <x:c r="D115" s="13" t="str">
        <x:v>1. Calcular con Decimal cada línea
2. Guardar
3. Comparar suma IVA y total documento</x:v>
      </x:c>
      <x:c r="E115" s="13" t="str">
        <x:v>Redondeo monetario por línea vigente y resumen concilian; no sustituir tasa precisa por un valor redondeado.</x:v>
      </x:c>
      <x:c r="F115" s="13" t="str">
        <x:v>Fuentes: app/Services/Fiscal/FiscalDocumentPersistence.php; config/venezuela.php; tests/Unit/FiscalLineCalculationTest.php
Entrada: Líneas, descuentos globales y resumen de factura</x:v>
      </x:c>
    </x:row>
    <x:row r="116" ht="44" customHeight="1">
      <x:c r="A116" s="13" t="str">
        <x:v>QA-CAL-018</x:v>
      </x:c>
      <x:c r="B116" s="13" t="str">
        <x:v>Descuento con redondeo distribuido</x:v>
      </x:c>
      <x:c r="C116" s="13" t="str">
        <x:v>P-G=116 IVA incluido; P-E=50; R 1=40.12345678; dinero final a dos decimales.
3 líneas de importes distintos</x:v>
      </x:c>
      <x:c r="D116" s="13" t="str">
        <x:v>1. Aplicar global 0.01 y 1.00 en variantes
2. Guardar y preparar HKA con doble
3. Conciliar centavos local/VES</x:v>
      </x:c>
      <x:c r="E116" s="13" t="str">
        <x:v>El centavo residual se resuelve según algoritmo documentado; descuento no desaparece ni se repite.</x:v>
      </x:c>
      <x:c r="F116" s="13" t="str">
        <x:v>Fuentes: app/Services/Fiscal/FiscalDocumentPersistence.php; config/venezuela.php; tests/Unit/FiscalLineCalculationTest.php
Entrada: Líneas, descuentos globales y resumen de factura</x:v>
      </x:c>
    </x:row>
    <x:row r="117" ht="44" customHeight="1">
      <x:c r="A117" s="13" t="str">
        <x:v>QA-CAL-019</x:v>
      </x:c>
      <x:c r="B117" s="13" t="str">
        <x:v>Total en letras y equivalentes</x:v>
      </x:c>
      <x:c r="C117" s="13" t="str">
        <x:v>P-G=116 IVA incluido; P-E=50; R 1=40.12345678; dinero final a dos decimales.
Factura VES y USD</x:v>
      </x:c>
      <x:c r="D117" s="13" t="str">
        <x:v>1. Guardar ambas
2. Revisar ticket y datos conservados
3. Comparar importe en letras y VES</x:v>
      </x:c>
      <x:c r="E117" s="13" t="str">
        <x:v>Texto y símbolos corresponden a moneda/total y no incorporan efectivo recibido o vuelto como venta.</x:v>
      </x:c>
      <x:c r="F117" s="13" t="str">
        <x:v>Fuentes: app/Services/Fiscal/FiscalDocumentPersistence.php; config/venezuela.php; tests/Unit/FiscalLineCalculationTest.php
Entrada: Líneas, descuentos globales y resumen de factura</x:v>
      </x:c>
    </x:row>
    <x:row r="118" ht="44" customHeight="1">
      <x:c r="A118" s="13" t="str">
        <x:v>QA-FAC-001</x:v>
      </x:c>
      <x:c r="B118" s="13" t="str">
        <x:v>Venta de contado pagada completamente</x:v>
      </x:c>
      <x:c r="C118" s="13" t="str">
        <x:v>Caja abierta; factura 01/0101, serie QA-FF-01 o vacía, fixtures monetarios.
P-G total 116 y caja abierta</x:v>
      </x:c>
      <x:c r="D118" s="13" t="str">
        <x:v>1. Seleccionar Contado
2. Registrar pago 116 con medio/destino activo
3. Generar y recargar</x:v>
      </x:c>
      <x:c r="E118" s="13" t="str">
        <x:v>Factura única con cobro 116 y saldo 0; resultado local y estado HKA separados; una salida de stock y una recepción real.</x:v>
      </x:c>
      <x:c r="F118" s="13" t="str">
        <x:v>Fuentes: resources/js/views/tenant/documents/invoice_generate.vue; app/CoreFacturalo/Facturalo.php; app/Http/Controllers/Tenant/DocumentController.php
Entrada: /documents/create; POST /documents</x:v>
      </x:c>
    </x:row>
    <x:row r="119" ht="44" customHeight="1">
      <x:c r="A119" s="13" t="str">
        <x:v>QA-FAC-002</x:v>
      </x:c>
      <x:c r="B119" s="13" t="str">
        <x:v>Contado con varios medios</x:v>
      </x:c>
      <x:c r="C119" s="13" t="str">
        <x:v>Caja abierta; factura 01/0101, serie QA-FF-01 o vacía, fixtures monetarios.
Total 116</x:v>
      </x:c>
      <x:c r="D119" s="13" t="str">
        <x:v>1. Agregar efectivo 60 y banco 56
2. Generar
3. Leer pagos y caja/banco</x:v>
      </x:c>
      <x:c r="E119" s="13" t="str">
        <x:v>Dos pagos reales total 116, saldo 0; cada destino recibe su importe; no se duplica recepción por mostrar total de factura.</x:v>
      </x:c>
      <x:c r="F119" s="13" t="str">
        <x:v>Fuentes: resources/js/views/tenant/documents/invoice_generate.vue; app/CoreFacturalo/Facturalo.php; app/Http/Controllers/Tenant/DocumentController.php
Entrada: /documents/create; POST /documents</x:v>
      </x:c>
    </x:row>
    <x:row r="120" ht="44" customHeight="1">
      <x:c r="A120" s="13" t="str">
        <x:v>QA-FAC-003</x:v>
      </x:c>
      <x:c r="B120" s="13" t="str">
        <x:v>Contado parcial o sin cobro</x:v>
      </x:c>
      <x:c r="C120" s="13" t="str">
        <x:v>Caja abierta; factura 01/0101, serie QA-FF-01 o vacía, fixtures monetarios.
Factura ordinaria en QA</x:v>
      </x:c>
      <x:c r="D120" s="13" t="str">
        <x:v>1. Crear variante pago 50 y variante sin pago si UI lo permite
2. Generar
3. Leer saldo y resultado HKA</x:v>
      </x:c>
      <x:c r="E120" s="13" t="str">
        <x:v>Se identifica comportamiento permitido del contado ordinario; saldo y condición no se falsean. Si hay restricción configurada, debe bloquear de modo coherente. No inventar cobros para lograr aceptación HKA.</x:v>
      </x:c>
      <x:c r="F120" s="13" t="str">
        <x:v>Fuentes: resources/js/views/tenant/documents/invoice_generate.vue; app/CoreFacturalo/Facturalo.php; app/Http/Controllers/Tenant/DocumentController.php
Entrada: /documents/create; POST /documents</x:v>
      </x:c>
    </x:row>
    <x:row r="121" ht="44" customHeight="1">
      <x:c r="A121" s="13" t="str">
        <x:v>QA-FAC-004</x:v>
      </x:c>
      <x:c r="B121" s="13" t="str">
        <x:v>Crédito sin pagos</x:v>
      </x:c>
      <x:c r="C121" s="13" t="str">
        <x:v>Caja abierta; factura 01/0101, serie QA-FF-01 o vacía, fixtures monetarios.
P-G total 116 y cliente elegible</x:v>
      </x:c>
      <x:c r="D121" s="13" t="str">
        <x:v>1. Seleccionar Crédito
2. Completar vencimiento/cuota requerida por la pantalla
3. Generar y revisar Finanzas</x:v>
      </x:c>
      <x:c r="E121" s="13" t="str">
        <x:v>Factura local con saldo 116 y sin entrada de caja; aceptación HKA se registra de manera independiente y no se presupone por el guardado.</x:v>
      </x:c>
      <x:c r="F121" s="13" t="str">
        <x:v>Fuentes: resources/js/views/tenant/documents/invoice_generate.vue; app/CoreFacturalo/Facturalo.php; app/Http/Controllers/Tenant/DocumentController.php
Entrada: /documents/create; POST /documents</x:v>
      </x:c>
    </x:row>
    <x:row r="122" ht="44" customHeight="1">
      <x:c r="A122" s="13" t="str">
        <x:v>QA-FAC-005</x:v>
      </x:c>
      <x:c r="B122" s="13" t="str">
        <x:v>Crédito con inicial</x:v>
      </x:c>
      <x:c r="C122" s="13" t="str">
        <x:v>Caja abierta; factura 01/0101, serie QA-FF-01 o vacía, fixtures monetarios.
Total 116</x:v>
      </x:c>
      <x:c r="D122" s="13" t="str">
        <x:v>1. Elegir crédito y cobrar 20 por flujo que lo soporte
2. Guardar
3. Leer vencimientos, principal y saldo</x:v>
      </x:c>
      <x:c r="E122" s="13" t="str">
        <x:v>Inicial 20 real y saldo 96; vencimientos/condición coherentes sin duplicar inicial en cuotas.</x:v>
      </x:c>
      <x:c r="F122" s="13" t="str">
        <x:v>Fuentes: resources/js/views/tenant/documents/invoice_generate.vue; app/CoreFacturalo/Facturalo.php; app/Http/Controllers/Tenant/DocumentController.php
Entrada: /documents/create; POST /documents</x:v>
      </x:c>
    </x:row>
    <x:row r="123" ht="44" customHeight="1">
      <x:c r="A123" s="13" t="str">
        <x:v>QA-FAC-006</x:v>
      </x:c>
      <x:c r="B123" s="13" t="str">
        <x:v>Crédito con cuotas</x:v>
      </x:c>
      <x:c r="C123" s="13" t="str">
        <x:v>Caja abierta; factura 01/0101, serie QA-FF-01 o vacía, fixtures monetarios.
Total 116 y opción 03 visible</x:v>
      </x:c>
      <x:c r="D123" s="13" t="str">
        <x:v>1. Crear cuotas 58+58 con fechas válidas
2. Guardar
3. Reabrir detalle y cuentas por cobrar</x:v>
      </x:c>
      <x:c r="E123" s="13" t="str">
        <x:v>Calendario persistido y suma 116; si la preparación HKA no admite condición 03, hay error explícito y factura local íntegra. No se equipara automáticamente 03 a 02.</x:v>
      </x:c>
      <x:c r="F123" s="13" t="str">
        <x:v>Fuentes: resources/js/views/tenant/documents/invoice_generate.vue; app/CoreFacturalo/Facturalo.php; app/Http/Controllers/Tenant/DocumentController.php
Entrada: /documents/create; POST /documents</x:v>
      </x:c>
    </x:row>
    <x:row r="124" ht="44" customHeight="1">
      <x:c r="A124" s="13" t="str">
        <x:v>QA-FAC-007</x:v>
      </x:c>
      <x:c r="B124" s="13" t="str">
        <x:v>Cuotas inválidas</x:v>
      </x:c>
      <x:c r="C124" s="13" t="str">
        <x:v>Caja abierta; factura 01/0101, serie QA-FF-01 o vacía, fixtures monetarios.
Crédito con cuotas</x:v>
      </x:c>
      <x:c r="D124" s="13" t="str">
        <x:v>1. Probar suma 115/117, negativo, fecha inválida y cuota vacía
2. Repetir POST
3. Leer persistencia</x:v>
      </x:c>
      <x:c r="E124" s="13" t="str">
        <x:v>Se rechazan datos que incumplen contrato de cuotas; ninguna factura parcial. Si backend acepta incoherencia, registrar defecto.</x:v>
      </x:c>
      <x:c r="F124" s="13" t="str">
        <x:v>Fuentes: resources/js/views/tenant/documents/invoice_generate.vue; app/CoreFacturalo/Facturalo.php; app/Http/Controllers/Tenant/DocumentController.php
Entrada: /documents/create; POST /documents</x:v>
      </x:c>
    </x:row>
    <x:row r="125" ht="44" customHeight="1">
      <x:c r="A125" s="13" t="str">
        <x:v>QA-FAC-008</x:v>
      </x:c>
      <x:c r="B125" s="13" t="str">
        <x:v>Cliente con crédito vencido</x:v>
      </x:c>
      <x:c r="C125" s="13" t="str">
        <x:v>Caja abierta; factura 01/0101, serie QA-FF-01 o vacía, fixtures monetarios.
Política de vencidos habilitada</x:v>
      </x:c>
      <x:c r="D125" s="13" t="str">
        <x:v>1. Seleccionar cliente vencido
2. Intentar contado/crédito según regla configurada
3. Repetir vía HTTP</x:v>
      </x:c>
      <x:c r="E125" s="13" t="str">
        <x:v>La regla efectiva de autorización se aplica con mensaje identificable y sin crear ventas prohibidas; el caso registra la configuración exacta.</x:v>
      </x:c>
      <x:c r="F125" s="13" t="str">
        <x:v>Fuentes: resources/js/views/tenant/documents/invoice_generate.vue; app/CoreFacturalo/Facturalo.php; app/Http/Controllers/Tenant/DocumentController.php
Entrada: /documents/create; POST /documents</x:v>
      </x:c>
    </x:row>
    <x:row r="126" ht="44" customHeight="1">
      <x:c r="A126" s="13" t="str">
        <x:v>QA-FAC-009</x:v>
      </x:c>
      <x:c r="B126" s="13" t="str">
        <x:v>Caja cerrada al entrar</x:v>
      </x:c>
      <x:c r="C126" s="13" t="str">
        <x:v>Caja abierta; factura 01/0101, serie QA-FF-01 o vacía, fixtures monetarios.
Usuario sin caja abierta</x:v>
      </x:c>
      <x:c r="D126" s="13" t="str">
        <x:v>1. Abrir /documents/create
2. Intentar acceso sin permiso para caja
3. Intentar POST efectivo directo</x:v>
      </x:c>
      <x:c r="E126" s="13" t="str">
        <x:v>Interfaz deriva a caja o avisa falta de permiso; cobro cash sin caja no se registra. No se crea venta huérfana de cobro.</x:v>
      </x:c>
      <x:c r="F126" s="13" t="str">
        <x:v>Fuentes: resources/js/views/tenant/documents/invoice_generate.vue; app/CoreFacturalo/Facturalo.php; app/Http/Controllers/Tenant/DocumentController.php
Entrada: /documents/create; POST /documents</x:v>
      </x:c>
    </x:row>
    <x:row r="127" ht="44" customHeight="1">
      <x:c r="A127" s="13" t="str">
        <x:v>QA-FAC-010</x:v>
      </x:c>
      <x:c r="B127" s="13" t="str">
        <x:v>Caja cerrada durante el borrador</x:v>
      </x:c>
      <x:c r="C127" s="13" t="str">
        <x:v>Caja abierta; factura 01/0101, serie QA-FF-01 o vacía, fixtures monetarios.
Caja abierta al comenzar</x:v>
      </x:c>
      <x:c r="D127" s="13" t="str">
        <x:v>1. Preparar factura
2. Cerrar caja en otra sesión
3. Guardar con destino cash</x:v>
      </x:c>
      <x:c r="E127" s="13" t="str">
        <x:v>Validación del estado actual evita recepción en caja cerrada; error conserva o recupera borrador sin factura parcial.</x:v>
      </x:c>
      <x:c r="F127" s="13" t="str">
        <x:v>Fuentes: resources/js/views/tenant/documents/invoice_generate.vue; app/CoreFacturalo/Facturalo.php; app/Http/Controllers/Tenant/DocumentController.php
Entrada: /documents/create; POST /documents</x:v>
      </x:c>
    </x:row>
    <x:row r="128" ht="44" customHeight="1">
      <x:c r="A128" s="13" t="str">
        <x:v>QA-FAC-011</x:v>
      </x:c>
      <x:c r="B128" s="13" t="str">
        <x:v>Cancelar borrador</x:v>
      </x:c>
      <x:c r="C128" s="13" t="str">
        <x:v>Caja abierta; factura 01/0101, serie QA-FF-01 o vacía, fixtures monetarios.
Borrador con líneas/pagos</x:v>
      </x:c>
      <x:c r="D128" s="13" t="str">
        <x:v>1. Cancelar/cerrar antes de Generar
2. Abrir listado
3. Leer conteos y stock</x:v>
      </x:c>
      <x:c r="E128" s="13" t="str">
        <x:v>No hay documento, pago, stock ni emisión; no se consume numeración.</x:v>
      </x:c>
      <x:c r="F128" s="13" t="str">
        <x:v>Fuentes: resources/js/views/tenant/documents/invoice_generate.vue; app/CoreFacturalo/Facturalo.php; app/Http/Controllers/Tenant/DocumentController.php
Entrada: /documents/create; POST /documents</x:v>
      </x:c>
    </x:row>
    <x:row r="129" ht="44" customHeight="1">
      <x:c r="A129" s="13" t="str">
        <x:v>QA-FAC-012</x:v>
      </x:c>
      <x:c r="B129" s="13" t="str">
        <x:v>Nueva factura después de generar</x:v>
      </x:c>
      <x:c r="C129" s="13" t="str">
        <x:v>Caja abierta; factura 01/0101, serie QA-FF-01 o vacía, fixtures monetarios.
Factura previa con cliente y observaciones</x:v>
      </x:c>
      <x:c r="D129" s="13" t="str">
        <x:v>1. Usar Nuevo comprobante
2. Inspeccionar formulario
3. Crear segunda factura distinta</x:v>
      </x:c>
      <x:c r="E129" s="13" t="str">
        <x:v>No se heredan indebidamente pagos, resultado fiscal, tercero, INCOTERM u observaciones; la serie válida se conserva según preferencias.</x:v>
      </x:c>
      <x:c r="F129" s="13" t="str">
        <x:v>Fuentes: resources/js/views/tenant/documents/invoice_generate.vue; app/CoreFacturalo/Facturalo.php; app/Http/Controllers/Tenant/DocumentController.php
Entrada: /documents/create; POST /documents</x:v>
      </x:c>
    </x:row>
    <x:row r="130" ht="44" customHeight="1">
      <x:c r="A130" s="13" t="str">
        <x:v>QA-FAC-013</x:v>
      </x:c>
      <x:c r="B130" s="13" t="str">
        <x:v>Doble clic Generar</x:v>
      </x:c>
      <x:c r="C130" s="13" t="str">
        <x:v>Caja abierta; factura 01/0101, serie QA-FF-01 o vacía, fixtures monetarios.
Dos clics rápidos o respuesta retrasada</x:v>
      </x:c>
      <x:c r="D130" s="13" t="str">
        <x:v>1. Generar dos veces desde UI
2. Contar requests
3. Leer facturas y stock</x:v>
      </x:c>
      <x:c r="E130" s="13" t="str">
        <x:v>UI impide doble envío mientras ocupado. Probar replay HTTP aparte, sin asumir idempotencia de creación general.</x:v>
      </x:c>
      <x:c r="F130" s="13" t="str">
        <x:v>Fuentes: resources/js/views/tenant/documents/invoice_generate.vue; app/CoreFacturalo/Facturalo.php; app/Http/Controllers/Tenant/DocumentController.php
Entrada: /documents/create; POST /documents</x:v>
      </x:c>
    </x:row>
    <x:row r="131" ht="44" customHeight="1">
      <x:c r="A131" s="13" t="str">
        <x:v>QA-FAC-014</x:v>
      </x:c>
      <x:c r="B131" s="13" t="str">
        <x:v>Pérdida de respuesta de creación</x:v>
      </x:c>
      <x:c r="C131" s="13" t="str">
        <x:v>Caja abierta; factura 01/0101, serie QA-FF-01 o vacía, fixtures monetarios.
Servidor guarda pero cliente pierde respuesta en doble</x:v>
      </x:c>
      <x:c r="D131" s="13" t="str">
        <x:v>1. Cortar sólo la respuesta
2. Recargar/listar por identidad de prueba
3. Repetir manualmente sólo tras conocer resultado</x:v>
      </x:c>
      <x:c r="E131" s="13" t="str">
        <x:v>Agente recupera venta existente; UI comunica situación sin inducir duplicado. Si replay de creación duplica, registrar defecto y no declarar UUID de pagos como idempotencia de ventas.</x:v>
      </x:c>
      <x:c r="F131" s="13" t="str">
        <x:v>Fuentes: resources/js/views/tenant/documents/invoice_generate.vue; app/CoreFacturalo/Facturalo.php; app/Http/Controllers/Tenant/DocumentController.php
Entrada: /documents/create; POST /documents</x:v>
      </x:c>
    </x:row>
    <x:row r="132" ht="44" customHeight="1">
      <x:c r="A132" s="13" t="str">
        <x:v>QA-FAC-015</x:v>
      </x:c>
      <x:c r="B132" s="13" t="str">
        <x:v>Límites del plan y tenant bloqueado</x:v>
      </x:c>
      <x:c r="C132" s="13" t="str">
        <x:v>Caja abierta; factura 01/0101, serie QA-FF-01 o vacía, fixtures monetarios.
Plan QA con umbral pequeño y otro tenant bloqueado</x:v>
      </x:c>
      <x:c r="D132" s="13" t="str">
        <x:v>1. Alcanzar límite controlado
2. Intentar nueva factura por web/API
3. Revisar conteos</x:v>
      </x:c>
      <x:c r="E132" s="13" t="str">
        <x:v>Restricciones de plan y bloqueo se cumplen antes de efectos prohibidos; mensajes permiten distinguir del rechazo HKA.</x:v>
      </x:c>
      <x:c r="F132" s="13" t="str">
        <x:v>Fuentes: resources/js/views/tenant/documents/invoice_generate.vue; app/CoreFacturalo/Facturalo.php; app/Http/Controllers/Tenant/DocumentController.php
Entrada: /documents/create; POST /documents</x:v>
      </x:c>
    </x:row>
    <x:row r="133" ht="44" customHeight="1">
      <x:c r="A133" s="13" t="str">
        <x:v>QA-FAC-016</x:v>
      </x:c>
      <x:c r="B133" s="13" t="str">
        <x:v>Emisor conservado</x:v>
      </x:c>
      <x:c r="C133" s="13" t="str">
        <x:v>Caja abierta; factura 01/0101, serie QA-FF-01 o vacía, fixtures monetarios.
Factura guardada antes de cambiar empresa</x:v>
      </x:c>
      <x:c r="D133" s="13" t="str">
        <x:v>1. Modificar nombre/dirección/logo en QA
2. Consultar documento y reimprimir local/ticket
3. Leer payload congelado</x:v>
      </x:c>
      <x:c r="E133" s="13" t="str">
        <x:v>Emisor del documento/snapshot no cambia por ficha actual. Cambio de RIF/configuración impide envío incompatible.</x:v>
      </x:c>
      <x:c r="F133" s="13" t="str">
        <x:v>Fuentes: resources/js/views/tenant/documents/invoice_generate.vue; app/CoreFacturalo/Facturalo.php; app/Http/Controllers/Tenant/DocumentController.php
Entrada: /documents/create; POST /documents</x:v>
      </x:c>
    </x:row>
    <x:row r="134" ht="44" customHeight="1">
      <x:c r="A134" s="13" t="str">
        <x:v>QA-EXP-001</x:v>
      </x:c>
      <x:c r="B134" s="13" t="str">
        <x:v>Exportación FOB en VES</x:v>
      </x:c>
      <x:c r="C134" s="13" t="str">
        <x:v>ND extranjero con tipo externo real de fixture; bienes UND; digital/demo; contado pagado; tasa R 1.
Cliente ND y bien 100 VES; contado; operación 0201; tasa R 1.</x:v>
      </x:c>
      <x:c r="D134" s="13" t="str">
        <x:v>1. Seleccionar 0201 FOB y comprador ND
2. Agregar bien con EXP y precio 100 VES
3. Pagar 100, guardar y capturar documento/payload/resultado fiscal</x:v>
      </x:c>
      <x:c r="E134" s="13" t="str">
        <x:v>Factura interna 01; operación 0201, INCOTERMFOB, EXP IVA 0, total exportado 100 VES separado de exento. Snapshot/totales VES conservados. En USD HKA usa copia VES y totalesOtraMoneda USD sin cambiar dinero local. Aceptación real se exige sólo en la ejecución DEMO real designada.</x:v>
      </x:c>
      <x:c r="F134" s="13" t="str">
        <x:v>Fuentes: app/Services/ExportInvoicePolicy.php; informes/facturas_exportacion_hka.md; tests/Unit/ExportInvoiceTest.php
Entrada: Comprobantes web /documents/create, operación 0201/0202/0203</x:v>
      </x:c>
    </x:row>
    <x:row r="135" ht="44" customHeight="1">
      <x:c r="A135" s="13" t="str">
        <x:v>QA-EXP-002</x:v>
      </x:c>
      <x:c r="B135" s="13" t="str">
        <x:v>Exportación FOB en USD</x:v>
      </x:c>
      <x:c r="C135" s="13" t="str">
        <x:v>ND extranjero con tipo externo real de fixture; bienes UND; digital/demo; contado pagado; tasa R 1.
Cliente ND y bien 100 USD; contado; operación 0201; tasa R 1.</x:v>
      </x:c>
      <x:c r="D135" s="13" t="str">
        <x:v>1. Seleccionar 0201 FOB y comprador ND
2. Agregar bien con EXP y precio 100 USD
3. Pagar 100, guardar y capturar documento/payload/resultado fiscal</x:v>
      </x:c>
      <x:c r="E135" s="13" t="str">
        <x:v>Factura interna 01; operación 0201, INCOTERMFOB, EXP IVA 0, total exportado 100 USD separado de exento. Snapshot/totales VES conservados. En USD HKA usa copia VES y totalesOtraMoneda USD sin cambiar dinero local. Aceptación real se exige sólo en la ejecución DEMO real designada.</x:v>
      </x:c>
      <x:c r="F135" s="13" t="str">
        <x:v>Fuentes: app/Services/ExportInvoicePolicy.php; informes/facturas_exportacion_hka.md; tests/Unit/ExportInvoiceTest.php
Entrada: Comprobantes web /documents/create, operación 0201/0202/0203</x:v>
      </x:c>
    </x:row>
    <x:row r="136" ht="44" customHeight="1">
      <x:c r="A136" s="13" t="str">
        <x:v>QA-EXP-003</x:v>
      </x:c>
      <x:c r="B136" s="13" t="str">
        <x:v>Exportación CIF en VES</x:v>
      </x:c>
      <x:c r="C136" s="13" t="str">
        <x:v>ND extranjero con tipo externo real de fixture; bienes UND; digital/demo; contado pagado; tasa R 1.
Cliente ND y bien 100 VES; contado; operación 0202; tasa R 1.</x:v>
      </x:c>
      <x:c r="D136" s="13" t="str">
        <x:v>1. Seleccionar 0202 CIF y comprador ND
2. Agregar bien con EXP y precio 100 VES
3. Pagar 100, guardar y capturar documento/payload/resultado fiscal</x:v>
      </x:c>
      <x:c r="E136" s="13" t="str">
        <x:v>Factura interna 01; operación 0202, INCOTERMCIF, EXP IVA 0, total exportado 100 VES separado de exento. Snapshot/totales VES conservados. En USD HKA usa copia VES y totalesOtraMoneda USD sin cambiar dinero local. Aceptación real se exige sólo en la ejecución DEMO real designada.</x:v>
      </x:c>
      <x:c r="F136" s="13" t="str">
        <x:v>Fuentes: app/Services/ExportInvoicePolicy.php; informes/facturas_exportacion_hka.md; tests/Unit/ExportInvoiceTest.php
Entrada: Comprobantes web /documents/create, operación 0201/0202/0203</x:v>
      </x:c>
    </x:row>
    <x:row r="137" ht="44" customHeight="1">
      <x:c r="A137" s="13" t="str">
        <x:v>QA-EXP-004</x:v>
      </x:c>
      <x:c r="B137" s="13" t="str">
        <x:v>Exportación CIF en USD</x:v>
      </x:c>
      <x:c r="C137" s="13" t="str">
        <x:v>ND extranjero con tipo externo real de fixture; bienes UND; digital/demo; contado pagado; tasa R 1.
Cliente ND y bien 100 USD; contado; operación 0202; tasa R 1.</x:v>
      </x:c>
      <x:c r="D137" s="13" t="str">
        <x:v>1. Seleccionar 0202 CIF y comprador ND
2. Agregar bien con EXP y precio 100 USD
3. Pagar 100, guardar y capturar documento/payload/resultado fiscal</x:v>
      </x:c>
      <x:c r="E137" s="13" t="str">
        <x:v>Factura interna 01; operación 0202, INCOTERMCIF, EXP IVA 0, total exportado 100 USD separado de exento. Snapshot/totales VES conservados. En USD HKA usa copia VES y totalesOtraMoneda USD sin cambiar dinero local. Aceptación real se exige sólo en la ejecución DEMO real designada.</x:v>
      </x:c>
      <x:c r="F137" s="13" t="str">
        <x:v>Fuentes: app/Services/ExportInvoicePolicy.php; informes/facturas_exportacion_hka.md; tests/Unit/ExportInvoiceTest.php
Entrada: Comprobantes web /documents/create, operación 0201/0202/0203</x:v>
      </x:c>
    </x:row>
    <x:row r="138" ht="44" customHeight="1">
      <x:c r="A138" s="13" t="str">
        <x:v>QA-EXP-005</x:v>
      </x:c>
      <x:c r="B138" s="13" t="str">
        <x:v>Exportación EXW en VES</x:v>
      </x:c>
      <x:c r="C138" s="13" t="str">
        <x:v>ND extranjero con tipo externo real de fixture; bienes UND; digital/demo; contado pagado; tasa R 1.
Cliente ND y bien 100 VES; contado; operación 0203; tasa R 1.</x:v>
      </x:c>
      <x:c r="D138" s="13" t="str">
        <x:v>1. Seleccionar 0203 EXW y comprador ND
2. Agregar bien con EXP y precio 100 VES
3. Pagar 100, guardar y capturar documento/payload/resultado fiscal</x:v>
      </x:c>
      <x:c r="E138" s="13" t="str">
        <x:v>Factura interna 01; operación 0203, INCOTERMEXW, EXP IVA 0, total exportado 100 VES separado de exento. Snapshot/totales VES conservados. En USD HKA usa copia VES y totalesOtraMoneda USD sin cambiar dinero local. Aceptación real se exige sólo en la ejecución DEMO real designada.</x:v>
      </x:c>
      <x:c r="F138" s="13" t="str">
        <x:v>Fuentes: app/Services/ExportInvoicePolicy.php; informes/facturas_exportacion_hka.md; tests/Unit/ExportInvoiceTest.php
Entrada: Comprobantes web /documents/create, operación 0201/0202/0203</x:v>
      </x:c>
    </x:row>
    <x:row r="139" ht="44" customHeight="1">
      <x:c r="A139" s="13" t="str">
        <x:v>QA-EXP-006</x:v>
      </x:c>
      <x:c r="B139" s="13" t="str">
        <x:v>Exportación EXW en USD</x:v>
      </x:c>
      <x:c r="C139" s="13" t="str">
        <x:v>ND extranjero con tipo externo real de fixture; bienes UND; digital/demo; contado pagado; tasa R 1.
Cliente ND y bien 100 USD; contado; operación 0203; tasa R 1.</x:v>
      </x:c>
      <x:c r="D139" s="13" t="str">
        <x:v>1. Seleccionar 0203 EXW y comprador ND
2. Agregar bien con EXP y precio 100 USD
3. Pagar 100, guardar y capturar documento/payload/resultado fiscal</x:v>
      </x:c>
      <x:c r="E139" s="13" t="str">
        <x:v>Factura interna 01; operación 0203, INCOTERMEXW, EXP IVA 0, total exportado 100 USD separado de exento. Snapshot/totales VES conservados. En USD HKA usa copia VES y totalesOtraMoneda USD sin cambiar dinero local. Aceptación real se exige sólo en la ejecución DEMO real designada.</x:v>
      </x:c>
      <x:c r="F139" s="13" t="str">
        <x:v>Fuentes: app/Services/ExportInvoicePolicy.php; informes/facturas_exportacion_hka.md; tests/Unit/ExportInvoiceTest.php
Entrada: Comprobantes web /documents/create, operación 0201/0202/0203</x:v>
      </x:c>
    </x:row>
    <x:row r="140" ht="44" customHeight="1">
      <x:c r="A140" s="13" t="str">
        <x:v>QA-EXP-007</x:v>
      </x:c>
      <x:c r="B140" s="13" t="str">
        <x:v>Comprador extranjero literal</x:v>
      </x:c>
      <x:c r="C140" s="13" t="str">
        <x:v>ND extranjero con tipo externo real de fixture; bienes UND; digital/demo; contado pagado; tasa R 1.
ND país distinto VE, tipo externo válido</x:v>
      </x:c>
      <x:c r="D140" s="13" t="str">
        <x:v>1. Guardar número con formato extranjero
2. Seleccionar en exportación
3. Preparar y revisar comprador</x:v>
      </x:c>
      <x:c r="E140" s="13" t="str">
        <x:v>ND no se envía como código HKA; tipo externo y número literal conservados sin prefijo ni territorio venezolano inventado.</x:v>
      </x:c>
      <x:c r="F140" s="13" t="str">
        <x:v>Fuentes: app/Services/ExportInvoicePolicy.php; informes/facturas_exportacion_hka.md; tests/Unit/ExportInvoiceTest.php
Entrada: Comprobantes web /documents/create, operación 0201/0202/0203</x:v>
      </x:c>
    </x:row>
    <x:row r="141" ht="44" customHeight="1">
      <x:c r="A141" s="13" t="str">
        <x:v>QA-EXP-008</x:v>
      </x:c>
      <x:c r="B141" s="13" t="str">
        <x:v>Limpiar comprador al cambiar operación</x:v>
      </x:c>
      <x:c r="C141" s="13" t="str">
        <x:v>ND extranjero con tipo externo real de fixture; bienes UND; digital/demo; contado pagado; tasa R 1.
Borrador venta interna con doméstico</x:v>
      </x:c>
      <x:c r="D141" s="13" t="str">
        <x:v>1. Cambiar a FOB
2. Seleccionar ND y volver a 0101
3. Intentar generar con cliente incompatible</x:v>
      </x:c>
      <x:c r="E141" s="13" t="str">
        <x:v>Selectores y servidor cambian elegibilidad; cliente incompatible no permanece seleccionado para emitir.</x:v>
      </x:c>
      <x:c r="F141" s="13" t="str">
        <x:v>Fuentes: app/Services/ExportInvoicePolicy.php; informes/facturas_exportacion_hka.md; tests/Unit/ExportInvoiceTest.php
Entrada: Comprobantes web /documents/create, operación 0201/0202/0203</x:v>
      </x:c>
    </x:row>
    <x:row r="142" ht="44" customHeight="1">
      <x:c r="A142" s="13" t="str">
        <x:v>QA-EXP-009</x:v>
      </x:c>
      <x:c r="B142" s="13" t="str">
        <x:v>Todas las líneas deben ser EXP</x:v>
      </x:c>
      <x:c r="C142" s="13" t="str">
        <x:v>ND extranjero con tipo externo real de fixture; bienes UND; digital/demo; contado pagado; tasa R 1.
Exportación con dos bienes</x:v>
      </x:c>
      <x:c r="D142" s="13" t="str">
        <x:v>1. Agregar una gravada 10 o exenta 20 por payload
2. Intentar guardar
3. Comparar venta/stock</x:v>
      </x:c>
      <x:c r="E142" s="13" t="str">
        <x:v>Mezcla rechazada sin factura parcial ni transmisión.</x:v>
      </x:c>
      <x:c r="F142" s="13" t="str">
        <x:v>Fuentes: app/Services/ExportInvoicePolicy.php; informes/facturas_exportacion_hka.md; tests/Unit/ExportInvoiceTest.php
Entrada: Comprobantes web /documents/create, operación 0201/0202/0203</x:v>
      </x:c>
    </x:row>
    <x:row r="143" ht="44" customHeight="1">
      <x:c r="A143" s="13" t="str">
        <x:v>QA-EXP-010</x:v>
      </x:c>
      <x:c r="B143" s="13" t="str">
        <x:v>Servicios exportados bloqueados</x:v>
      </x:c>
      <x:c r="C143" s="13" t="str">
        <x:v>ND extranjero con tipo externo real de fixture; bienes UND; digital/demo; contado pagado; tasa R 1.
Producto SERV</x:v>
      </x:c>
      <x:c r="D143" s="13" t="str">
        <x:v>1. Elegir FOB y enviar servicio como EXP
2. Intentar guardar
3. Leer diagnóstico</x:v>
      </x:c>
      <x:c r="E143" s="13" t="str">
        <x:v>Exportación de servicios no habilitada; se rechaza sin remapear SERV a UND.</x:v>
      </x:c>
      <x:c r="F143" s="13" t="str">
        <x:v>Fuentes: app/Services/ExportInvoicePolicy.php; informes/facturas_exportacion_hka.md; tests/Unit/ExportInvoiceTest.php
Entrada: Comprobantes web /documents/create, operación 0201/0202/0203</x:v>
      </x:c>
    </x:row>
    <x:row r="144" ht="44" customHeight="1">
      <x:c r="A144" s="13" t="str">
        <x:v>QA-EXP-011</x:v>
      </x:c>
      <x:c r="B144" s="13" t="str">
        <x:v>Exportación genérica 0200 y código FE</x:v>
      </x:c>
      <x:c r="C144" s="13" t="str">
        <x:v>ND extranjero con tipo externo real de fixture; bienes UND; digital/demo; contado pagado; tasa R 1.
Venta web digital DEMO</x:v>
      </x:c>
      <x:c r="D144" s="13" t="str">
        <x:v>1. Enviar operation_type_id 0200
2. Enviar document_type_id FE
3. Comparar con factura 01/0201 válida</x:v>
      </x:c>
      <x:c r="E144" s="13" t="str">
        <x:v>0200 exige escoger INCOTERM; FE de catálogo no habilita flujo. Exportación soportada usa 01.</x:v>
      </x:c>
      <x:c r="F144" s="13" t="str">
        <x:v>Fuentes: app/Services/ExportInvoicePolicy.php; informes/facturas_exportacion_hka.md; tests/Unit/ExportInvoiceTest.php
Entrada: Comprobantes web /documents/create, operación 0201/0202/0203</x:v>
      </x:c>
    </x:row>
    <x:row r="145" ht="44" customHeight="1">
      <x:c r="A145" s="13" t="str">
        <x:v>QA-EXP-012</x:v>
      </x:c>
      <x:c r="B145" s="13" t="str">
        <x:v>Exportación por otros canales bloqueada</x:v>
      </x:c>
      <x:c r="C145" s="13" t="str">
        <x:v>ND extranjero con tipo externo real de fixture; bienes UND; digital/demo; contado pagado; tasa R 1.
API/POS/Garage/Hotel/tienda y fixtures</x:v>
      </x:c>
      <x:c r="D145" s="13" t="str">
        <x:v>1. Intentar 0201 desde cada origen mediante caso individual
2. Manipular source_module WEB
3. Medir efectos</x:v>
      </x:c>
      <x:c r="E145" s="13" t="str">
        <x:v>Capacidad web proviene del servidor; bandera del cliente no habilita exportación en otro canal.</x:v>
      </x:c>
      <x:c r="F145" s="13" t="str">
        <x:v>Fuentes: app/Services/ExportInvoicePolicy.php; informes/facturas_exportacion_hka.md; tests/Unit/ExportInvoiceTest.php
Entrada: Comprobantes web /documents/create, operación 0201/0202/0203</x:v>
      </x:c>
    </x:row>
    <x:row r="146" ht="44" customHeight="1">
      <x:c r="A146" s="13" t="str">
        <x:v>QA-EXP-013</x:v>
      </x:c>
      <x:c r="B146" s="13" t="str">
        <x:v>Exportación con terceros o regímenes</x:v>
      </x:c>
      <x:c r="C146" s="13" t="str">
        <x:v>ND extranjero con tipo externo real de fixture; bienes UND; digital/demo; contado pagado; tasa R 1.
Borrador FOB</x:v>
      </x:c>
      <x:c r="D146" s="13" t="str">
        <x:v>1. Enviar tercero, special_tax_regime, conditional_data e itinerante por separado
2. Guardar
3. Leer efectos</x:v>
      </x:c>
      <x:c r="E146" s="13" t="str">
        <x:v>Combinaciones fuera de etapa se rechazan explícitamente; catálogo no autoriza su emisión.</x:v>
      </x:c>
      <x:c r="F146" s="13" t="str">
        <x:v>Fuentes: app/Services/ExportInvoicePolicy.php; informes/facturas_exportacion_hka.md; tests/Unit/ExportInvoiceTest.php
Entrada: Comprobantes web /documents/create, operación 0201/0202/0203</x:v>
      </x:c>
    </x:row>
    <x:row r="147" ht="44" customHeight="1">
      <x:c r="A147" s="13" t="str">
        <x:v>QA-EXP-014</x:v>
      </x:c>
      <x:c r="B147" s="13" t="str">
        <x:v>Descuentos y cargos en exportación USD</x:v>
      </x:c>
      <x:c r="C147" s="13" t="str">
        <x:v>ND extranjero con tipo externo real de fixture; bienes UND; digital/demo; contado pagado; tasa R 1.
Bienes 100+50 USD, descuento 15 y cargo 5 de fixture</x:v>
      </x:c>
      <x:c r="D147" s="13" t="str">
        <x:v>1. Aplicar global
2. Guardar
3. Conciliar copia VES y totalesOtraMoneda contra total USD 140</x:v>
      </x:c>
      <x:c r="E147" s="13" t="str">
        <x:v>Total local 140 USD/IVA 0; HKA no duplica descuento distribuido ni recargo; preciosAntesDescuento y centavos VES concilian.</x:v>
      </x:c>
      <x:c r="F147" s="13" t="str">
        <x:v>Fuentes: app/Services/ExportInvoicePolicy.php; informes/facturas_exportacion_hka.md; tests/Unit/ExportInvoiceTest.php
Entrada: Comprobantes web /documents/create, operación 0201/0202/0203</x:v>
      </x:c>
    </x:row>
    <x:row r="148" ht="44" customHeight="1">
      <x:c r="A148" s="13" t="str">
        <x:v>QA-EXP-015</x:v>
      </x:c>
      <x:c r="B148" s="13" t="str">
        <x:v>Crédito de exportación sin cobros</x:v>
      </x:c>
      <x:c r="C148" s="13" t="str">
        <x:v>ND extranjero con tipo externo real de fixture; bienes UND; digital/demo; contado pagado; tasa R 1.
Exportación válida a crédito sin pagos</x:v>
      </x:c>
      <x:c r="D148" s="13" t="str">
        <x:v>1. Guardar en QA con doble y ejecución real designada si está habilitada
2. Leer saldo y rechazo 203/1015 si proveedor lo devuelve
3. Consultar registros</x:v>
      </x:c>
      <x:c r="E148" s="13" t="str">
        <x:v>No se inventan formas Pago. Documentar como límite conocido de aceptación DEMO a crédito, conservando la venta. Un rechazo previsto puede aprobar la prueba de manejo del límite, sin acreditar soporte de crédito exportador.</x:v>
      </x:c>
      <x:c r="F148" s="13" t="str">
        <x:v>Fuentes: app/Services/ExportInvoicePolicy.php; informes/facturas_exportacion_hka.md; tests/Unit/ExportInvoiceTest.php
Entrada: Comprobantes web /documents/create, operación 0201/0202/0203</x:v>
      </x:c>
    </x:row>
    <x:row r="149" ht="44" customHeight="1">
      <x:c r="A149" s="13" t="str">
        <x:v>QA-EXP-016</x:v>
      </x:c>
      <x:c r="B149" s="13" t="str">
        <x:v>Editar INCOTERM antes de HKA</x:v>
      </x:c>
      <x:c r="C149" s="13" t="str">
        <x:v>ND extranjero con tipo externo real de fixture; bienes UND; digital/demo; contado pagado; tasa R 1.
Factura FOB preparada sin control y pagos íntegros</x:v>
      </x:c>
      <x:c r="D149" s="13" t="str">
        <x:v>1. Editar a CIF
2. Guardar
3. Preparar/enviar explícitamente con doble</x:v>
      </x:c>
      <x:c r="E149" s="13" t="str">
        <x:v>Misma identidad/moneda/cobros/stock; nuevo snapshot CIF y UUID al invalidar preparación; no envío automático por editar.</x:v>
      </x:c>
      <x:c r="F149" s="13" t="str">
        <x:v>Fuentes: app/Services/ExportInvoicePolicy.php; informes/facturas_exportacion_hka.md; tests/Unit/ExportInvoiceTest.php
Entrada: Comprobantes web /documents/create, operación 0201/0202/0203</x:v>
      </x:c>
    </x:row>
    <x:row r="150" ht="44" customHeight="1">
      <x:c r="A150" s="13" t="str">
        <x:v>QA-EXP-017</x:v>
      </x:c>
      <x:c r="B150" s="13" t="str">
        <x:v>Prohibir conversión interna a exportación</x:v>
      </x:c>
      <x:c r="C150" s="13" t="str">
        <x:v>ND extranjero con tipo externo real de fixture; bienes UND; digital/demo; contado pagado; tasa R 1.
Factura ordinaria editable y exportación editable</x:v>
      </x:c>
      <x:c r="D150" s="13" t="str">
        <x:v>1. Intentar cambiar categoría en ambos sentidos
2. Guardar
3. Leer versión anterior</x:v>
      </x:c>
      <x:c r="E150" s="13" t="str">
        <x:v>Conversión de categoría bloqueada; INCOTERM entre exportaciones sí sigue edición autorizada.</x:v>
      </x:c>
      <x:c r="F150" s="13" t="str">
        <x:v>Fuentes: app/Services/ExportInvoicePolicy.php; informes/facturas_exportacion_hka.md; tests/Unit/ExportInvoiceTest.php
Entrada: Comprobantes web /documents/create, operación 0201/0202/0203</x:v>
      </x:c>
    </x:row>
    <x:row r="151" ht="44" customHeight="1">
      <x:c r="A151" s="13" t="str">
        <x:v>QA-EXP-018</x:v>
      </x:c>
      <x:c r="B151" s="13" t="str">
        <x:v>Notas e IGTF posterior de exportación</x:v>
      </x:c>
      <x:c r="C151" s="13" t="str">
        <x:v>ND extranjero con tipo externo real de fixture; bienes UND; digital/demo; contado pagado; tasa R 1.
Factura exportación y saldo controlado por fixture</x:v>
      </x:c>
      <x:c r="D151" s="13" t="str">
        <x:v>1. Intentar NC/ND
2. Intentar cobro posterior sujeto que genere nota IGTF
3. Comparar pagos/notas</x:v>
      </x:c>
      <x:c r="E151" s="13" t="str">
        <x:v>Notas de exportación e IGTF posterior dependiente bloqueados sin registrar cobro parcial. IGTF inicial tiene su prueba independiente.</x:v>
      </x:c>
      <x:c r="F151" s="13" t="str">
        <x:v>Fuentes: app/Services/ExportInvoicePolicy.php; informes/facturas_exportacion_hka.md; tests/Unit/ExportInvoiceTest.php
Entrada: Comprobantes web /documents/create, operación 0201/0202/0203</x:v>
      </x:c>
    </x:row>
    <x:row r="152" ht="44" customHeight="1">
      <x:c r="A152" s="13" t="str">
        <x:v>QA-TER-001</x:v>
      </x:c>
      <x:c r="B152" s="13" t="str">
        <x:v>Alta de titular desde factura</x:v>
      </x:c>
      <x:c r="C152" s="13" t="str">
        <x:v>Titular T 1 VE marcado Es tercero, RIF fiscal completo válido, actividad/dirección/email QA; comprador C 1 distinto.
Comprador C 1 y borrador con artículos</x:v>
      </x:c>
      <x:c r="D152" s="13" t="str">
        <x:v>1. Activar Por cuenta de terceros
2. Registrar T 1 por diálogo
3. Guardar titular y revisar comprador</x:v>
      </x:c>
      <x:c r="E152" s="13" t="str">
        <x:v>T 1 queda seleccionado como titular sin cambiar C 1 ni reinicializar factura; campos de tercero se validan y no sustituyen cédula del cliente.</x:v>
      </x:c>
      <x:c r="F152" s="13" t="str">
        <x:v>Fuentes: app/Services/ThirdPartyInvoicePolicy.php; app/Services/Fiscal/HkaThirdPartyMoney.php; informes/facturas_cuenta_terceros_hka.md
Entrada: Comprobantes web, Por cuenta de terceros; clientes Avanzado → Clasificación</x:v>
      </x:c>
    </x:row>
    <x:row r="153" ht="44" customHeight="1">
      <x:c r="A153" s="13" t="str">
        <x:v>QA-TER-002</x:v>
      </x:c>
      <x:c r="B153" s="13" t="str">
        <x:v>Venta por terceros VES</x:v>
      </x:c>
      <x:c r="C153" s="13" t="str">
        <x:v>Titular T 1 VE marcado Es tercero, RIF fiscal completo válido, actividad/dirección/email QA; comprador C 1 distinto.
Factura 01/0101, titular T 1, total 116 VES</x:v>
      </x:c>
      <x:c r="D153" s="13" t="str">
        <x:v>1. Seleccionar C 1 y T 1
2. Pagar 116 al contado
3. Guardar y revisar snapshot/payload</x:v>
      </x:c>
      <x:c r="E153" s="13" t="str">
        <x:v>Venta completamente cobrada; transacción 99, tipo HKA 01, tercero y comprador separados, total/stock actuales; titular no se convierte en destinatario automático.</x:v>
      </x:c>
      <x:c r="F153" s="13" t="str">
        <x:v>Fuentes: app/Services/ThirdPartyInvoicePolicy.php; app/Services/Fiscal/HkaThirdPartyMoney.php; informes/facturas_cuenta_terceros_hka.md
Entrada: Comprobantes web, Por cuenta de terceros; clientes Avanzado → Clasificación</x:v>
      </x:c>
    </x:row>
    <x:row r="154" ht="44" customHeight="1">
      <x:c r="A154" s="13" t="str">
        <x:v>QA-TER-003</x:v>
      </x:c>
      <x:c r="B154" s="13" t="str">
        <x:v>Venta por terceros USD con cargos</x:v>
      </x:c>
      <x:c r="C154" s="13" t="str">
        <x:v>Titular T 1 VE marcado Es tercero, RIF fiscal completo válido, actividad/dirección/email QA; comprador C 1 distinto.
Líneas USD, descuento/cargo e IGTF inicial operativo</x:v>
      </x:c>
      <x:c r="D154" s="13" t="str">
        <x:v>1. Crear contado completo
2. Guardar
3. Conciliar HkaThirdPartyMoney y dinero local</x:v>
      </x:c>
      <x:c r="E154" s="13" t="str">
        <x:v>Principales HKA VES/Otra Moneda USD, descuentos/cargos/IGTF separados y centavos conciliados; valores locales no se reescriben.</x:v>
      </x:c>
      <x:c r="F154" s="13" t="str">
        <x:v>Fuentes: app/Services/ThirdPartyInvoicePolicy.php; app/Services/Fiscal/HkaThirdPartyMoney.php; informes/facturas_cuenta_terceros_hka.md
Entrada: Comprobantes web, Por cuenta de terceros; clientes Avanzado → Clasificación</x:v>
      </x:c>
    </x:row>
    <x:row r="155" ht="44" customHeight="1">
      <x:c r="A155" s="13" t="str">
        <x:v>QA-TER-004</x:v>
      </x:c>
      <x:c r="B155" s="13" t="str">
        <x:v>Editar titular desde borrador</x:v>
      </x:c>
      <x:c r="C155" s="13" t="str">
        <x:v>Titular T 1 VE marcado Es tercero, RIF fiscal completo válido, actividad/dirección/email QA; comprador C 1 distinto.
T 1 elegido y C 1 comprador</x:v>
      </x:c>
      <x:c r="D155" s="13" t="str">
        <x:v>1. Abrir Editar tercero
2. Modificar actividad/dirección y guardar
3. Comprobar selección y generar</x:v>
      </x:c>
      <x:c r="E155" s="13" t="str">
        <x:v>Sólo selección de titular se actualiza; comprador, serie, líneas y cobros no se sustituyen.</x:v>
      </x:c>
      <x:c r="F155" s="13" t="str">
        <x:v>Fuentes: app/Services/ThirdPartyInvoicePolicy.php; app/Services/Fiscal/HkaThirdPartyMoney.php; informes/facturas_cuenta_terceros_hka.md
Entrada: Comprobantes web, Por cuenta de terceros; clientes Avanzado → Clasificación</x:v>
      </x:c>
    </x:row>
    <x:row r="156" ht="44" customHeight="1">
      <x:c r="A156" s="13" t="str">
        <x:v>QA-TER-005</x:v>
      </x:c>
      <x:c r="B156" s="13" t="str">
        <x:v>Titular inválido</x:v>
      </x:c>
      <x:c r="C156" s="13" t="str">
        <x:v>Titular T 1 VE marcado Es tercero, RIF fiscal completo válido, actividad/dirección/email QA; comprador C 1 distinto.
Clientes no marcados, deshabilitados, ajenos o fuera VE</x:v>
      </x:c>
      <x:c r="D156" s="13" t="str">
        <x:v>1. Enviar cada ID como third_party_id
2. Intentar guardar
3. Leer efectos</x:v>
      </x:c>
      <x:c r="E156" s="13" t="str">
        <x:v>Backend resuelve cliente habilitado y clasificado bajo tenant/alcance; rechazo antes de venta, stock y cobros.</x:v>
      </x:c>
      <x:c r="F156" s="13" t="str">
        <x:v>Fuentes: app/Services/ThirdPartyInvoicePolicy.php; app/Services/Fiscal/HkaThirdPartyMoney.php; informes/facturas_cuenta_terceros_hka.md
Entrada: Comprobantes web, Por cuenta de terceros; clientes Avanzado → Clasificación</x:v>
      </x:c>
    </x:row>
    <x:row r="157" ht="44" customHeight="1">
      <x:c r="A157" s="13" t="str">
        <x:v>QA-TER-006</x:v>
      </x:c>
      <x:c r="B157" s="13" t="str">
        <x:v>RIF fiscal del titular inválido o duplicado</x:v>
      </x:c>
      <x:c r="C157" s="13" t="str">
        <x:v>Titular T 1 VE marcado Es tercero, RIF fiscal completo válido, actividad/dirección/email QA; comprador C 1 distinto.
Formulario de tercero</x:v>
      </x:c>
      <x:c r="D157" s="13" t="str">
        <x:v>1. Probar checksum/formato inválido y duplicado
2. Probar ausencia de actividad/dirección y excesos 100/255/email 50
3. Leer errores</x:v>
      </x:c>
      <x:c r="E157" s="13" t="str">
        <x:v>No se conserva titular fiscal inválido; límites y unicidad comprobados. No se presenta como consulta oficial SENIAT.</x:v>
      </x:c>
      <x:c r="F157" s="13" t="str">
        <x:v>Fuentes: app/Services/ThirdPartyInvoicePolicy.php; app/Services/Fiscal/HkaThirdPartyMoney.php; informes/facturas_cuenta_terceros_hka.md
Entrada: Comprobantes web, Por cuenta de terceros; clientes Avanzado → Clasificación</x:v>
      </x:c>
    </x:row>
    <x:row r="158" ht="44" customHeight="1">
      <x:c r="A158" s="13" t="str">
        <x:v>QA-TER-007</x:v>
      </x:c>
      <x:c r="B158" s="13" t="str">
        <x:v>Terceros requiere contado completo</x:v>
      </x:c>
      <x:c r="C158" s="13" t="str">
        <x:v>Titular T 1 VE marcado Es tercero, RIF fiscal completo válido, actividad/dirección/email QA; comprador C 1 distinto.
Total 116</x:v>
      </x:c>
      <x:c r="D158" s="13" t="str">
        <x:v>1. Intentar Crédito
2. Intentar contado 0/50
3. Intentar saldo 0 sólo con retenciones/fondo sin cobro real</x:v>
      </x:c>
      <x:c r="E158" s="13" t="str">
        <x:v>Se rechaza toda variante; exige contado, saldo 0 y suma de pagos reales completos antes del commit.</x:v>
      </x:c>
      <x:c r="F158" s="13" t="str">
        <x:v>Fuentes: app/Services/ThirdPartyInvoicePolicy.php; app/Services/Fiscal/HkaThirdPartyMoney.php; informes/facturas_cuenta_terceros_hka.md
Entrada: Comprobantes web, Por cuenta de terceros; clientes Avanzado → Clasificación</x:v>
      </x:c>
    </x:row>
    <x:row r="159" ht="44" customHeight="1">
      <x:c r="A159" s="13" t="str">
        <x:v>QA-TER-008</x:v>
      </x:c>
      <x:c r="B159" s="13" t="str">
        <x:v>Categorías incompatibles de terceros</x:v>
      </x:c>
      <x:c r="C159" s="13" t="str">
        <x:v>Titular T 1 VE marcado Es tercero, RIF fiscal completo válido, actividad/dirección/email QA; comprador C 1 distinto.
Borrador con titular</x:v>
      </x:c>
      <x:c r="D159" s="13" t="str">
        <x:v>1. Intentar exportación, itinerante, régimen y tipo distinto 01
2. Intentar terceros desde API/POS/Garage/NV
3. Comparar efectos</x:v>
      </x:c>
      <x:c r="E159" s="13" t="str">
        <x:v>Sólo web 01/0101 digital DEMO. Cada canal/combinación rechazada individualmente sin efectos.</x:v>
      </x:c>
      <x:c r="F159" s="13" t="str">
        <x:v>Fuentes: app/Services/ThirdPartyInvoicePolicy.php; app/Services/Fiscal/HkaThirdPartyMoney.php; informes/facturas_cuenta_terceros_hka.md
Entrada: Comprobantes web, Por cuenta de terceros; clientes Avanzado → Clasificación</x:v>
      </x:c>
    </x:row>
    <x:row r="160" ht="44" customHeight="1">
      <x:c r="A160" s="13" t="str">
        <x:v>QA-TER-009</x:v>
      </x:c>
      <x:c r="B160" s="13" t="str">
        <x:v>Snapshot de tercero autoritativo</x:v>
      </x:c>
      <x:c r="C160" s="13" t="str">
        <x:v>Titular T 1 VE marcado Es tercero, RIF fiscal completo válido, actividad/dirección/email QA; comprador C 1 distinto.
Titular válido y payload alterado</x:v>
      </x:c>
      <x:c r="D160" s="13" t="str">
        <x:v>1. Enviar third_party o fiscal_data.third_party falsificados
2. Enviar transaction_type 99 sin selección
3. Guardar caso válido sólo con ID</x:v>
      </x:c>
      <x:c r="E160" s="13" t="str">
        <x:v>Datos arbitrarios rechazados; servidor congela titular bajo bloqueo y construye RIF con guiones para HKA.</x:v>
      </x:c>
      <x:c r="F160" s="13" t="str">
        <x:v>Fuentes: app/Services/ThirdPartyInvoicePolicy.php; app/Services/Fiscal/HkaThirdPartyMoney.php; informes/facturas_cuenta_terceros_hka.md
Entrada: Comprobantes web, Por cuenta de terceros; clientes Avanzado → Clasificación</x:v>
      </x:c>
    </x:row>
    <x:row r="161" ht="44" customHeight="1">
      <x:c r="A161" s="13" t="str">
        <x:v>QA-TER-010</x:v>
      </x:c>
      <x:c r="B161" s="13" t="str">
        <x:v>Desmarcar titular después de facturar</x:v>
      </x:c>
      <x:c r="C161" s="13" t="str">
        <x:v>Titular T 1 VE marcado Es tercero, RIF fiscal completo válido, actividad/dirección/email QA; comprador C 1 distinto.
Factura previa con snapshot T 1</x:v>
      </x:c>
      <x:c r="D161" s="13" t="str">
        <x:v>1. Desmarcar/inhabilitar T 1
2. Consultar factura antigua
3. Buscar T 1 para nueva venta</x:v>
      </x:c>
      <x:c r="E161" s="13" t="str">
        <x:v>Histórico conserva titular y datos; no seleccionable para nueva factura por terceros; sigue elegible como comprador si sus reglas lo permiten.</x:v>
      </x:c>
      <x:c r="F161" s="13" t="str">
        <x:v>Fuentes: app/Services/ThirdPartyInvoicePolicy.php; app/Services/Fiscal/HkaThirdPartyMoney.php; informes/facturas_cuenta_terceros_hka.md
Entrada: Comprobantes web, Por cuenta de terceros; clientes Avanzado → Clasificación</x:v>
      </x:c>
    </x:row>
    <x:row r="162" ht="44" customHeight="1">
      <x:c r="A162" s="13" t="str">
        <x:v>QA-TER-011</x:v>
      </x:c>
      <x:c r="B162" s="13" t="str">
        <x:v>Eliminar titular utilizado</x:v>
      </x:c>
      <x:c r="C162" s="13" t="str">
        <x:v>Titular T 1 VE marcado Es tercero, RIF fiscal completo válido, actividad/dirección/email QA; comprador C 1 distinto.
T 1 con factura que lo referencia</x:v>
      </x:c>
      <x:c r="D162" s="13" t="str">
        <x:v>1. Intentar borrar cliente
2. Leer FK/documento
3. Consultar factura</x:v>
      </x:c>
      <x:c r="E162" s="13" t="str">
        <x:v>Referencia impide borrar titular utilizado y conserva documento; error legible sin corrupción.</x:v>
      </x:c>
      <x:c r="F162" s="13" t="str">
        <x:v>Fuentes: app/Services/ThirdPartyInvoicePolicy.php; app/Services/Fiscal/HkaThirdPartyMoney.php; informes/facturas_cuenta_terceros_hka.md
Entrada: Comprobantes web, Por cuenta de terceros; clientes Avanzado → Clasificación</x:v>
      </x:c>
    </x:row>
    <x:row r="163" ht="44" customHeight="1">
      <x:c r="A163" s="13" t="str">
        <x:v>QA-TER-012</x:v>
      </x:c>
      <x:c r="B163" s="13" t="str">
        <x:v>Edición antes de HKA</x:v>
      </x:c>
      <x:c r="C163" s="13" t="str">
        <x:v>Titular T 1 VE marcado Es tercero, RIF fiscal completo válido, actividad/dirección/email QA; comprador C 1 distinto.
Factura por terceros editable pagada</x:v>
      </x:c>
      <x:c r="D163" s="13" t="str">
        <x:v>1. Editar información/líneas compatibles conservando categoría
2. Guardar
3. Leer cobros, UUID, snapshot y resultado</x:v>
      </x:c>
      <x:c r="E163" s="13" t="str">
        <x:v>Se conservan cobros/número/categoría; snapshot/UUID se renuevan conforme a política. No enviar automáticamente al guardar edición.</x:v>
      </x:c>
      <x:c r="F163" s="13" t="str">
        <x:v>Fuentes: app/Services/ThirdPartyInvoicePolicy.php; app/Services/Fiscal/HkaThirdPartyMoney.php; informes/facturas_cuenta_terceros_hka.md
Entrada: Comprobantes web, Por cuenta de terceros; clientes Avanzado → Clasificación</x:v>
      </x:c>
    </x:row>
    <x:row r="164" ht="44" customHeight="1">
      <x:c r="A164" s="13" t="str">
        <x:v>QA-TER-013</x:v>
      </x:c>
      <x:c r="B164" s="13" t="str">
        <x:v>No convertir propia a terceros</x:v>
      </x:c>
      <x:c r="C164" s="13" t="str">
        <x:v>Titular T 1 VE marcado Es tercero, RIF fiscal completo válido, actividad/dirección/email QA; comprador C 1 distinto.
Factura propia editable y terceros editable</x:v>
      </x:c>
      <x:c r="D164" s="13" t="str">
        <x:v>1. Activar/desactivar titular al editar en ambos sentidos
2. Guardar
3. Comparar documento previo</x:v>
      </x:c>
      <x:c r="E164" s="13" t="str">
        <x:v>Cambio de categoría rechazado sin efectos.</x:v>
      </x:c>
      <x:c r="F164" s="13" t="str">
        <x:v>Fuentes: app/Services/ThirdPartyInvoicePolicy.php; app/Services/Fiscal/HkaThirdPartyMoney.php; informes/facturas_cuenta_terceros_hka.md
Entrada: Comprobantes web, Por cuenta de terceros; clientes Avanzado → Clasificación</x:v>
      </x:c>
    </x:row>
    <x:row r="165" ht="44" customHeight="1">
      <x:c r="A165" s="13" t="str">
        <x:v>QA-TER-014</x:v>
      </x:c>
      <x:c r="B165" s="13" t="str">
        <x:v>Notas sobre terceros bloqueadas</x:v>
      </x:c>
      <x:c r="C165" s="13" t="str">
        <x:v>Titular T 1 VE marcado Es tercero, RIF fiscal completo válido, actividad/dirección/email QA; comprador C 1 distinto.
Factura terceros vigente</x:v>
      </x:c>
      <x:c r="D165" s="13" t="str">
        <x:v>1. Intentar NC/ND
2. Intentar IGTF posterior que necesite nota
3. Leer pagos y notas</x:v>
      </x:c>
      <x:c r="E165" s="13" t="str">
        <x:v>Notas fuera de etapa bloqueadas; pago dependiente no se registra parcialmente.</x:v>
      </x:c>
      <x:c r="F165" s="13" t="str">
        <x:v>Fuentes: app/Services/ThirdPartyInvoicePolicy.php; app/Services/Fiscal/HkaThirdPartyMoney.php; informes/facturas_cuenta_terceros_hka.md
Entrada: Comprobantes web, Por cuenta de terceros; clientes Avanzado → Clasificación</x:v>
      </x:c>
    </x:row>
    <x:row r="166" ht="44" customHeight="1">
      <x:c r="A166" s="13" t="str">
        <x:v>QA-TER-015</x:v>
      </x:c>
      <x:c r="B166" s="13" t="str">
        <x:v>Presentación de titular y receptor</x:v>
      </x:c>
      <x:c r="C166" s="13" t="str">
        <x:v>Titular T 1 VE marcado Es tercero, RIF fiscal completo válido, actividad/dirección/email QA; comprador C 1 distinto.
Factura terceros confirmada DEMO o fixture</x:v>
      </x:c>
      <x:c r="D166" s="13" t="str">
        <x:v>1. Descargar A4/A5/ticket
2. Revisar separación de datos y totales
3. Comparar bytes originales y destinatarios</x:v>
      </x:c>
      <x:c r="E166" s="13" t="str">
        <x:v>A4/A5 conservan original HKA; duplicación de prefijo en DEMO se informa como límite del proveedor, sin editar PDF. Ticket local identifica titular y receptor legiblemente.</x:v>
      </x:c>
      <x:c r="F166" s="13" t="str">
        <x:v>Fuentes: app/Services/ThirdPartyInvoicePolicy.php; app/Services/Fiscal/HkaThirdPartyMoney.php; informes/facturas_cuenta_terceros_hka.md
Entrada: Comprobantes web, Por cuenta de terceros; clientes Avanzado → Clasificación</x:v>
      </x:c>
    </x:row>
    <x:row r="167" ht="56" customHeight="1">
      <x:c r="A167" s="13" t="str">
        <x:v>QA-NOT-001</x:v>
      </x:c>
      <x:c r="B167" s="13" t="str">
        <x:v>NC 07, motivo 01: Anulación total de factura</x:v>
      </x:c>
      <x:c r="C167" s="13" t="str">
        <x:v>Factura ordinaria 01 vigente, total 232, 2 UND, mismo cliente/sucursal/moneda/ambiente; control real o fixture separado para preparar.
Factura ordinaria vigente; nuevo fixture por motivo.</x:v>
      </x:c>
      <x:c r="D167" s="13" t="str">
        <x:v>1. Abrir Nota de crédito y elegir motivo 01
2. Mantener las 2 unidades y total 232 al solicitar anulación total
3. Completar descripción y generar; leer nota, saldo, stock y Kardex</x:v>
      </x:c>
      <x:c r="E167" s="13" t="str">
        <x:v>Importes/referencia de anulación total coherentes con 232; registrar efecto comercial/inventario según política vigente del motivo. Tipo Pro9 01/07 de referencia/nota no se confunde con códigos del motivo. La nota se guarda localmente; no declarar aceptación remota NC.</x:v>
      </x:c>
      <x:c r="F167" s="13" t="str">
        <x:v>Fuentes: resources/js/views/tenant/documents/note.vue; app/Services/Fiscal/FiscalDocumentPersistence.php; app/Services/Fiscal/HkaPayloadBuilder.php; database/seeders/data/tenant_initial_data.php
Entrada: Listado/detalle de factura → Nota; /documents/note/{id}</x:v>
      </x:c>
    </x:row>
    <x:row r="168" ht="56" customHeight="1">
      <x:c r="A168" s="13" t="str">
        <x:v>QA-NOT-002</x:v>
      </x:c>
      <x:c r="B168" s="13" t="str">
        <x:v>NC 07, motivo 07: Devolución parcial de mercancía</x:v>
      </x:c>
      <x:c r="C168" s="13" t="str">
        <x:v>Factura ordinaria 01 vigente, total 232, 2 UND, mismo cliente/sucursal/moneda/ambiente; control real o fixture separado para preparar.
Factura ordinaria vigente; nuevo fixture por motivo.</x:v>
      </x:c>
      <x:c r="D168" s="13" t="str">
        <x:v>1. Abrir Nota de crédito y elegir motivo 07
2. Devolver 1 de las 2 unidades con importe 116
3. Completar descripción y generar; leer nota, saldo, stock y Kardex</x:v>
      </x:c>
      <x:c r="E168" s="13" t="str">
        <x:v>Una devolución parcial 116; referencia intacta; retorno físico de 1 unidad si el motivo configura restitución, nunca 2. Tipo Pro9 01/07 de referencia/nota no se confunde con códigos del motivo. La nota se guarda localmente; no declarar aceptación remota NC.</x:v>
      </x:c>
      <x:c r="F168" s="13" t="str">
        <x:v>Fuentes: resources/js/views/tenant/documents/note.vue; app/Services/Fiscal/FiscalDocumentPersistence.php; app/Services/Fiscal/HkaPayloadBuilder.php; database/seeders/data/tenant_initial_data.php
Entrada: Listado/detalle de factura → Nota; /documents/note/{id}</x:v>
      </x:c>
    </x:row>
    <x:row r="169" ht="56" customHeight="1">
      <x:c r="A169" s="13" t="str">
        <x:v>QA-NOT-003</x:v>
      </x:c>
      <x:c r="B169" s="13" t="str">
        <x:v>NC 07, motivo 04: Descuento o rebajas concedidas</x:v>
      </x:c>
      <x:c r="C169" s="13" t="str">
        <x:v>Factura ordinaria 01 vigente, total 232, 2 UND, mismo cliente/sucursal/moneda/ambiente; control real o fixture separado para preparar.
Factura ordinaria vigente; nuevo fixture por motivo.</x:v>
      </x:c>
      <x:c r="D169" s="13" t="str">
        <x:v>1. Abrir Nota de crédito y elegir motivo 04
2. Aplicar rebaja de importe válido sobre la factura
3. Completar descripción y generar; leer nota, saldo, stock y Kardex</x:v>
      </x:c>
      <x:c r="E169" s="13" t="str">
        <x:v>Descuento reduce efecto comercial por el importe declarado sin una devolución física ficticia; verificar política de inventario del motivo. Tipo Pro9 01/07 de referencia/nota no se confunde con códigos del motivo. La nota se guarda localmente; no declarar aceptación remota NC.</x:v>
      </x:c>
      <x:c r="F169" s="13" t="str">
        <x:v>Fuentes: resources/js/views/tenant/documents/note.vue; app/Services/Fiscal/FiscalDocumentPersistence.php; app/Services/Fiscal/HkaPayloadBuilder.php; database/seeders/data/tenant_initial_data.php
Entrada: Listado/detalle de factura → Nota; /documents/note/{id}</x:v>
      </x:c>
    </x:row>
    <x:row r="170" ht="56" customHeight="1">
      <x:c r="A170" s="13" t="str">
        <x:v>QA-NOT-004</x:v>
      </x:c>
      <x:c r="B170" s="13" t="str">
        <x:v>NC 07, motivo 09: Corrección de precios o cálculos</x:v>
      </x:c>
      <x:c r="C170" s="13" t="str">
        <x:v>Factura ordinaria 01 vigente, total 232, 2 UND, mismo cliente/sucursal/moneda/ambiente; control real o fixture separado para preparar.
Factura ordinaria vigente; nuevo fixture por motivo.</x:v>
      </x:c>
      <x:c r="D170" s="13" t="str">
        <x:v>1. Abrir Nota de crédito y elegir motivo 09
2. Reducir precio o corregir cálculo de una línea de forma explícita
3. Completar descripción y generar; leer nota, saldo, stock y Kardex</x:v>
      </x:c>
      <x:c r="E170" s="13" t="str">
        <x:v>Importe corregido y referencia auditables; no duplica movimientos físicos por una corrección sólo monetaria. Tipo Pro9 01/07 de referencia/nota no se confunde con códigos del motivo. La nota se guarda localmente; no declarar aceptación remota NC.</x:v>
      </x:c>
      <x:c r="F170" s="13" t="str">
        <x:v>Fuentes: resources/js/views/tenant/documents/note.vue; app/Services/Fiscal/FiscalDocumentPersistence.php; app/Services/Fiscal/HkaPayloadBuilder.php; database/seeders/data/tenant_initial_data.php
Entrada: Listado/detalle de factura → Nota; /documents/note/{id}</x:v>
      </x:c>
    </x:row>
    <x:row r="171" ht="56" customHeight="1">
      <x:c r="A171" s="13" t="str">
        <x:v>QA-NOT-005</x:v>
      </x:c>
      <x:c r="B171" s="13" t="str">
        <x:v>ND 08, motivo 02: Ajustes por incremento de precios</x:v>
      </x:c>
      <x:c r="C171" s="13" t="str">
        <x:v>Factura ordinaria 01 vigente, total 232, 2 UND, mismo cliente/sucursal/moneda/ambiente; control real o fixture separado para preparar.
Factura ordinaria vigente y motivo activo.</x:v>
      </x:c>
      <x:c r="D171" s="13" t="str">
        <x:v>1. Abrir Nota de débito y elegir motivo 02
2. Introducir ajuste 10 y afectación permitida conforme a su base
3. Completar descripción y generar; leer importes, referencia e inventario</x:v>
      </x:c>
      <x:c r="E171" s="13" t="str">
        <x:v>Nota 08 motivo 02 conserva ajuste y vínculo. Base/IVA corresponden al ajuste explícito; no genera una venta física adicional si sólo corrige dinero. Se registra localmente; HKA 03 sólo es traducción del adaptador, no evidencia de emisión real.</x:v>
      </x:c>
      <x:c r="F171" s="13" t="str">
        <x:v>Fuentes: resources/js/views/tenant/documents/note.vue; app/Services/Fiscal/FiscalDocumentPersistence.php; app/Services/Fiscal/HkaPayloadBuilder.php; database/seeders/data/tenant_initial_data.php
Entrada: Listado/detalle de factura → Nota; /documents/note/{id}</x:v>
      </x:c>
    </x:row>
    <x:row r="172" ht="56" customHeight="1">
      <x:c r="A172" s="13" t="str">
        <x:v>QA-NOT-006</x:v>
      </x:c>
      <x:c r="B172" s="13" t="str">
        <x:v>ND 08, motivo 01: Intereses de mora o financiamiento</x:v>
      </x:c>
      <x:c r="C172" s="13" t="str">
        <x:v>Factura ordinaria 01 vigente, total 232, 2 UND, mismo cliente/sucursal/moneda/ambiente; control real o fixture separado para preparar.
Factura ordinaria vigente y motivo activo.</x:v>
      </x:c>
      <x:c r="D172" s="13" t="str">
        <x:v>1. Abrir Nota de débito y elegir motivo 01
2. Introducir ajuste 10 y afectación permitida conforme a su base
3. Completar descripción y generar; leer importes, referencia e inventario</x:v>
      </x:c>
      <x:c r="E172" s="13" t="str">
        <x:v>Nota 08 motivo 01 conserva ajuste y vínculo. Base/IVA corresponden al ajuste explícito; no genera una venta física adicional si sólo corrige dinero. Se registra localmente; HKA 03 sólo es traducción del adaptador, no evidencia de emisión real.</x:v>
      </x:c>
      <x:c r="F172" s="13" t="str">
        <x:v>Fuentes: resources/js/views/tenant/documents/note.vue; app/Services/Fiscal/FiscalDocumentPersistence.php; app/Services/Fiscal/HkaPayloadBuilder.php; database/seeders/data/tenant_initial_data.php
Entrada: Listado/detalle de factura → Nota; /documents/note/{id}</x:v>
      </x:c>
    </x:row>
    <x:row r="173" ht="56" customHeight="1">
      <x:c r="A173" s="13" t="str">
        <x:v>QA-NOT-007</x:v>
      </x:c>
      <x:c r="B173" s="13" t="str">
        <x:v>ND 08, motivo 03: Gastos de despacho, fletes, seguros o embalaje</x:v>
      </x:c>
      <x:c r="C173" s="13" t="str">
        <x:v>Factura ordinaria 01 vigente, total 232, 2 UND, mismo cliente/sucursal/moneda/ambiente; control real o fixture separado para preparar.
Factura ordinaria vigente y motivo activo.</x:v>
      </x:c>
      <x:c r="D173" s="13" t="str">
        <x:v>1. Abrir Nota de débito y elegir motivo 03
2. Introducir ajuste 10 y afectación permitida conforme a su base
3. Completar descripción y generar; leer importes, referencia e inventario</x:v>
      </x:c>
      <x:c r="E173" s="13" t="str">
        <x:v>Nota 08 motivo 03 conserva ajuste y vínculo. Base/IVA corresponden al ajuste explícito; no genera una venta física adicional si sólo corrige dinero. Se registra localmente; HKA 03 sólo es traducción del adaptador, no evidencia de emisión real.</x:v>
      </x:c>
      <x:c r="F173" s="13" t="str">
        <x:v>Fuentes: resources/js/views/tenant/documents/note.vue; app/Services/Fiscal/FiscalDocumentPersistence.php; app/Services/Fiscal/HkaPayloadBuilder.php; database/seeders/data/tenant_initial_data.php
Entrada: Listado/detalle de factura → Nota; /documents/note/{id}</x:v>
      </x:c>
    </x:row>
    <x:row r="174" ht="56" customHeight="1">
      <x:c r="A174" s="13" t="str">
        <x:v>QA-NOT-008</x:v>
      </x:c>
      <x:c r="B174" s="13" t="str">
        <x:v>Descripción y motivo obligatorios</x:v>
      </x:c>
      <x:c r="C174" s="13" t="str">
        <x:v>Factura ordinaria 01 vigente, total 232, 2 UND, mismo cliente/sucursal/moneda/ambiente; control real o fixture separado para preparar.
Formulario de NC/ND</x:v>
      </x:c>
      <x:c r="D174" s="13" t="str">
        <x:v>1. Omitir descripción
2. Omitir motivo por separado
3. Enviar request directo</x:v>
      </x:c>
      <x:c r="E174" s="13" t="str">
        <x:v>Validaciones impiden nota sin explicación/motivo; no hay nota parcial ni stock/pagos alterados.</x:v>
      </x:c>
      <x:c r="F174" s="13" t="str">
        <x:v>Fuentes: resources/js/views/tenant/documents/note.vue; app/Services/Fiscal/FiscalDocumentPersistence.php; app/Services/Fiscal/HkaPayloadBuilder.php; database/seeders/data/tenant_initial_data.php
Entrada: Listado/detalle de factura → Nota; /documents/note/{id}</x:v>
      </x:c>
    </x:row>
    <x:row r="175" ht="56" customHeight="1">
      <x:c r="A175" s="13" t="str">
        <x:v>QA-NOT-009</x:v>
      </x:c>
      <x:c r="B175" s="13" t="str">
        <x:v>Motivo inactivo o desconocido</x:v>
      </x:c>
      <x:c r="C175" s="13" t="str">
        <x:v>Factura ordinaria 01 vigente, total 232, 2 UND, mismo cliente/sucursal/moneda/ambiente; control real o fixture separado para preparar.
Catálogo QA con motivo temporalmente inactivo</x:v>
      </x:c>
      <x:c r="D175" s="13" t="str">
        <x:v>1. Intentar selección y POST con motivo inactivo
2. Enviar motivo 99/13 retirado donde no esté activo
3. Leer resultado</x:v>
      </x:c>
      <x:c r="E175" s="13" t="str">
        <x:v>Sólo motivos activos del contrato se permiten. La existencia de lógica heredada no habilita un motivo no vigente.</x:v>
      </x:c>
      <x:c r="F175" s="13" t="str">
        <x:v>Fuentes: resources/js/views/tenant/documents/note.vue; app/Services/Fiscal/FiscalDocumentPersistence.php; app/Services/Fiscal/HkaPayloadBuilder.php; database/seeders/data/tenant_initial_data.php
Entrada: Listado/detalle de factura → Nota; /documents/note/{id}</x:v>
      </x:c>
    </x:row>
    <x:row r="176" ht="56" customHeight="1">
      <x:c r="A176" s="13" t="str">
        <x:v>QA-NOT-010</x:v>
      </x:c>
      <x:c r="B176" s="13" t="str">
        <x:v>Referencia incorrecta</x:v>
      </x:c>
      <x:c r="C176" s="13" t="str">
        <x:v>Factura ordinaria 01 vigente, total 232, 2 UND, mismo cliente/sucursal/moneda/ambiente; control real o fixture separado para preparar.
Factura y nota de distinto cliente/sucursal/moneda/ambiente</x:v>
      </x:c>
      <x:c r="D176" s="13" t="str">
        <x:v>1. Cambiar affected_document_id para cada incompatibilidad
2. Enviar desde UI/HTTP
3. Leer ventas y referencia</x:v>
      </x:c>
      <x:c r="E176" s="13" t="str">
        <x:v>Servidor exige factura 01 del mismo cliente, sucursal, ambiente y moneda; rechaza referencia a NV u otro tipo.</x:v>
      </x:c>
      <x:c r="F176" s="13" t="str">
        <x:v>Fuentes: resources/js/views/tenant/documents/note.vue; app/Services/Fiscal/FiscalDocumentPersistence.php; app/Services/Fiscal/HkaPayloadBuilder.php; database/seeders/data/tenant_initial_data.php
Entrada: Listado/detalle de factura → Nota; /documents/note/{id}</x:v>
      </x:c>
    </x:row>
    <x:row r="177" ht="56" customHeight="1">
      <x:c r="A177" s="13" t="str">
        <x:v>QA-NOT-011</x:v>
      </x:c>
      <x:c r="B177" s="13" t="str">
        <x:v>Preparar sin control de factura afectada</x:v>
      </x:c>
      <x:c r="C177" s="13" t="str">
        <x:v>Factura ordinaria 01 vigente, total 232, 2 UND, mismo cliente/sucursal/moneda/ambiente; control real o fixture separado para preparar.
Nota local vinculada a factura no confirmada</x:v>
      </x:c>
      <x:c r="D177" s="13" t="str">
        <x:v>1. Solicitar preparación local
2. Leer error y emisión
3. Comparar snapshot</x:v>
      </x:c>
      <x:c r="E177" s="13" t="str">
        <x:v>Preparación requiere control real de factura afectada; no inventa control desde correlativo. La creación local no equivale a preparación válida.</x:v>
      </x:c>
      <x:c r="F177" s="13" t="str">
        <x:v>Fuentes: resources/js/views/tenant/documents/note.vue; app/Services/Fiscal/FiscalDocumentPersistence.php; app/Services/Fiscal/HkaPayloadBuilder.php; database/seeders/data/tenant_initial_data.php
Entrada: Listado/detalle de factura → Nota; /documents/note/{id}</x:v>
      </x:c>
    </x:row>
    <x:row r="178" ht="56" customHeight="1">
      <x:c r="A178" s="13" t="str">
        <x:v>QA-NOT-012</x:v>
      </x:c>
      <x:c r="B178" s="13" t="str">
        <x:v>Completar control llegado después</x:v>
      </x:c>
      <x:c r="C178" s="13" t="str">
        <x:v>Factura ordinaria 01 vigente, total 232, 2 UND, mismo cliente/sucursal/moneda/ambiente; control real o fixture separado para preparar.
Nota local creada antes de confirmar factura</x:v>
      </x:c>
      <x:c r="D178" s="13" t="str">
        <x:v>1. Confirmar factura por doble
2. Preparar nota
3. Comparar referencia antes/después</x:v>
      </x:c>
      <x:c r="E178" s="13" t="str">
        <x:v>Sólo completa control legítimo faltante bajo transacción; resto de serie/número/fecha/total congelados se conserva.</x:v>
      </x:c>
      <x:c r="F178" s="13" t="str">
        <x:v>Fuentes: resources/js/views/tenant/documents/note.vue; app/Services/Fiscal/FiscalDocumentPersistence.php; app/Services/Fiscal/HkaPayloadBuilder.php; database/seeders/data/tenant_initial_data.php
Entrada: Listado/detalle de factura → Nota; /documents/note/{id}</x:v>
      </x:c>
    </x:row>
    <x:row r="179" ht="56" customHeight="1">
      <x:c r="A179" s="13" t="str">
        <x:v>QA-NOT-013</x:v>
      </x:c>
      <x:c r="B179" s="13" t="str">
        <x:v>Mapeo interno y externo de notas</x:v>
      </x:c>
      <x:c r="C179" s="13" t="str">
        <x:v>Factura ordinaria 01 vigente, total 232, 2 UND, mismo cliente/sucursal/moneda/ambiente; control real o fixture separado para preparar.
Fixtures NC/ND preparados</x:v>
      </x:c>
      <x:c r="D179" s="13" t="str">
        <x:v>1. Leer document_type_id y payload
2. Comparar tipo HKA y referencia original
3. Leer número visible</x:v>
      </x:c>
      <x:c r="E179" s="13" t="str">
        <x:v>Pro9 07→HKA 02 y 08→HKA 03; no se reemplazan tipos internos ni se envía referencia visible con relleno como original.</x:v>
      </x:c>
      <x:c r="F179" s="13" t="str">
        <x:v>Fuentes: resources/js/views/tenant/documents/note.vue; app/Services/Fiscal/FiscalDocumentPersistence.php; app/Services/Fiscal/HkaPayloadBuilder.php; database/seeders/data/tenant_initial_data.php
Entrada: Listado/detalle de factura → Nota; /documents/note/{id}</x:v>
      </x:c>
    </x:row>
    <x:row r="180" ht="56" customHeight="1">
      <x:c r="A180" s="13" t="str">
        <x:v>QA-NOT-014</x:v>
      </x:c>
      <x:c r="B180" s="13" t="str">
        <x:v>NC que excede cantidad/importe original</x:v>
      </x:c>
      <x:c r="C180" s="13" t="str">
        <x:v>Factura ordinaria 01 vigente, total 232, 2 UND, mismo cliente/sucursal/moneda/ambiente; control real o fixture separado para preparar.
Factura 232 con dos UND</x:v>
      </x:c>
      <x:c r="D180" s="13" t="str">
        <x:v>1. Intentar devolución 3 UND y monto&gt;232
2. Intentar varias NC que acumulen exceso
3. Comparar saldo/stock</x:v>
      </x:c>
      <x:c r="E180" s="13" t="str">
        <x:v>No se acredita devolución/ajuste superior al autorizado. Si falta validación acumulada, registrar Reprobó con reproducción, no normalizar exceso como esperado.</x:v>
      </x:c>
      <x:c r="F180" s="13" t="str">
        <x:v>Fuentes: resources/js/views/tenant/documents/note.vue; app/Services/Fiscal/FiscalDocumentPersistence.php; app/Services/Fiscal/HkaPayloadBuilder.php; database/seeders/data/tenant_initial_data.php
Entrada: Listado/detalle de factura → Nota; /documents/note/{id}</x:v>
      </x:c>
    </x:row>
    <x:row r="181" ht="56" customHeight="1">
      <x:c r="A181" s="13" t="str">
        <x:v>QA-NOT-015</x:v>
      </x:c>
      <x:c r="B181" s="13" t="str">
        <x:v>Notas de factura anulada o ajena</x:v>
      </x:c>
      <x:c r="C181" s="13" t="str">
        <x:v>Factura ordinaria 01 vigente, total 232, 2 UND, mismo cliente/sucursal/moneda/ambiente; control real o fixture separado para preparar.
Factura anulada y otra sucursal</x:v>
      </x:c>
      <x:c r="D181" s="13" t="str">
        <x:v>1. Intentar abrir/generar nota
2. Repetir HTTP directo
3. Comparar documentos</x:v>
      </x:c>
      <x:c r="E181" s="13" t="str">
        <x:v>No se genera ajuste no autorizado o contra documento no vigente; rechazo sin efectos.</x:v>
      </x:c>
      <x:c r="F181" s="13" t="str">
        <x:v>Fuentes: resources/js/views/tenant/documents/note.vue; app/Services/Fiscal/FiscalDocumentPersistence.php; app/Services/Fiscal/HkaPayloadBuilder.php; database/seeders/data/tenant_initial_data.php
Entrada: Listado/detalle de factura → Nota; /documents/note/{id}</x:v>
      </x:c>
    </x:row>
    <x:row r="182" ht="56" customHeight="1">
      <x:c r="A182" s="13" t="str">
        <x:v>QA-NOT-016</x:v>
      </x:c>
      <x:c r="B182" s="13" t="str">
        <x:v>NC/ND sin emisión remota implementada</x:v>
      </x:c>
      <x:c r="C182" s="13" t="str">
        <x:v>Factura ordinaria 01 vigente, total 232, 2 UND, mismo cliente/sucursal/moneda/ambiente; control real o fixture separado para preparar.
Nota local válida preparada</x:v>
      </x:c>
      <x:c r="D182" s="13" t="str">
        <x:v>1. Intentar acción fiscal por endpoint de envío controlado
2. Contar HTTP
3. Consultar estado</x:v>
      </x:c>
      <x:c r="E182" s="13" t="str">
        <x:v>El transporte de facturas no transmite notas como si fueran 01. Preparado sólo acredita preparación local; emisión real NC/ND queda fuera de integración actual.</x:v>
      </x:c>
      <x:c r="F182" s="13" t="str">
        <x:v>Fuentes: resources/js/views/tenant/documents/note.vue; app/Services/Fiscal/FiscalDocumentPersistence.php; app/Services/Fiscal/HkaPayloadBuilder.php; database/seeders/data/tenant_initial_data.php
Entrada: Listado/detalle de factura → Nota; /documents/note/{id}</x:v>
      </x:c>
    </x:row>
    <x:row r="183" ht="56" customHeight="1">
      <x:c r="A183" s="13" t="str">
        <x:v>QA-NOT-017</x:v>
      </x:c>
      <x:c r="B183" s="13" t="str">
        <x:v>Nota IGTF generada por pago posterior</x:v>
      </x:c>
      <x:c r="C183" s="13" t="str">
        <x:v>Factura ordinaria 01 vigente, total 232, 2 UND, mismo cliente/sucursal/moneda/ambiente; control real o fixture separado para preparar.
Factura ordinaria USD a crédito; IGTF 3 %</x:v>
      </x:c>
      <x:c r="D183" s="13" t="str">
        <x:v>1. Cobrar principal 10 USD subject desde Pagos
2. Leer nota y recibo derivado
3. Comparar IVA, artículos, stock y caja</x:v>
      </x:c>
      <x:c r="E183" s="13" t="str">
        <x:v>Nota 08 motivo IGTF/transacción 98 total 0.30 USD, sin líneas ni IVA/stock; recepción 10.30 USD una vez, recibo derivado sin otra entrada.</x:v>
      </x:c>
      <x:c r="F183" s="13" t="str">
        <x:v>Fuentes: resources/js/views/tenant/documents/note.vue; app/Services/Fiscal/FiscalDocumentPersistence.php; app/Services/Fiscal/HkaPayloadBuilder.php; database/seeders/data/tenant_initial_data.php
Entrada: Listado/detalle de factura → Nota; /documents/note/{id}</x:v>
      </x:c>
    </x:row>
    <x:row r="184" ht="56" customHeight="1">
      <x:c r="A184" s="13" t="str">
        <x:v>QA-NOT-018</x:v>
      </x:c>
      <x:c r="B184" s="13" t="str">
        <x:v>IGTF no se crea como motivo manual libre</x:v>
      </x:c>
      <x:c r="C184" s="13" t="str">
        <x:v>Factura ordinaria 01 vigente, total 232, 2 UND, mismo cliente/sucursal/moneda/ambiente; control real o fixture separado para preparar.
Motivo IGTF visible en catálogo</x:v>
      </x:c>
      <x:c r="D184" s="13" t="str">
        <x:v>1. Intentar generar desde formulario manual como nota con artículos
2. Leer vinculación al pago y respuesta
3. Comparar con automática válida</x:v>
      </x:c>
      <x:c r="E184" s="13" t="str">
        <x:v>No se fabrica impuesto sin pago asociado; comportamiento de selector/backend se registra como requisito a validar. Si permite nota inconsistente, reportar defecto.</x:v>
      </x:c>
      <x:c r="F184" s="13" t="str">
        <x:v>Fuentes: resources/js/views/tenant/documents/note.vue; app/Services/Fiscal/FiscalDocumentPersistence.php; app/Services/Fiscal/HkaPayloadBuilder.php; database/seeders/data/tenant_initial_data.php
Entrada: Listado/detalle de factura → Nota; /documents/note/{id}</x:v>
      </x:c>
    </x:row>
    <x:row r="185" ht="56" customHeight="1">
      <x:c r="A185" s="13" t="str">
        <x:v>QA-NOT-019</x:v>
      </x:c>
      <x:c r="B185" s="13" t="str">
        <x:v>PDF y correo comercial de notas</x:v>
      </x:c>
      <x:c r="C185" s="13" t="str">
        <x:v>Factura ordinaria 01 vigente, total 232, 2 UND, mismo cliente/sucursal/moneda/ambiente; control real o fixture separado para preparar.
NC/ND local válida</x:v>
      </x:c>
      <x:c r="D185" s="13" t="str">
        <x:v>1. Abrir formatos realmente disponibles
2. Generar PDF y correo en receptor QA/doble
3. Leer estado fiscal</x:v>
      </x:c>
      <x:c r="E185" s="13" t="str">
        <x:v>Datos y referencia legibles; distribución comercial no presenta la nota como aceptada por HKA; código 07/08 no confundido con comprobantes HKA homónimos.</x:v>
      </x:c>
      <x:c r="F185" s="13" t="str">
        <x:v>Fuentes: resources/js/views/tenant/documents/note.vue; app/Services/Fiscal/FiscalDocumentPersistence.php; app/Services/Fiscal/HkaPayloadBuilder.php; database/seeders/data/tenant_initial_data.php
Entrada: Listado/detalle de factura → Nota; /documents/note/{id}</x:v>
      </x:c>
    </x:row>
    <x:row r="186" ht="56" customHeight="1">
      <x:c r="A186" s="13" t="str">
        <x:v>QA-PAG-001</x:v>
      </x:c>
      <x:c r="B186" s="13" t="str">
        <x:v>Cobro posterior parcial</x:v>
      </x:c>
      <x:c r="C186" s="13" t="str">
        <x:v>Factura 116 VES o 10 USD, R 1=40.12345678; R 2=50.00000000; banco/caja QA; UUID por operación.
Factura 116 VES sin pagos</x:v>
      </x:c>
      <x:c r="D186" s="13" t="str">
        <x:v>1. Registrar 30 VES
2. Consultar Pagos y Finanzas
3. Registrar 86 VES en otra operación</x:v>
      </x:c>
      <x:c r="E186" s="13" t="str">
        <x:v>Saldos 86 y 0 respectivamente; principal/recepción correctos y UUIDs distintos.</x:v>
      </x:c>
      <x:c r="F186" s="13" t="str">
        <x:v>Fuentes: app/Services/Fiscal/FiscalAmounts.php; app/Services/Fiscal/FiscalDocumentPersistence.php; app/Http/Controllers/Tenant/DocumentPaymentController.php; tests/Unit/FiscalApiPaymentTransformTest.php
Entrada: Pagos de factura; POST /document_payments; API de creación pagos</x:v>
      </x:c>
    </x:row>
    <x:row r="187" ht="56" customHeight="1">
      <x:c r="A187" s="13" t="str">
        <x:v>QA-PAG-002</x:v>
      </x:c>
      <x:c r="B187" s="13" t="str">
        <x:v>Cobro posterior sobre saldo</x:v>
      </x:c>
      <x:c r="C187" s="13" t="str">
        <x:v>Factura 116 VES o 10 USD, R 1=40.12345678; R 2=50.00000000; banco/caja QA; UUID por operación.
Saldo 86 VES</x:v>
      </x:c>
      <x:c r="D187" s="13" t="str">
        <x:v>1. Enviar 86.01/100 VES en variantes
2. Intentar simultáneamente dos pagos 60
3. Leer pagos y saldo</x:v>
      </x:c>
      <x:c r="E187" s="13" t="str">
        <x:v>No se supera saldo disponible; transacción bloquea exceso concurrente sin saldo negativo.</x:v>
      </x:c>
      <x:c r="F187" s="13" t="str">
        <x:v>Fuentes: app/Services/Fiscal/FiscalAmounts.php; app/Services/Fiscal/FiscalDocumentPersistence.php; app/Http/Controllers/Tenant/DocumentPaymentController.php; tests/Unit/FiscalApiPaymentTransformTest.php
Entrada: Pagos de factura; POST /document_payments; API de creación pagos</x:v>
      </x:c>
    </x:row>
    <x:row r="188" ht="56" customHeight="1">
      <x:c r="A188" s="13" t="str">
        <x:v>QA-PAG-003</x:v>
      </x:c>
      <x:c r="B188" s="13" t="str">
        <x:v>Pago VES aplicado a documento USD</x:v>
      </x:c>
      <x:c r="C188" s="13" t="str">
        <x:v>Factura 116 VES o 10 USD, R 1=40.12345678; R 2=50.00000000; banco/caja QA; UUID por operación.
Documento 10 USD; API moneda propia VES y R 1</x:v>
      </x:c>
      <x:c r="D188" s="13" t="str">
        <x:v>1. Enviar original_amount 401.23 VES con UUID y tasa R 1
2. Leer principal aplicado y recepción
3. Calcular división exacta con Decimal</x:v>
      </x:c>
      <x:c r="E188" s="13" t="str">
        <x:v>Aplicación 10.00 USD tras redondeo final, recepción 401.23 VES; caja/banco no registra 10 VES ni 401.23 USD.</x:v>
      </x:c>
      <x:c r="F188" s="13" t="str">
        <x:v>Fuentes: app/Services/Fiscal/FiscalAmounts.php; app/Services/Fiscal/FiscalDocumentPersistence.php; app/Http/Controllers/Tenant/DocumentPaymentController.php; tests/Unit/FiscalApiPaymentTransformTest.php
Entrada: Pagos de factura; POST /document_payments; API de creación pagos</x:v>
      </x:c>
    </x:row>
    <x:row r="189" ht="56" customHeight="1">
      <x:c r="A189" s="13" t="str">
        <x:v>QA-PAG-004</x:v>
      </x:c>
      <x:c r="B189" s="13" t="str">
        <x:v>Pago USD aplicado a documento VES</x:v>
      </x:c>
      <x:c r="C189" s="13" t="str">
        <x:v>Factura 116 VES o 10 USD, R 1=40.12345678; R 2=50.00000000; banco/caja QA; UUID por operación.
Documento saldo 401.23 VES</x:v>
      </x:c>
      <x:c r="D189" s="13" t="str">
        <x:v>1. Enviar original_amount 10 USD a R 1 y UUID
2. Leer aplicación/recepción
3. Comparar reporte</x:v>
      </x:c>
      <x:c r="E189" s="13" t="str">
        <x:v>Aplicación 401.23 VES y recepción 10 USD, sin redondear tasa antes de multiplicar.</x:v>
      </x:c>
      <x:c r="F189" s="13" t="str">
        <x:v>Fuentes: app/Services/Fiscal/FiscalAmounts.php; app/Services/Fiscal/FiscalDocumentPersistence.php; app/Http/Controllers/Tenant/DocumentPaymentController.php; tests/Unit/FiscalApiPaymentTransformTest.php
Entrada: Pagos de factura; POST /document_payments; API de creación pagos</x:v>
      </x:c>
    </x:row>
    <x:row r="190" ht="56" customHeight="1">
      <x:c r="A190" s="13" t="str">
        <x:v>QA-PAG-005</x:v>
      </x:c>
      <x:c r="B190" s="13" t="str">
        <x:v>Tasa propia del cobro</x:v>
      </x:c>
      <x:c r="C190" s="13" t="str">
        <x:v>Factura 116 VES o 10 USD, R 1=40.12345678; R 2=50.00000000; banco/caja QA; UUID por operación.
Documento con tasa R 1, cobro con R 2</x:v>
      </x:c>
      <x:c r="D190" s="13" t="str">
        <x:v>1. Cobrar USD usando 50.00000000
2. Leer fuente/fecha/tasa del pago
3. Cambiar tasa actual del catálogo</x:v>
      </x:c>
      <x:c r="E190" s="13" t="str">
        <x:v>Pago mantiene R 2 y aplicación correspondiente; documento conserva R 1. Reportes no recalculan históricos con tasa actual.</x:v>
      </x:c>
      <x:c r="F190" s="13" t="str">
        <x:v>Fuentes: app/Services/Fiscal/FiscalAmounts.php; app/Services/Fiscal/FiscalDocumentPersistence.php; app/Http/Controllers/Tenant/DocumentPaymentController.php; tests/Unit/FiscalApiPaymentTransformTest.php
Entrada: Pagos de factura; POST /document_payments; API de creación pagos</x:v>
      </x:c>
    </x:row>
    <x:row r="191" ht="56" customHeight="1">
      <x:c r="A191" s="13" t="str">
        <x:v>QA-PAG-006</x:v>
      </x:c>
      <x:c r="B191" s="13" t="str">
        <x:v>Omitir moneda propia por API</x:v>
      </x:c>
      <x:c r="C191" s="13" t="str">
        <x:v>Factura 116 VES o 10 USD, R 1=40.12345678; R 2=50.00000000; banco/caja QA; UUID por operación.
Contrato externo de creación vigente</x:v>
      </x:c>
      <x:c r="D191" s="13" t="str">
        <x:v>1. Enviar pagos con monto/codigo_metodo_pago/codigo_destino_pago
2. Omitir datos nuevos de moneda propia
3. Comparar con transformación vigente</x:v>
      </x:c>
      <x:c r="E191" s="13" t="str">
        <x:v>Compatibilidad previa conservada y moneda/tasa heredadas cuando corresponde; no confundir API externa con payload web.</x:v>
      </x:c>
      <x:c r="F191" s="13" t="str">
        <x:v>Fuentes: app/Services/Fiscal/FiscalAmounts.php; app/Services/Fiscal/FiscalDocumentPersistence.php; app/Http/Controllers/Tenant/DocumentPaymentController.php; tests/Unit/FiscalApiPaymentTransformTest.php
Entrada: Pagos de factura; POST /document_payments; API de creación pagos</x:v>
      </x:c>
    </x:row>
    <x:row r="192" ht="56" customHeight="1">
      <x:c r="A192" s="13" t="str">
        <x:v>QA-PAG-007</x:v>
      </x:c>
      <x:c r="B192" s="13" t="str">
        <x:v>Moneda propia sin UUID</x:v>
      </x:c>
      <x:c r="C192" s="13" t="str">
        <x:v>Factura 116 VES o 10 USD, R 1=40.12345678; R 2=50.00000000; banco/caja QA; UUID por operación.
Contrato de API con moneda explícita</x:v>
      </x:c>
      <x:c r="D192" s="13" t="str">
        <x:v>1. Enviar sin operation_key y con clave inválida por separado
2. Leer validación
3. Comparar pagos</x:v>
      </x:c>
      <x:c r="E192" s="13" t="str">
        <x:v>Moneda propia exige UUID válido; rechazo no registra principal/impuesto.</x:v>
      </x:c>
      <x:c r="F192" s="13" t="str">
        <x:v>Fuentes: app/Services/Fiscal/FiscalAmounts.php; app/Services/Fiscal/FiscalDocumentPersistence.php; app/Http/Controllers/Tenant/DocumentPaymentController.php; tests/Unit/FiscalApiPaymentTransformTest.php
Entrada: Pagos de factura; POST /document_payments; API de creación pagos</x:v>
      </x:c>
    </x:row>
    <x:row r="193" ht="56" customHeight="1">
      <x:c r="A193" s="13" t="str">
        <x:v>QA-PAG-008</x:v>
      </x:c>
      <x:c r="B193" s="13" t="str">
        <x:v>Moneda distinta sin importe o tasa</x:v>
      </x:c>
      <x:c r="C193" s="13" t="str">
        <x:v>Factura 116 VES o 10 USD, R 1=40.12345678; R 2=50.00000000; banco/caja QA; UUID por operación.
Factura USD y pago VES</x:v>
      </x:c>
      <x:c r="D193" s="13" t="str">
        <x:v>1. Omitir original_amount
2. Omitir tasa explícita
3. Enviar tasa cero/negativa</x:v>
      </x:c>
      <x:c r="E193" s="13" t="str">
        <x:v>Cada variante rechazada con campo claro; no hereda silenciosamente tasa documental cuando es obligatoria.</x:v>
      </x:c>
      <x:c r="F193" s="13" t="str">
        <x:v>Fuentes: app/Services/Fiscal/FiscalAmounts.php; app/Services/Fiscal/FiscalDocumentPersistence.php; app/Http/Controllers/Tenant/DocumentPaymentController.php; tests/Unit/FiscalApiPaymentTransformTest.php
Entrada: Pagos de factura; POST /document_payments; API de creación pagos</x:v>
      </x:c>
    </x:row>
    <x:row r="194" ht="56" customHeight="1">
      <x:c r="A194" s="13" t="str">
        <x:v>QA-PAG-009</x:v>
      </x:c>
      <x:c r="B194" s="13" t="str">
        <x:v>Monedas retiradas</x:v>
      </x:c>
      <x:c r="C194" s="13" t="str">
        <x:v>Factura 116 VES o 10 USD, R 1=40.12345678; R 2=50.00000000; banco/caja QA; UUID por operación.
Factura/pago con PEN/VED/VEF desconocida</x:v>
      </x:c>
      <x:c r="D194" s="13" t="str">
        <x:v>1. Enviar cada código por canal que exponga moneda
2. Consultar catálogos
3. Comparar efectos</x:v>
      </x:c>
      <x:c r="E194" s="13" t="str">
        <x:v>Sólo VES/USD internos; no transforma silenciosamente moneda retirada ni cobra pasarela incompatible.</x:v>
      </x:c>
      <x:c r="F194" s="13" t="str">
        <x:v>Fuentes: app/Services/Fiscal/FiscalAmounts.php; app/Services/Fiscal/FiscalDocumentPersistence.php; app/Http/Controllers/Tenant/DocumentPaymentController.php; tests/Unit/FiscalApiPaymentTransformTest.php
Entrada: Pagos de factura; POST /document_payments; API de creación pagos</x:v>
      </x:c>
    </x:row>
    <x:row r="195" ht="56" customHeight="1">
      <x:c r="A195" s="13" t="str">
        <x:v>QA-PAG-010</x:v>
      </x:c>
      <x:c r="B195" s="13" t="str">
        <x:v>Tasa con ocho decimales y ceros</x:v>
      </x:c>
      <x:c r="C195" s="13" t="str">
        <x:v>Factura 116 VES o 10 USD, R 1=40.12345678; R 2=50.00000000; banco/caja QA; UUID por operación.
R 1 y 50.00000000</x:v>
      </x:c>
      <x:c r="D195" s="13" t="str">
        <x:v>1. Guardar documento y pago
2. Leer cadenas/respuestas/DB
3. Reimprimir y preparar</x:v>
      </x:c>
      <x:c r="E195" s="13" t="str">
        <x:v>Ocho decimales incluidos ceros se conservan; DECIMAL(18,8) y cálculos exactos hasta redondeo monetario final.</x:v>
      </x:c>
      <x:c r="F195" s="13" t="str">
        <x:v>Fuentes: app/Services/Fiscal/FiscalAmounts.php; app/Services/Fiscal/FiscalDocumentPersistence.php; app/Http/Controllers/Tenant/DocumentPaymentController.php; tests/Unit/FiscalApiPaymentTransformTest.php
Entrada: Pagos de factura; POST /document_payments; API de creación pagos</x:v>
      </x:c>
    </x:row>
    <x:row r="196" ht="56" customHeight="1">
      <x:c r="A196" s="13" t="str">
        <x:v>QA-PAG-011</x:v>
      </x:c>
      <x:c r="B196" s="13" t="str">
        <x:v>Más de ocho decimales significativos</x:v>
      </x:c>
      <x:c r="C196" s="13" t="str">
        <x:v>Factura 116 VES o 10 USD, R 1=40.12345678; R 2=50.00000000; banco/caja QA; UUID por operación.
Tasa 40.123456789</x:v>
      </x:c>
      <x:c r="D196" s="13" t="str">
        <x:v>1. Enviar documento y pago por separado
2. Leer rechazo
3. Comparar importes</x:v>
      </x:c>
      <x:c r="E196" s="13" t="str">
        <x:v>No se redondea silenciosamente para caber en ocho posiciones; valores incompatibles rechazados.</x:v>
      </x:c>
      <x:c r="F196" s="13" t="str">
        <x:v>Fuentes: app/Services/Fiscal/FiscalAmounts.php; app/Services/Fiscal/FiscalDocumentPersistence.php; app/Http/Controllers/Tenant/DocumentPaymentController.php; tests/Unit/FiscalApiPaymentTransformTest.php
Entrada: Pagos de factura; POST /document_payments; API de creación pagos</x:v>
      </x:c>
    </x:row>
    <x:row r="197" ht="56" customHeight="1">
      <x:c r="A197" s="13" t="str">
        <x:v>QA-PAG-012</x:v>
      </x:c>
      <x:c r="B197" s="13" t="str">
        <x:v>Principal inválido</x:v>
      </x:c>
      <x:c r="C197" s="13" t="str">
        <x:v>Factura 116 VES o 10 USD, R 1=40.12345678; R 2=50.00000000; banco/caja QA; UUID por operación.
Factura saldo positivo</x:v>
      </x:c>
      <x:c r="D197" s="13" t="str">
        <x:v>1. Enviar 0, negativo, texto y 0.001 que redondea a 0
2. Registrar resultado individual
3. Leer pagos</x:v>
      </x:c>
      <x:c r="E197" s="13" t="str">
        <x:v>Importe recibido debe quedar positivo a precisión monetaria; ninguna recepción nula/negativa contabilizada.</x:v>
      </x:c>
      <x:c r="F197" s="13" t="str">
        <x:v>Fuentes: app/Services/Fiscal/FiscalAmounts.php; app/Services/Fiscal/FiscalDocumentPersistence.php; app/Http/Controllers/Tenant/DocumentPaymentController.php; tests/Unit/FiscalApiPaymentTransformTest.php
Entrada: Pagos de factura; POST /document_payments; API de creación pagos</x:v>
      </x:c>
    </x:row>
    <x:row r="198" ht="56" customHeight="1">
      <x:c r="A198" s="13" t="str">
        <x:v>QA-PAG-013</x:v>
      </x:c>
      <x:c r="B198" s="13" t="str">
        <x:v>Todos los medios de pago activos</x:v>
      </x:c>
      <x:c r="C198" s="13" t="str">
        <x:v>Factura 116 VES o 10 USD, R 1=40.12345678; R 2=50.00000000; banco/caja QA; UUID por operación.
Catálogo payment_method_types del tenant</x:v>
      </x:c>
      <x:c r="D198" s="13" t="str">
        <x:v>1. Crear caso por cada medio activo disponible
2. Cobrar importe conocido con referencia requerida
3. Desactivar un medio y repetir HTTP</x:v>
      </x:c>
      <x:c r="E198" s="13" t="str">
        <x:v>Cada medio se prueba individualmente y conserva snapshot/destino; inactivo rechazado. No asumir que el medio de catálogo 09 es cobro inmediato.</x:v>
      </x:c>
      <x:c r="F198" s="13" t="str">
        <x:v>Fuentes: app/Services/Fiscal/FiscalAmounts.php; app/Services/Fiscal/FiscalDocumentPersistence.php; app/Http/Controllers/Tenant/DocumentPaymentController.php; tests/Unit/FiscalApiPaymentTransformTest.php
Entrada: Pagos de factura; POST /document_payments; API de creación pagos</x:v>
      </x:c>
    </x:row>
    <x:row r="199" ht="56" customHeight="1">
      <x:c r="A199" s="13" t="str">
        <x:v>QA-PAG-014</x:v>
      </x:c>
      <x:c r="B199" s="13" t="str">
        <x:v>Referencia, fecha y adjunto de pago</x:v>
      </x:c>
      <x:c r="C199" s="13" t="str">
        <x:v>Factura 116 VES o 10 USD, R 1=40.12345678; R 2=50.00000000; banco/caja QA; UUID por operación.
Banco QA y saldo disponible</x:v>
      </x:c>
      <x:c r="D199" s="13" t="str">
        <x:v>1. Guardar fecha válida, referencia y adjunto permitido
2. Probar fecha inválida y adjunto ajeno
3. Descargar evidencia autorizada</x:v>
      </x:c>
      <x:c r="E199" s="13" t="str">
        <x:v>Datos trazables del pago; archivos por tenant/documento. Valores inválidos no generan otro pago.</x:v>
      </x:c>
      <x:c r="F199" s="13" t="str">
        <x:v>Fuentes: app/Services/Fiscal/FiscalAmounts.php; app/Services/Fiscal/FiscalDocumentPersistence.php; app/Http/Controllers/Tenant/DocumentPaymentController.php; tests/Unit/FiscalApiPaymentTransformTest.php
Entrada: Pagos de factura; POST /document_payments; API de creación pagos</x:v>
      </x:c>
    </x:row>
    <x:row r="200" ht="56" customHeight="1">
      <x:c r="A200" s="13" t="str">
        <x:v>QA-PAG-015</x:v>
      </x:c>
      <x:c r="B200" s="13" t="str">
        <x:v>Idempotencia del pago</x:v>
      </x:c>
      <x:c r="C200" s="13" t="str">
        <x:v>Factura 116 VES o 10 USD, R 1=40.12345678; R 2=50.00000000; banco/caja QA; UUID por operación.
Pago con UUIDK y datos D</x:v>
      </x:c>
      <x:c r="D200" s="13" t="str">
        <x:v>1. Enviar D/K dos veces
2. Leer IDs y caja
3. Repetir K con importe/moneda/destino distintos</x:v>
      </x:c>
      <x:c r="E200" s="13" t="str">
        <x:v>Mismo D/K devuelve mismo pago sin otro ingreso; UUID reutilizado con datos distintos rechazado.</x:v>
      </x:c>
      <x:c r="F200" s="13" t="str">
        <x:v>Fuentes: app/Services/Fiscal/FiscalAmounts.php; app/Services/Fiscal/FiscalDocumentPersistence.php; app/Http/Controllers/Tenant/DocumentPaymentController.php; tests/Unit/FiscalApiPaymentTransformTest.php
Entrada: Pagos de factura; POST /document_payments; API de creación pagos</x:v>
      </x:c>
    </x:row>
    <x:row r="201" ht="56" customHeight="1">
      <x:c r="A201" s="13" t="str">
        <x:v>QA-PAG-016</x:v>
      </x:c>
      <x:c r="B201" s="13" t="str">
        <x:v>Idempotencia concurrente de pago</x:v>
      </x:c>
      <x:c r="C201" s="13" t="str">
        <x:v>Factura 116 VES o 10 USD, R 1=40.12345678; R 2=50.00000000; banco/caja QA; UUID por operación.
Dos procesos con misma clave K</x:v>
      </x:c>
      <x:c r="D201" s="13" t="str">
        <x:v>1. Enviar simultáneamente mismo pago
2. Esperar respuestas
3. Leer restricciones únicas/caja</x:v>
      </x:c>
      <x:c r="E201" s="13" t="str">
        <x:v>Un pago lógico, un impuesto y una recepción; respuestas coherentes.</x:v>
      </x:c>
      <x:c r="F201" s="13" t="str">
        <x:v>Fuentes: app/Services/Fiscal/FiscalAmounts.php; app/Services/Fiscal/FiscalDocumentPersistence.php; app/Http/Controllers/Tenant/DocumentPaymentController.php; tests/Unit/FiscalApiPaymentTransformTest.php
Entrada: Pagos de factura; POST /document_payments; API de creación pagos</x:v>
      </x:c>
    </x:row>
    <x:row r="202" ht="56" customHeight="1">
      <x:c r="A202" s="13" t="str">
        <x:v>QA-PAG-017</x:v>
      </x:c>
      <x:c r="B202" s="13" t="str">
        <x:v>No editar pago contabilizado</x:v>
      </x:c>
      <x:c r="C202" s="13" t="str">
        <x:v>Factura 116 VES o 10 USD, R 1=40.12345678; R 2=50.00000000; banco/caja QA; UUID por operación.
Pago activo existente</x:v>
      </x:c>
      <x:c r="D202" s="13" t="str">
        <x:v>1. Enviar id para modificar importe/fecha/destino
2. Leer validación
3. Usar reversión y nueva operación válidas</x:v>
      </x:c>
      <x:c r="E202" s="13" t="str">
        <x:v>Pago existente no se edita silenciosamente; debe revertirse y crear operación nueva para corregir.</x:v>
      </x:c>
      <x:c r="F202" s="13" t="str">
        <x:v>Fuentes: app/Services/Fiscal/FiscalAmounts.php; app/Services/Fiscal/FiscalDocumentPersistence.php; app/Http/Controllers/Tenant/DocumentPaymentController.php; tests/Unit/FiscalApiPaymentTransformTest.php
Entrada: Pagos de factura; POST /document_payments; API de creación pagos</x:v>
      </x:c>
    </x:row>
    <x:row r="203" ht="56" customHeight="1">
      <x:c r="A203" s="13" t="str">
        <x:v>QA-PAG-018</x:v>
      </x:c>
      <x:c r="B203" s="13" t="str">
        <x:v>Revertir pago con motivo</x:v>
      </x:c>
      <x:c r="C203" s="13" t="str">
        <x:v>Factura 116 VES o 10 USD, R 1=40.12345678; R 2=50.00000000; banco/caja QA; UUID por operación.
Pago activo con caja/banco</x:v>
      </x:c>
      <x:c r="D203" s="13" t="str">
        <x:v>1. Revertir con explicación
2. Leer reversed_at/reversed_by/reason
3. Consultar saldo y movimientos</x:v>
      </x:c>
      <x:c r="E203" s="13" t="str">
        <x:v>Pago conservado y excluido de saldo; recepción revertida conforme a flujo y actor/fecha/motivo trazables.</x:v>
      </x:c>
      <x:c r="F203" s="13" t="str">
        <x:v>Fuentes: app/Services/Fiscal/FiscalAmounts.php; app/Services/Fiscal/FiscalDocumentPersistence.php; app/Http/Controllers/Tenant/DocumentPaymentController.php; tests/Unit/FiscalApiPaymentTransformTest.php
Entrada: Pagos de factura; POST /document_payments; API de creación pagos</x:v>
      </x:c>
    </x:row>
    <x:row r="204" ht="56" customHeight="1">
      <x:c r="A204" s="13" t="str">
        <x:v>QA-PAG-019</x:v>
      </x:c>
      <x:c r="B204" s="13" t="str">
        <x:v>Reversión sin permiso o motivo</x:v>
      </x:c>
      <x:c r="C204" s="13" t="str">
        <x:v>Factura 116 VES o 10 USD, R 1=40.12345678; R 2=50.00000000; banco/caja QA; UUID por operación.
Pago activo</x:v>
      </x:c>
      <x:c r="D204" s="13" t="str">
        <x:v>1. Omitir razón
2. Repetir con usuario sin delete_payment
3. Leer estado</x:v>
      </x:c>
      <x:c r="E204" s="13" t="str">
        <x:v>Bloqueo en servidor sin alterar saldo/caja; no basta esconder botón.</x:v>
      </x:c>
      <x:c r="F204" s="13" t="str">
        <x:v>Fuentes: app/Services/Fiscal/FiscalAmounts.php; app/Services/Fiscal/FiscalDocumentPersistence.php; app/Http/Controllers/Tenant/DocumentPaymentController.php; tests/Unit/FiscalApiPaymentTransformTest.php
Entrada: Pagos de factura; POST /document_payments; API de creación pagos</x:v>
      </x:c>
    </x:row>
    <x:row r="205" ht="56" customHeight="1">
      <x:c r="A205" s="13" t="str">
        <x:v>QA-PAG-020</x:v>
      </x:c>
      <x:c r="B205" s="13" t="str">
        <x:v>Repetir reversión y reutilizar clave</x:v>
      </x:c>
      <x:c r="C205" s="13" t="str">
        <x:v>Factura 116 VES o 10 USD, R 1=40.12345678; R 2=50.00000000; banco/caja QA; UUID por operación.
Pago ya revertido</x:v>
      </x:c>
      <x:c r="D205" s="13" t="str">
        <x:v>1. Revertir de nuevo
2. Intentar crear nuevo pago con UUID original
3. Leer saldo y caja</x:v>
      </x:c>
      <x:c r="E205" s="13" t="str">
        <x:v>Reversión no se aplica dos veces; clave de pago revertido no autoriza nuevo cobro.</x:v>
      </x:c>
      <x:c r="F205" s="13" t="str">
        <x:v>Fuentes: app/Services/Fiscal/FiscalAmounts.php; app/Services/Fiscal/FiscalDocumentPersistence.php; app/Http/Controllers/Tenant/DocumentPaymentController.php; tests/Unit/FiscalApiPaymentTransformTest.php
Entrada: Pagos de factura; POST /document_payments; API de creación pagos</x:v>
      </x:c>
    </x:row>
    <x:row r="206" ht="56" customHeight="1">
      <x:c r="A206" s="13" t="str">
        <x:v>QA-PAG-021</x:v>
      </x:c>
      <x:c r="B206" s="13" t="str">
        <x:v>Vuelto de efectivo</x:v>
      </x:c>
      <x:c r="C206" s="13" t="str">
        <x:v>Factura 116 VES o 10 USD, R 1=40.12345678; R 2=50.00000000; banco/caja QA; UUID por operación.
Total 116 VES, entrega 120</x:v>
      </x:c>
      <x:c r="D206" s="13" t="str">
        <x:v>1. Cobrar mostrando entrega 120
2. Guardar
3. Leer principal/efectivo/vuelto y reporte</x:v>
      </x:c>
      <x:c r="E206" s="13" t="str">
        <x:v>Principal neto 116 y vuelto 4; no se registra venta 120 ni IGTF sobre vuelto; recepción efectiva neta conciliada.</x:v>
      </x:c>
      <x:c r="F206" s="13" t="str">
        <x:v>Fuentes: app/Services/Fiscal/FiscalAmounts.php; app/Services/Fiscal/FiscalDocumentPersistence.php; app/Http/Controllers/Tenant/DocumentPaymentController.php; tests/Unit/FiscalApiPaymentTransformTest.php
Entrada: Pagos de factura; POST /document_payments; API de creación pagos</x:v>
      </x:c>
    </x:row>
    <x:row r="207" ht="56" customHeight="1">
      <x:c r="A207" s="13" t="str">
        <x:v>QA-PAG-022</x:v>
      </x:c>
      <x:c r="B207" s="13" t="str">
        <x:v>Pagos mixtos en otra moneda sólo por API</x:v>
      </x:c>
      <x:c r="C207" s="13" t="str">
        <x:v>Factura 116 VES o 10 USD, R 1=40.12345678; R 2=50.00000000; banco/caja QA; UUID por operación.
API soportada y UI actual</x:v>
      </x:c>
      <x:c r="D207" s="13" t="str">
        <x:v>1. Registrar suboperaciones USD/VES con UUIDs
2. Verificar sumas aplicadas
3. Revisar pantalla de pago</x:v>
      </x:c>
      <x:c r="E207" s="13" t="str">
        <x:v>Backend conserva cada moneda; UI no se declara capaz de selector propio/mixto que no existe. Evidencia API no sustituye prueba visual.</x:v>
      </x:c>
      <x:c r="F207" s="13" t="str">
        <x:v>Fuentes: app/Services/Fiscal/FiscalAmounts.php; app/Services/Fiscal/FiscalDocumentPersistence.php; app/Http/Controllers/Tenant/DocumentPaymentController.php; tests/Unit/FiscalApiPaymentTransformTest.php
Entrada: Pagos de factura; POST /document_payments; API de creación pagos</x:v>
      </x:c>
    </x:row>
    <x:row r="208" ht="44" customHeight="1">
      <x:c r="A208" s="13" t="str">
        <x:v>QA-IGT-001</x:v>
      </x:c>
      <x:c r="B208" s="13" t="str">
        <x:v>IGTF inicial sujeto</x:v>
      </x:c>
      <x:c r="C208" s="13" t="str">
        <x:v>Tenant QA IGTF habilitado 3 %, factura USD principal 100, serie 08 autorizada, pagos subject / exempt / not_applicable.
Principal 100 USD y tasa IGTF 3 %</x:v>
      </x:c>
      <x:c r="D208" s="13" t="str">
        <x:v>1. Clasificar subject
2. Pagar principal 100 más impuesto 3
3. Guardar y leer impuestos/recibos/total</x:v>
      </x:c>
      <x:c r="E208" s="13" t="str">
        <x:v>Impuesto 3 USD separado, total 103 USD; principal 100 y recibo derivado 3 liquidan sin duplicar recepción 103. Factura no contiene IVA adicional por IGTF.</x:v>
      </x:c>
      <x:c r="F208" s="13" t="str">
        <x:v>Fuentes: app/Services/Fiscal/FiscalAmounts.php; app/Services/Fiscal/FiscalDocumentPersistence.php; resources/js/views/tenant/documents/partials/igtf_fields.vue
Entrada: Clasificación IGTF en pago inicial y Pagos posteriores</x:v>
      </x:c>
    </x:row>
    <x:row r="209" ht="44" customHeight="1">
      <x:c r="A209" s="13" t="str">
        <x:v>QA-IGT-002</x:v>
      </x:c>
      <x:c r="B209" s="13" t="str">
        <x:v>No aplica no cobra IGTF</x:v>
      </x:c>
      <x:c r="C209" s="13" t="str">
        <x:v>Tenant QA IGTF habilitado 3 %, factura USD principal 100, serie 08 autorizada, pagos subject / exempt / not_applicable.
IGTF habilitado y pago USD 100</x:v>
      </x:c>
      <x:c r="D209" s="13" t="str">
        <x:v>1. Seleccionar not_applicable
2. Guardar
3. Comparar impuesto y caja</x:v>
      </x:c>
      <x:c r="E209" s="13" t="str">
        <x:v>Tax_amount 0 y total sin IGTF; moneda USD no convierte automáticamente pago en subject.</x:v>
      </x:c>
      <x:c r="F209" s="13" t="str">
        <x:v>Fuentes: app/Services/Fiscal/FiscalAmounts.php; app/Services/Fiscal/FiscalDocumentPersistence.php; resources/js/views/tenant/documents/partials/igtf_fields.vue
Entrada: Clasificación IGTF en pago inicial y Pagos posteriores</x:v>
      </x:c>
    </x:row>
    <x:row r="210" ht="44" customHeight="1">
      <x:c r="A210" s="13" t="str">
        <x:v>QA-IGT-003</x:v>
      </x:c>
      <x:c r="B210" s="13" t="str">
        <x:v>Exento con motivo</x:v>
      </x:c>
      <x:c r="C210" s="13" t="str">
        <x:v>Tenant QA IGTF habilitado 3 %, factura USD principal 100, serie 08 autorizada, pagos subject / exempt / not_applicable.
Pago USD 100</x:v>
      </x:c>
      <x:c r="D210" s="13" t="str">
        <x:v>1. Seleccionar exempt y escribir motivo QA
2. Guardar
3. Leer clasificación/razón/impuesto</x:v>
      </x:c>
      <x:c r="E210" s="13" t="str">
        <x:v>Motivo conservado, impuesto 0; no se infiere perfil tributario desde la moneda o identidad.</x:v>
      </x:c>
      <x:c r="F210" s="13" t="str">
        <x:v>Fuentes: app/Services/Fiscal/FiscalAmounts.php; app/Services/Fiscal/FiscalDocumentPersistence.php; resources/js/views/tenant/documents/partials/igtf_fields.vue
Entrada: Clasificación IGTF en pago inicial y Pagos posteriores</x:v>
      </x:c>
    </x:row>
    <x:row r="211" ht="44" customHeight="1">
      <x:c r="A211" s="13" t="str">
        <x:v>QA-IGT-004</x:v>
      </x:c>
      <x:c r="B211" s="13" t="str">
        <x:v>Exento sin motivo</x:v>
      </x:c>
      <x:c r="C211" s="13" t="str">
        <x:v>Tenant QA IGTF habilitado 3 %, factura USD principal 100, serie 08 autorizada, pagos subject / exempt / not_applicable.
Pago exento</x:v>
      </x:c>
      <x:c r="D211" s="13" t="str">
        <x:v>1. Omitir razón o sólo espacios
2. Enviar por UI/HTTP
3. Leer pagos</x:v>
      </x:c>
      <x:c r="E211" s="13" t="str">
        <x:v>Rechazo explícito, sin cobro ni impuesto parcial.</x:v>
      </x:c>
      <x:c r="F211" s="13" t="str">
        <x:v>Fuentes: app/Services/Fiscal/FiscalAmounts.php; app/Services/Fiscal/FiscalDocumentPersistence.php; resources/js/views/tenant/documents/partials/igtf_fields.vue
Entrada: Clasificación IGTF en pago inicial y Pagos posteriores</x:v>
      </x:c>
    </x:row>
    <x:row r="212" ht="44" customHeight="1">
      <x:c r="A212" s="13" t="str">
        <x:v>QA-IGT-005</x:v>
      </x:c>
      <x:c r="B212" s="13" t="str">
        <x:v>Subject no válido</x:v>
      </x:c>
      <x:c r="C212" s="13" t="str">
        <x:v>Tenant QA IGTF habilitado 3 %, factura USD principal 100, serie 08 autorizada, pagos subject / exempt / not_applicable.
IGTF deshabilitado o pago VES</x:v>
      </x:c>
      <x:c r="D212" s="13" t="str">
        <x:v>1. Enviar subject en variantes independientes
2. Leer errores
3. Comprobar caja</x:v>
      </x:c>
      <x:c r="E212" s="13" t="str">
        <x:v>Requiere habilitación/tasa positiva y pago USD en implementación actual; ningún tributo inferido de catálogo.</x:v>
      </x:c>
      <x:c r="F212" s="13" t="str">
        <x:v>Fuentes: app/Services/Fiscal/FiscalAmounts.php; app/Services/Fiscal/FiscalDocumentPersistence.php; resources/js/views/tenant/documents/partials/igtf_fields.vue
Entrada: Clasificación IGTF en pago inicial y Pagos posteriores</x:v>
      </x:c>
    </x:row>
    <x:row r="213" ht="44" customHeight="1">
      <x:c r="A213" s="13" t="str">
        <x:v>QA-IGT-006</x:v>
      </x:c>
      <x:c r="B213" s="13" t="str">
        <x:v>IGTF sólo sobre neto</x:v>
      </x:c>
      <x:c r="C213" s="13" t="str">
        <x:v>Tenant QA IGTF habilitado 3 %, factura USD principal 100, serie 08 autorizada, pagos subject / exempt / not_applicable.
Cobro USD 100 con vuelto 10 y retenciones/fondo separados</x:v>
      </x:c>
      <x:c r="D213" s="13" t="str">
        <x:v>1. Registrar principal neto real según pago
2. Calcular 3 % del neto
3. Comparar impuestos y caja</x:v>
      </x:c>
      <x:c r="E213" s="13" t="str">
        <x:v>IGTF no grava vuelto, retenciones, fondo ni el propio impuesto. Base fiscal y recepción neta quedan identificadas.</x:v>
      </x:c>
      <x:c r="F213" s="13" t="str">
        <x:v>Fuentes: app/Services/Fiscal/FiscalAmounts.php; app/Services/Fiscal/FiscalDocumentPersistence.php; resources/js/views/tenant/documents/partials/igtf_fields.vue
Entrada: Clasificación IGTF en pago inicial y Pagos posteriores</x:v>
      </x:c>
    </x:row>
    <x:row r="214" ht="44" customHeight="1">
      <x:c r="A214" s="13" t="str">
        <x:v>QA-IGT-007</x:v>
      </x:c>
      <x:c r="B214" s="13" t="str">
        <x:v>IGTF posterior crea ND local</x:v>
      </x:c>
      <x:c r="C214" s="13" t="str">
        <x:v>Tenant QA IGTF habilitado 3 %, factura USD principal 100, serie 08 autorizada, pagos subject / exempt / not_applicable.
Factura 100 USD sin cobros</x:v>
      </x:c>
      <x:c r="D214" s="13" t="str">
        <x:v>1. Cobrar 20 USD subject
2. Leer ND 08/IGTF/98 y recibo derivado
3. Comparar saldo e inventario</x:v>
      </x:c>
      <x:c r="E214" s="13" t="str">
        <x:v>IGTF 0.60 USD, principal aplicado 20, saldo principal 80, nota sin líneas/IVA; caja 20.60 una vez.</x:v>
      </x:c>
      <x:c r="F214" s="13" t="str">
        <x:v>Fuentes: app/Services/Fiscal/FiscalAmounts.php; app/Services/Fiscal/FiscalDocumentPersistence.php; resources/js/views/tenant/documents/partials/igtf_fields.vue
Entrada: Clasificación IGTF en pago inicial y Pagos posteriores</x:v>
      </x:c>
    </x:row>
    <x:row r="215" ht="44" customHeight="1">
      <x:c r="A215" s="13" t="str">
        <x:v>QA-IGT-008</x:v>
      </x:c>
      <x:c r="B215" s="13" t="str">
        <x:v>IGTF posterior sin serie autorizada</x:v>
      </x:c>
      <x:c r="C215" s="13" t="str">
        <x:v>Tenant QA IGTF habilitado 3 %, factura USD principal 100, serie 08 autorizada, pagos subject / exempt / not_applicable.
Factura a crédito y sin serie 08 permitida</x:v>
      </x:c>
      <x:c r="D215" s="13" t="str">
        <x:v>1. Cobrar subject
2. Leer error
3. Comprobar pagos/notas/caja</x:v>
      </x:c>
      <x:c r="E215" s="13" t="str">
        <x:v>Cobro completo se rechaza y hace rollback; no principal sin impuesto ni nota sin identidad.</x:v>
      </x:c>
      <x:c r="F215" s="13" t="str">
        <x:v>Fuentes: app/Services/Fiscal/FiscalAmounts.php; app/Services/Fiscal/FiscalDocumentPersistence.php; resources/js/views/tenant/documents/partials/igtf_fields.vue
Entrada: Clasificación IGTF en pago inicial y Pagos posteriores</x:v>
      </x:c>
    </x:row>
    <x:row r="216" ht="44" customHeight="1">
      <x:c r="A216" s="13" t="str">
        <x:v>QA-IGT-009</x:v>
      </x:c>
      <x:c r="B216" s="13" t="str">
        <x:v>Dos cobros sujetos y UUIDs</x:v>
      </x:c>
      <x:c r="C216" s="13" t="str">
        <x:v>Tenant QA IGTF habilitado 3 %, factura USD principal 100, serie 08 autorizada, pagos subject / exempt / not_applicable.
Factura 100 USD pendiente</x:v>
      </x:c>
      <x:c r="D216" s="13" t="str">
        <x:v>1. Cobrar 20 y 30 con UUIDs distintos
2. Repetir primer UUID
3. Leer notas/impuestos/recibos</x:v>
      </x:c>
      <x:c r="E216" s="13" t="str">
        <x:v>Dos cargos 0.60/0.90 ligados a pagos; replay no crea un tercero ni duplica efectivo.</x:v>
      </x:c>
      <x:c r="F216" s="13" t="str">
        <x:v>Fuentes: app/Services/Fiscal/FiscalAmounts.php; app/Services/Fiscal/FiscalDocumentPersistence.php; resources/js/views/tenant/documents/partials/igtf_fields.vue
Entrada: Clasificación IGTF en pago inicial y Pagos posteriores</x:v>
      </x:c>
    </x:row>
    <x:row r="217" ht="44" customHeight="1">
      <x:c r="A217" s="13" t="str">
        <x:v>QA-IGT-010</x:v>
      </x:c>
      <x:c r="B217" s="13" t="str">
        <x:v>Revertir IGTF inicial</x:v>
      </x:c>
      <x:c r="C217" s="13" t="str">
        <x:v>Tenant QA IGTF habilitado 3 %, factura USD principal 100, serie 08 autorizada, pagos subject / exempt / not_applicable.
Factura con IGTF inicial y pago activo</x:v>
      </x:c>
      <x:c r="D217" s="13" t="str">
        <x:v>1. Revertir pago con motivo
2. Leer cargo fiscal y recibo derivado
3. Consultar saldo/caja</x:v>
      </x:c>
      <x:c r="E217" s="13" t="str">
        <x:v>Pago/derivado revertidos, cargo inicial sigue trazable; no se reescribe factura fiscal ni se borra impuesto silenciosamente.</x:v>
      </x:c>
      <x:c r="F217" s="13" t="str">
        <x:v>Fuentes: app/Services/Fiscal/FiscalAmounts.php; app/Services/Fiscal/FiscalDocumentPersistence.php; resources/js/views/tenant/documents/partials/igtf_fields.vue
Entrada: Clasificación IGTF en pago inicial y Pagos posteriores</x:v>
      </x:c>
    </x:row>
    <x:row r="218" ht="44" customHeight="1">
      <x:c r="A218" s="13" t="str">
        <x:v>QA-IGT-011</x:v>
      </x:c>
      <x:c r="B218" s="13" t="str">
        <x:v>Revertir IGTF posterior no preparado</x:v>
      </x:c>
      <x:c r="C218" s="13" t="str">
        <x:v>Tenant QA IGTF habilitado 3 %, factura USD principal 100, serie 08 autorizada, pagos subject / exempt / not_applicable.
Nota IGTF local not_requested</x:v>
      </x:c>
      <x:c r="D218" s="13" t="str">
        <x:v>1. Revertir pago padre
2. Leer nota y recibo
3. Consultar caja</x:v>
      </x:c>
      <x:c r="E218" s="13" t="str">
        <x:v>Nota se anula localmente y recibo derivado se revierte con pago padre; un solo efecto de reversión.</x:v>
      </x:c>
      <x:c r="F218" s="13" t="str">
        <x:v>Fuentes: app/Services/Fiscal/FiscalAmounts.php; app/Services/Fiscal/FiscalDocumentPersistence.php; resources/js/views/tenant/documents/partials/igtf_fields.vue
Entrada: Clasificación IGTF en pago inicial y Pagos posteriores</x:v>
      </x:c>
    </x:row>
    <x:row r="219" ht="44" customHeight="1">
      <x:c r="A219" s="13" t="str">
        <x:v>QA-IGT-012</x:v>
      </x:c>
      <x:c r="B219" s="13" t="str">
        <x:v>Revertir IGTF posterior preparado</x:v>
      </x:c>
      <x:c r="C219" s="13" t="str">
        <x:v>Tenant QA IGTF habilitado 3 %, factura USD principal 100, serie 08 autorizada, pagos subject / exempt / not_applicable.
Nota IGTF prepared</x:v>
      </x:c>
      <x:c r="D219" s="13" t="str">
        <x:v>1. Intentar revertir pago padre
2. Leer validación
3. Comparar todos los estados</x:v>
      </x:c>
      <x:c r="E219" s="13" t="str">
        <x:v>Reversión completa rechazada hasta ajuste fiscal implementado; no queda principal revertido con cargo activo inconsistente.</x:v>
      </x:c>
      <x:c r="F219" s="13" t="str">
        <x:v>Fuentes: app/Services/Fiscal/FiscalAmounts.php; app/Services/Fiscal/FiscalDocumentPersistence.php; resources/js/views/tenant/documents/partials/igtf_fields.vue
Entrada: Clasificación IGTF en pago inicial y Pagos posteriores</x:v>
      </x:c>
    </x:row>
    <x:row r="220" ht="44" customHeight="1">
      <x:c r="A220" s="13" t="str">
        <x:v>QA-IGT-013</x:v>
      </x:c>
      <x:c r="B220" s="13" t="str">
        <x:v>Revertir derivado aislado</x:v>
      </x:c>
      <x:c r="C220" s="13" t="str">
        <x:v>Tenant QA IGTF habilitado 3 %, factura USD principal 100, serie 08 autorizada, pagos subject / exempt / not_applicable.
Recibo receipt_parent_id existente</x:v>
      </x:c>
      <x:c r="D220" s="13" t="str">
        <x:v>1. Intentar DELETE del derivado
2. Leer rechazo
3. Consultar pago padre</x:v>
      </x:c>
      <x:c r="E220" s="13" t="str">
        <x:v>Debe revertirse padre; derivado aislado bloqueado, sin otra salida de caja.</x:v>
      </x:c>
      <x:c r="F220" s="13" t="str">
        <x:v>Fuentes: app/Services/Fiscal/FiscalAmounts.php; app/Services/Fiscal/FiscalDocumentPersistence.php; resources/js/views/tenant/documents/partials/igtf_fields.vue
Entrada: Clasificación IGTF en pago inicial y Pagos posteriores</x:v>
      </x:c>
    </x:row>
    <x:row r="221" ht="44" customHeight="1">
      <x:c r="A221" s="13" t="str">
        <x:v>QA-IGT-014</x:v>
      </x:c>
      <x:c r="B221" s="13" t="str">
        <x:v>IGTF inicial exportación y terceros</x:v>
      </x:c>
      <x:c r="C221" s="13" t="str">
        <x:v>Tenant QA IGTF habilitado 3 %, factura USD principal 100, serie 08 autorizada, pagos subject / exempt / not_applicable.
Facturas exportación/terceros USD contado</x:v>
      </x:c>
      <x:c r="D221" s="13" t="str">
        <x:v>1. Aplicar subject inicial válido en cada una
2. Guardar/preparar con doble
3. Conciliar payload y cobro</x:v>
      </x:c>
      <x:c r="E221" s="13" t="str">
        <x:v>Flujo inicial vigente y totales adaptados concilian; no habilita notas posteriores de esas categorías.</x:v>
      </x:c>
      <x:c r="F221" s="13" t="str">
        <x:v>Fuentes: app/Services/Fiscal/FiscalAmounts.php; app/Services/Fiscal/FiscalDocumentPersistence.php; resources/js/views/tenant/documents/partials/igtf_fields.vue
Entrada: Clasificación IGTF en pago inicial y Pagos posteriores</x:v>
      </x:c>
    </x:row>
    <x:row r="222" ht="56" customHeight="1">
      <x:c r="A222" s="13" t="str">
        <x:v>QA-RET-001</x:v>
      </x:c>
      <x:c r="B222" s="13" t="str">
        <x:v>Retención IVA 75 %</x:v>
      </x:c>
      <x:c r="C222" s="13" t="str">
        <x:v>Factura 116 VES, IVA 16, sin cobros; agente=comprador; comprobantes QA; saldo suficiente; base ISLR 100.
Factura 116 VES e IVA 16</x:v>
      </x:c>
      <x:c r="D222" s="13" t="str">
        <x:v>1. Registrar base IVA 16/75 %/importe 12 y número único
2. Consultar saldo y PDF/reporte
3. Leer impuestos/caja</x:v>
      </x:c>
      <x:c r="E222" s="13" t="str">
        <x:v>Retención aplicada 12, saldo 104, venta 116 e IVA 16 intactos; no hay efectivo 12 en caja.</x:v>
      </x:c>
      <x:c r="F222" s="13" t="str">
        <x:v>Fuentes: app/Services/Fiscal/FiscalDocumentPersistence.php; app/Http/Controllers/Tenant/DocumentFiscalController.php; resources/js/views/tenant/documents/partials/retention.vue
Entrada: GET/POST /documents/retention; upload; creación con guarantee_fund cuando soportada</x:v>
      </x:c>
    </x:row>
    <x:row r="223" ht="56" customHeight="1">
      <x:c r="A223" s="13" t="str">
        <x:v>QA-RET-002</x:v>
      </x:c>
      <x:c r="B223" s="13" t="str">
        <x:v>Retención IVA 100 %</x:v>
      </x:c>
      <x:c r="C223" s="13" t="str">
        <x:v>Factura 116 VES, IVA 16, sin cobros; agente=comprador; comprobantes QA; saldo suficiente; base ISLR 100.
Fixture independiente</x:v>
      </x:c>
      <x:c r="D223" s="13" t="str">
        <x:v>1. Registrar base 16/100 %/importe 16
2. Consultar saldo e impuestos
3. Leer caja</x:v>
      </x:c>
      <x:c r="E223" s="13" t="str">
        <x:v>Saldo 100; retención no altera total ni base de venta; impuesto disponible agotado.</x:v>
      </x:c>
      <x:c r="F223" s="13" t="str">
        <x:v>Fuentes: app/Services/Fiscal/FiscalDocumentPersistence.php; app/Http/Controllers/Tenant/DocumentFiscalController.php; resources/js/views/tenant/documents/partials/retention.vue
Entrada: GET/POST /documents/retention; upload; creación con guarantee_fund cuando soportada</x:v>
      </x:c>
    </x:row>
    <x:row r="224" ht="56" customHeight="1">
      <x:c r="A224" s="13" t="str">
        <x:v>QA-RET-003</x:v>
      </x:c>
      <x:c r="B224" s="13" t="str">
        <x:v>ISLR con sustraendo</x:v>
      </x:c>
      <x:c r="C224" s="13" t="str">
        <x:v>Factura 116 VES, IVA 16, sin cobros; agente=comprador; comprobantes QA; saldo suficiente; base ISLR 100.
Base 100/3 %/sustraendo 1, concepto existente</x:v>
      </x:c>
      <x:c r="D224" s="13" t="str">
        <x:v>1. Registrar comprobante importe 2
2. Consultar snapshot agente y saldo
3. Leer caja</x:v>
      </x:c>
      <x:c r="E224" s="13" t="str">
        <x:v>Fórmula max(0,100×3 %−1)=2, saldo 114; concepto/agente/fecha/número conservados, sin ingreso efectivo.</x:v>
      </x:c>
      <x:c r="F224" s="13" t="str">
        <x:v>Fuentes: app/Services/Fiscal/FiscalDocumentPersistence.php; app/Http/Controllers/Tenant/DocumentFiscalController.php; resources/js/views/tenant/documents/partials/retention.vue
Entrada: GET/POST /documents/retention; upload; creación con guarantee_fund cuando soportada</x:v>
      </x:c>
    </x:row>
    <x:row r="225" ht="56" customHeight="1">
      <x:c r="A225" s="13" t="str">
        <x:v>QA-RET-004</x:v>
      </x:c>
      <x:c r="B225" s="13" t="str">
        <x:v>Múltiples IVA e ISLR</x:v>
      </x:c>
      <x:c r="C225" s="13" t="str">
        <x:v>Factura 116 VES, IVA 16, sin cobros; agente=comprador; comprobantes QA; saldo suficiente; base ISLR 100.
Factura 116 VES sin aplicaciones</x:v>
      </x:c>
      <x:c r="D225" s="13" t="str">
        <x:v>1. Registrar dos comprobantes IVA 6+6 y un ISLR 2 con números distintos
2. Consultar acumulados
3. Comparar saldo y total</x:v>
      </x:c>
      <x:c r="E225" s="13" t="str">
        <x:v>Aplicación 14, saldo 102, IVA retenido 12≤16; total 116 sin alteración y comprobantes individuales auditables.</x:v>
      </x:c>
      <x:c r="F225" s="13" t="str">
        <x:v>Fuentes: app/Services/Fiscal/FiscalDocumentPersistence.php; app/Http/Controllers/Tenant/DocumentFiscalController.php; resources/js/views/tenant/documents/partials/retention.vue
Entrada: GET/POST /documents/retention; upload; creación con guarantee_fund cuando soportada</x:v>
      </x:c>
    </x:row>
    <x:row r="226" ht="56" customHeight="1">
      <x:c r="A226" s="13" t="str">
        <x:v>QA-RET-005</x:v>
      </x:c>
      <x:c r="B226" s="13" t="str">
        <x:v>Retención en moneda diferente</x:v>
      </x:c>
      <x:c r="C226" s="13" t="str">
        <x:v>Factura 116 VES, IVA 16, sin cobros; agente=comprador; comprobantes QA; saldo suficiente; base ISLR 100.
Factura USD e IVAUSD; comprobante VES a R 1</x:v>
      </x:c>
      <x:c r="D226" s="13" t="str">
        <x:v>1. Registrar base e importe convertidos explícitamente
2. Leer applied_amount
3. Cambiar tasa actual y consultar</x:v>
      </x:c>
      <x:c r="E226" s="13" t="str">
        <x:v>Aplicación calculada en moneda documental con tasa conservada; comprobante mantiene su moneda/importe original.</x:v>
      </x:c>
      <x:c r="F226" s="13" t="str">
        <x:v>Fuentes: app/Services/Fiscal/FiscalDocumentPersistence.php; app/Http/Controllers/Tenant/DocumentFiscalController.php; resources/js/views/tenant/documents/partials/retention.vue
Entrada: GET/POST /documents/retention; upload; creación con guarantee_fund cuando soportada</x:v>
      </x:c>
    </x:row>
    <x:row r="227" ht="56" customHeight="1">
      <x:c r="A227" s="13" t="str">
        <x:v>QA-RET-006</x:v>
      </x:c>
      <x:c r="B227" s="13" t="str">
        <x:v>Agente distinto o ajeno</x:v>
      </x:c>
      <x:c r="C227" s="13" t="str">
        <x:v>Factura 116 VES, IVA 16, sin cobros; agente=comprador; comprobantes QA; saldo suficiente; base ISLR 100.
Factura del cliente C 1</x:v>
      </x:c>
      <x:c r="D227" s="13" t="str">
        <x:v>1. Enviar agente C 2 de mismo tenant
2. Enviar ID de otro tenant
3. Comparar aplicaciones</x:v>
      </x:c>
      <x:c r="E227" s="13" t="str">
        <x:v>Agente debe ser cliente de factura y pertenecer al contexto autorizado; ningún comprobante inválido aplicado.</x:v>
      </x:c>
      <x:c r="F227" s="13" t="str">
        <x:v>Fuentes: app/Services/Fiscal/FiscalDocumentPersistence.php; app/Http/Controllers/Tenant/DocumentFiscalController.php; resources/js/views/tenant/documents/partials/retention.vue
Entrada: GET/POST /documents/retention; upload; creación con guarantee_fund cuando soportada</x:v>
      </x:c>
    </x:row>
    <x:row r="228" ht="56" customHeight="1">
      <x:c r="A228" s="13" t="str">
        <x:v>QA-RET-007</x:v>
      </x:c>
      <x:c r="B228" s="13" t="str">
        <x:v>Número duplicado y concurrencia</x:v>
      </x:c>
      <x:c r="C228" s="13" t="str">
        <x:v>Factura 116 VES, IVA 16, sin cobros; agente=comprador; comprobantes QA; saldo suficiente; base ISLR 100.
Comprobante IVA del mismo documento/tipo/agente/número</x:v>
      </x:c>
      <x:c r="D228" s="13" t="str">
        <x:v>1. Repetir secuencialmente
2. Repetir en dos procesos
3. Leer filas y saldo</x:v>
      </x:c>
      <x:c r="E228" s="13" t="str">
        <x:v>Unicidad impide duplicado y doble aplicación; error explícito.</x:v>
      </x:c>
      <x:c r="F228" s="13" t="str">
        <x:v>Fuentes: app/Services/Fiscal/FiscalDocumentPersistence.php; app/Http/Controllers/Tenant/DocumentFiscalController.php; resources/js/views/tenant/documents/partials/retention.vue
Entrada: GET/POST /documents/retention; upload; creación con guarantee_fund cuando soportada</x:v>
      </x:c>
    </x:row>
    <x:row r="229" ht="56" customHeight="1">
      <x:c r="A229" s="13" t="str">
        <x:v>QA-RET-008</x:v>
      </x:c>
      <x:c r="B229" s="13" t="str">
        <x:v>Exceso de saldo o impuesto IVA</x:v>
      </x:c>
      <x:c r="C229" s="13" t="str">
        <x:v>Factura 116 VES, IVA 16, sin cobros; agente=comprador; comprobantes QA; saldo suficiente; base ISLR 100.
Saldo 10 o impuesto disponible 4</x:v>
      </x:c>
      <x:c r="D229" s="13" t="str">
        <x:v>1. Enviar aplicación 11
2. Enviar IVA5 o base mayor al IVA total
3. Registrar cada variante</x:v>
      </x:c>
      <x:c r="E229" s="13" t="str">
        <x:v>Rechazo sin aplicación parcial; límites de saldo y de impuesto disponibles independientes.</x:v>
      </x:c>
      <x:c r="F229" s="13" t="str">
        <x:v>Fuentes: app/Services/Fiscal/FiscalDocumentPersistence.php; app/Http/Controllers/Tenant/DocumentFiscalController.php; resources/js/views/tenant/documents/partials/retention.vue
Entrada: GET/POST /documents/retention; upload; creación con guarantee_fund cuando soportada</x:v>
      </x:c>
    </x:row>
    <x:row r="230" ht="56" customHeight="1">
      <x:c r="A230" s="13" t="str">
        <x:v>QA-RET-009</x:v>
      </x:c>
      <x:c r="B230" s="13" t="str">
        <x:v>Importe o fórmula incorrectos</x:v>
      </x:c>
      <x:c r="C230" s="13" t="str">
        <x:v>Factura 116 VES, IVA 16, sin cobros; agente=comprador; comprobantes QA; saldo suficiente; base ISLR 100.
Datos válidos de comprobante</x:v>
      </x:c>
      <x:c r="D230" s="13" t="str">
        <x:v>1. Enviar importe 13 para base 16×75 %=12
2. Probar base 0/porcentaje&gt;100/sustraendo negativo
3. Leer respuesta</x:v>
      </x:c>
      <x:c r="E230" s="13" t="str">
        <x:v>Validación de fórmula/positividad/rango; documentar tolerancia 0.01 de retención actual sin usarla como permiso general de diferencia.</x:v>
      </x:c>
      <x:c r="F230" s="13" t="str">
        <x:v>Fuentes: app/Services/Fiscal/FiscalDocumentPersistence.php; app/Http/Controllers/Tenant/DocumentFiscalController.php; resources/js/views/tenant/documents/partials/retention.vue
Entrada: GET/POST /documents/retention; upload; creación con guarantee_fund cuando soportada</x:v>
      </x:c>
    </x:row>
    <x:row r="231" ht="56" customHeight="1">
      <x:c r="A231" s="13" t="str">
        <x:v>QA-RET-010</x:v>
      </x:c>
      <x:c r="B231" s="13" t="str">
        <x:v>ISLR sin concepto o inválido</x:v>
      </x:c>
      <x:c r="C231" s="13" t="str">
        <x:v>Factura 116 VES, IVA 16, sin cobros; agente=comprador; comprobantes QA; saldo suficiente; base ISLR 100.
Retención ISLR</x:v>
      </x:c>
      <x:c r="D231" s="13" t="str">
        <x:v>1. Omitir concepto
2. Enviar desconocido
3. Comprobar catálogo desactivado por regla real</x:v>
      </x:c>
      <x:c r="E231" s="13" t="str">
        <x:v>Falta/desconocido rechazados. Estado activo se evalúa contra contrato y código; si permite concepto no vigente, reportar discrepancia.</x:v>
      </x:c>
      <x:c r="F231" s="13" t="str">
        <x:v>Fuentes: app/Services/Fiscal/FiscalDocumentPersistence.php; app/Http/Controllers/Tenant/DocumentFiscalController.php; resources/js/views/tenant/documents/partials/retention.vue
Entrada: GET/POST /documents/retention; upload; creación con guarantee_fund cuando soportada</x:v>
      </x:c>
    </x:row>
    <x:row r="232" ht="56" customHeight="1">
      <x:c r="A232" s="13" t="str">
        <x:v>QA-RET-011</x:v>
      </x:c>
      <x:c r="B232" s="13" t="str">
        <x:v>Adjuntos PDF/JPG/PNG</x:v>
      </x:c>
      <x:c r="C232" s="13" t="str">
        <x:v>Factura 116 VES, IVA 16, sin cobros; agente=comprador; comprobantes QA; saldo suficiente; base ISLR 100.
Factura autorizada</x:v>
      </x:c>
      <x:c r="D232" s="13" t="str">
        <x:v>1. Subir archivo válido de cada formato en caso individual
2. Registrar referencia
3. Descargar con usuario autorizado</x:v>
      </x:c>
      <x:c r="E232" s="13" t="str">
        <x:v>Archivo privado del tenant y factura, accesible sólo en alcance; referencias no se tratan como rutas arbitrarias.</x:v>
      </x:c>
      <x:c r="F232" s="13" t="str">
        <x:v>Fuentes: app/Services/Fiscal/FiscalDocumentPersistence.php; app/Http/Controllers/Tenant/DocumentFiscalController.php; resources/js/views/tenant/documents/partials/retention.vue
Entrada: GET/POST /documents/retention; upload; creación con guarantee_fund cuando soportada</x:v>
      </x:c>
    </x:row>
    <x:row r="233" ht="56" customHeight="1">
      <x:c r="A233" s="13" t="str">
        <x:v>QA-RET-012</x:v>
      </x:c>
      <x:c r="B233" s="13" t="str">
        <x:v>Adjunto demasiado grande o tipo inválido</x:v>
      </x:c>
      <x:c r="C233" s="13" t="str">
        <x:v>Factura 116 VES, IVA 16, sin cobros; agente=comprador; comprobantes QA; saldo suficiente; base ISLR 100.
Upload de retención</x:v>
      </x:c>
      <x:c r="D233" s="13" t="str">
        <x:v>1. Probar &gt;5 MB, extensión/MIME no admitido y archivo vacío
2. Leer respuesta
3. Buscar archivos persistidos</x:v>
      </x:c>
      <x:c r="E233" s="13" t="str">
        <x:v>Rechazo sin archivo utilizable ni retención parcial; tamaño real y tipo identificados.</x:v>
      </x:c>
      <x:c r="F233" s="13" t="str">
        <x:v>Fuentes: app/Services/Fiscal/FiscalDocumentPersistence.php; app/Http/Controllers/Tenant/DocumentFiscalController.php; resources/js/views/tenant/documents/partials/retention.vue
Entrada: GET/POST /documents/retention; upload; creación con guarantee_fund cuando soportada</x:v>
      </x:c>
    </x:row>
    <x:row r="234" ht="56" customHeight="1">
      <x:c r="A234" s="13" t="str">
        <x:v>QA-RET-013</x:v>
      </x:c>
      <x:c r="B234" s="13" t="str">
        <x:v>Adjunto de otra factura o ruta insegura</x:v>
      </x:c>
      <x:c r="C234" s="13" t="str">
        <x:v>Factura 116 VES, IVA 16, sin cobros; agente=comprador; comprobantes QA; saldo suficiente; base ISLR 100.
Archivo real de factura B</x:v>
      </x:c>
      <x:c r="D234" s="13" t="str">
        <x:v>1. Enviar referencia B para factura A
2. Enviar../ y referencia inexistente
3. Comprobar lectura y aplicación</x:v>
      </x:c>
      <x:c r="E234" s="13" t="str">
        <x:v>No admite archivo ajeno/traversal/inexistente ni lee fuera de almacenamiento autorizado.</x:v>
      </x:c>
      <x:c r="F234" s="13" t="str">
        <x:v>Fuentes: app/Services/Fiscal/FiscalDocumentPersistence.php; app/Http/Controllers/Tenant/DocumentFiscalController.php; resources/js/views/tenant/documents/partials/retention.vue
Entrada: GET/POST /documents/retention; upload; creación con guarantee_fund cuando soportada</x:v>
      </x:c>
    </x:row>
    <x:row r="235" ht="56" customHeight="1">
      <x:c r="A235" s="13" t="str">
        <x:v>QA-RET-014</x:v>
      </x:c>
      <x:c r="B235" s="13" t="str">
        <x:v>Permisos de registrar retención</x:v>
      </x:c>
      <x:c r="C235" s="13" t="str">
        <x:v>Factura 116 VES, IVA 16, sin cobros; agente=comprador; comprobantes QA; saldo suficiente; base ISLR 100.
U-VENTA sin create_payment y otra sucursal</x:v>
      </x:c>
      <x:c r="D235" s="13" t="str">
        <x:v>1. Intentar GET/POST/upload
2. Repetir AJAX
3. Leer red/base</x:v>
      </x:c>
      <x:c r="E235" s="13" t="str">
        <x:v>Autorización de tenant/sucursal y cobro se aplica antes de guardar o almacenar.</x:v>
      </x:c>
      <x:c r="F235" s="13" t="str">
        <x:v>Fuentes: app/Services/Fiscal/FiscalDocumentPersistence.php; app/Http/Controllers/Tenant/DocumentFiscalController.php; resources/js/views/tenant/documents/partials/retention.vue
Entrada: GET/POST /documents/retention; upload; creación con guarantee_fund cuando soportada</x:v>
      </x:c>
    </x:row>
    <x:row r="236" ht="56" customHeight="1">
      <x:c r="A236" s="13" t="str">
        <x:v>QA-RET-015</x:v>
      </x:c>
      <x:c r="B236" s="13" t="str">
        <x:v>Retención sobre anulado o no Factura</x:v>
      </x:c>
      <x:c r="C236" s="13" t="str">
        <x:v>Factura 116 VES, IVA 16, sin cobros; agente=comprador; comprobantes QA; saldo suficiente; base ISLR 100.
Documento anulado, NV y nota</x:v>
      </x:c>
      <x:c r="D236" s="13" t="str">
        <x:v>1. Intentar aplicar comprobante en cada uno
2. Leer validación
3. Comparar saldos</x:v>
      </x:c>
      <x:c r="E236" s="13" t="str">
        <x:v>Sólo factura vigente puede recibir retención; no se reutiliza módulo de retenciones emitidas por inferencia.</x:v>
      </x:c>
      <x:c r="F236" s="13" t="str">
        <x:v>Fuentes: app/Services/Fiscal/FiscalDocumentPersistence.php; app/Http/Controllers/Tenant/DocumentFiscalController.php; resources/js/views/tenant/documents/partials/retention.vue
Entrada: GET/POST /documents/retention; upload; creación con guarantee_fund cuando soportada</x:v>
      </x:c>
    </x:row>
    <x:row r="237" ht="56" customHeight="1">
      <x:c r="A237" s="13" t="str">
        <x:v>QA-RET-016</x:v>
      </x:c>
      <x:c r="B237" s="13" t="str">
        <x:v>Fondo garantía 10 %</x:v>
      </x:c>
      <x:c r="C237" s="13" t="str">
        <x:v>Factura 116 VES, IVA 16, sin cobros; agente=comprador; comprobantes QA; saldo suficiente; base ISLR 100.
Factura 116 y fondo base 100/10 %/importe 10</x:v>
      </x:c>
      <x:c r="D237" s="13" t="str">
        <x:v>1. Guardar por vía que admite guarantee_fund
2. Leer relación, saldo y caja
3. Reimprimir/reporte</x:v>
      </x:c>
      <x:c r="E237" s="13" t="str">
        <x:v>Fondo 10 separado de retenciones; saldo 106, venta 116 e impuesto intactos; no genera efectivo.</x:v>
      </x:c>
      <x:c r="F237" s="13" t="str">
        <x:v>Fuentes: app/Services/Fiscal/FiscalDocumentPersistence.php; app/Http/Controllers/Tenant/DocumentFiscalController.php; resources/js/views/tenant/documents/partials/retention.vue
Entrada: GET/POST /documents/retention; upload; creación con guarantee_fund cuando soportada</x:v>
      </x:c>
    </x:row>
    <x:row r="238" ht="56" customHeight="1">
      <x:c r="A238" s="13" t="str">
        <x:v>QA-RET-017</x:v>
      </x:c>
      <x:c r="B238" s="13" t="str">
        <x:v>Fondo inválido o superior al saldo</x:v>
      </x:c>
      <x:c r="C238" s="13" t="str">
        <x:v>Factura 116 VES, IVA 16, sin cobros; agente=comprador; comprobantes QA; saldo suficiente; base ISLR 100.
Factura saldo 5</x:v>
      </x:c>
      <x:c r="D238" s="13" t="str">
        <x:v>1. Enviar fondo 10
2. Enviar fórmula incoherente y porcentaje&gt;100
3. Leer relaciones</x:v>
      </x:c>
      <x:c r="E238" s="13" t="str">
        <x:v>Rechazo transaccional; no se persiste fondo/aplicación incoherente.</x:v>
      </x:c>
      <x:c r="F238" s="13" t="str">
        <x:v>Fuentes: app/Services/Fiscal/FiscalDocumentPersistence.php; app/Http/Controllers/Tenant/DocumentFiscalController.php; resources/js/views/tenant/documents/partials/retention.vue
Entrada: GET/POST /documents/retention; upload; creación con guarantee_fund cuando soportada</x:v>
      </x:c>
    </x:row>
    <x:row r="239" ht="56" customHeight="1">
      <x:c r="A239" s="13" t="str">
        <x:v>QA-RET-018</x:v>
      </x:c>
      <x:c r="B239" s="13" t="str">
        <x:v>Aplicaciones combinadas</x:v>
      </x:c>
      <x:c r="C239" s="13" t="str">
        <x:v>Factura 116 VES, IVA 16, sin cobros; agente=comprador; comprobantes QA; saldo suficiente; base ISLR 100.
Factura 116 con pago 30/IVA 12/fondo 10</x:v>
      </x:c>
      <x:c r="D239" s="13" t="str">
        <x:v>1. Registrar combinación permitida
2. Leer saldo y Finanzas
3. Comparar caja/impuestos</x:v>
      </x:c>
      <x:c r="E239" s="13" t="str">
        <x:v>Saldo 64, venta 116, efectivo 30; retención/fondo no se cuentan como cobro bancario o caja.</x:v>
      </x:c>
      <x:c r="F239" s="13" t="str">
        <x:v>Fuentes: app/Services/Fiscal/FiscalDocumentPersistence.php; app/Http/Controllers/Tenant/DocumentFiscalController.php; resources/js/views/tenant/documents/partials/retention.vue
Entrada: GET/POST /documents/retention; upload; creación con guarantee_fund cuando soportada</x:v>
      </x:c>
    </x:row>
    <x:row r="240" ht="56" customHeight="1">
      <x:c r="A240" s="13" t="str">
        <x:v>QA-RET-019</x:v>
      </x:c>
      <x:c r="B240" s="13" t="str">
        <x:v>Edición con retenciones/fondo</x:v>
      </x:c>
      <x:c r="C240" s="13" t="str">
        <x:v>Factura 116 VES, IVA 16, sin cobros; agente=comprador; comprobantes QA; saldo suficiente; base ISLR 100.
Factura editable con aplicaciones</x:v>
      </x:c>
      <x:c r="D240" s="13" t="str">
        <x:v>1. Incrementar total manteniendo cliente/IVA suficiente
2. Intentar bajar total bajo aplicado o IVA bajo retenido
3. Comparar versiones</x:v>
      </x:c>
      <x:c r="E240" s="13" t="str">
        <x:v>Aplicaciones se conservan; cambios incompatibles rechazados y rollback completo; no se elimina retención desde edición.</x:v>
      </x:c>
      <x:c r="F240" s="13" t="str">
        <x:v>Fuentes: app/Services/Fiscal/FiscalDocumentPersistence.php; app/Http/Controllers/Tenant/DocumentFiscalController.php; resources/js/views/tenant/documents/partials/retention.vue
Entrada: GET/POST /documents/retention; upload; creación con guarantee_fund cuando soportada</x:v>
      </x:c>
    </x:row>
    <x:row r="241" ht="56" customHeight="1">
      <x:c r="A241" s="13" t="str">
        <x:v>QA-EDI-001</x:v>
      </x:c>
      <x:c r="B241" s="13" t="str">
        <x:v>Edición en estado not_requested</x:v>
      </x:c>
      <x:c r="C241" s="13" t="str">
        <x:v>Factura 01 ordinaria vigente; fixtures fiscales por estado; pagos/retenciones/fondo y stock conocidos.
Factura vigente sin control salvo confirmed; estado fiscal not_requested; UUID documentado.</x:v>
      </x:c>
      <x:c r="D241" s="13" t="str">
        <x:v>1. Abrir listado y comprobar can_edit /motivo
2. Abrir URL de edición y cambiar observación
3. Enviar actualización por UI y request directo; leer documento/emisión</x:v>
      </x:c>
      <x:c r="E241" s="13" t="str">
        <x:v>Se permite edición comercial autorizada, se conserva número/moneda/emisor/cobros; al invalidar preparación se vuelve not_requested y nuevo UUID conforme a política. Guardar edición no llama a Emision automáticamente.</x:v>
      </x:c>
      <x:c r="F241" s="13" t="str">
        <x:v>Fuentes: app/Services/Fiscal/DocumentEditPolicy.php; app/Services/Fiscal/DocumentEditSettlements.php; app/Http/Requests/Tenant/DocumentUpdateRequest.php; informes/edicion_facturas_antes_hka.md
Entrada: Listado/detalle → Editar; POST /documents/{id}/update</x:v>
      </x:c>
    </x:row>
    <x:row r="242" ht="56" customHeight="1">
      <x:c r="A242" s="13" t="str">
        <x:v>QA-EDI-002</x:v>
      </x:c>
      <x:c r="B242" s="13" t="str">
        <x:v>Edición en estado prepared</x:v>
      </x:c>
      <x:c r="C242" s="13" t="str">
        <x:v>Factura 01 ordinaria vigente; fixtures fiscales por estado; pagos/retenciones/fondo y stock conocidos.
Factura vigente sin control salvo confirmed; estado fiscal prepared; UUID documentado.</x:v>
      </x:c>
      <x:c r="D242" s="13" t="str">
        <x:v>1. Abrir listado y comprobar can_edit /motivo
2. Abrir URL de edición y cambiar observación
3. Enviar actualización por UI y request directo; leer documento/emisión</x:v>
      </x:c>
      <x:c r="E242" s="13" t="str">
        <x:v>Se permite edición comercial autorizada, se conserva número/moneda/emisor/cobros; al invalidar preparación se vuelve not_requested y nuevo UUID conforme a política. Guardar edición no llama a Emision automáticamente.</x:v>
      </x:c>
      <x:c r="F242" s="13" t="str">
        <x:v>Fuentes: app/Services/Fiscal/DocumentEditPolicy.php; app/Services/Fiscal/DocumentEditSettlements.php; app/Http/Requests/Tenant/DocumentUpdateRequest.php; informes/edicion_facturas_antes_hka.md
Entrada: Listado/detalle → Editar; POST /documents/{id}/update</x:v>
      </x:c>
    </x:row>
    <x:row r="243" ht="56" customHeight="1">
      <x:c r="A243" s="13" t="str">
        <x:v>QA-EDI-003</x:v>
      </x:c>
      <x:c r="B243" s="13" t="str">
        <x:v>Edición en estado rejected</x:v>
      </x:c>
      <x:c r="C243" s="13" t="str">
        <x:v>Factura 01 ordinaria vigente; fixtures fiscales por estado; pagos/retenciones/fondo y stock conocidos.
Factura vigente sin control salvo confirmed; estado fiscal rejected; UUID documentado.</x:v>
      </x:c>
      <x:c r="D243" s="13" t="str">
        <x:v>1. Abrir listado y comprobar can_edit /motivo
2. Abrir URL de edición y cambiar observación
3. Enviar actualización por UI y request directo; leer documento/emisión</x:v>
      </x:c>
      <x:c r="E243" s="13" t="str">
        <x:v>Se permite edición comercial autorizada, se conserva número/moneda/emisor/cobros; al invalidar preparación se vuelve not_requested y nuevo UUID conforme a política. Guardar edición no llama a Emision automáticamente.</x:v>
      </x:c>
      <x:c r="F243" s="13" t="str">
        <x:v>Fuentes: app/Services/Fiscal/DocumentEditPolicy.php; app/Services/Fiscal/DocumentEditSettlements.php; app/Http/Requests/Tenant/DocumentUpdateRequest.php; informes/edicion_facturas_antes_hka.md
Entrada: Listado/detalle → Editar; POST /documents/{id}/update</x:v>
      </x:c>
    </x:row>
    <x:row r="244" ht="56" customHeight="1">
      <x:c r="A244" s="13" t="str">
        <x:v>QA-EDI-004</x:v>
      </x:c>
      <x:c r="B244" s="13" t="str">
        <x:v>Edición en estado pending</x:v>
      </x:c>
      <x:c r="C244" s="13" t="str">
        <x:v>Factura 01 ordinaria vigente; fixtures fiscales por estado; pagos/retenciones/fondo y stock conocidos.
Factura vigente sin control salvo confirmed; estado fiscal pending; UUID documentado.</x:v>
      </x:c>
      <x:c r="D244" s="13" t="str">
        <x:v>1. Abrir listado y comprobar can_edit /motivo
2. Abrir URL de edición y cambiar observación
3. Enviar actualización por UI y request directo; leer documento/emisión</x:v>
      </x:c>
      <x:c r="E244" s="13" t="str">
        <x:v>Edición bloqueada con motivo de estado/control; documento, payload, pagos y stock permanecen iguales. UI y backend aplican la misma barrera.</x:v>
      </x:c>
      <x:c r="F244" s="13" t="str">
        <x:v>Fuentes: app/Services/Fiscal/DocumentEditPolicy.php; app/Services/Fiscal/DocumentEditSettlements.php; app/Http/Requests/Tenant/DocumentUpdateRequest.php; informes/edicion_facturas_antes_hka.md
Entrada: Listado/detalle → Editar; POST /documents/{id}/update</x:v>
      </x:c>
    </x:row>
    <x:row r="245" ht="56" customHeight="1">
      <x:c r="A245" s="13" t="str">
        <x:v>QA-EDI-005</x:v>
      </x:c>
      <x:c r="B245" s="13" t="str">
        <x:v>Edición en estado confirmed</x:v>
      </x:c>
      <x:c r="C245" s="13" t="str">
        <x:v>Factura 01 ordinaria vigente; fixtures fiscales por estado; pagos/retenciones/fondo y stock conocidos.
Factura vigente sin control salvo confirmed; estado fiscal confirmed; UUID documentado.</x:v>
      </x:c>
      <x:c r="D245" s="13" t="str">
        <x:v>1. Abrir listado y comprobar can_edit /motivo
2. Abrir URL de edición y cambiar observación
3. Enviar actualización por UI y request directo; leer documento/emisión</x:v>
      </x:c>
      <x:c r="E245" s="13" t="str">
        <x:v>Edición bloqueada con motivo de estado/control; documento, payload, pagos y stock permanecen iguales. UI y backend aplican la misma barrera.</x:v>
      </x:c>
      <x:c r="F245" s="13" t="str">
        <x:v>Fuentes: app/Services/Fiscal/DocumentEditPolicy.php; app/Services/Fiscal/DocumentEditSettlements.php; app/Http/Requests/Tenant/DocumentUpdateRequest.php; informes/edicion_facturas_antes_hka.md
Entrada: Listado/detalle → Editar; POST /documents/{id}/update</x:v>
      </x:c>
    </x:row>
    <x:row r="246" ht="56" customHeight="1">
      <x:c r="A246" s="13" t="str">
        <x:v>QA-EDI-006</x:v>
      </x:c>
      <x:c r="B246" s="13" t="str">
        <x:v>Edición en estado cancelled</x:v>
      </x:c>
      <x:c r="C246" s="13" t="str">
        <x:v>Factura 01 ordinaria vigente; fixtures fiscales por estado; pagos/retenciones/fondo y stock conocidos.
Factura vigente sin control salvo confirmed; estado fiscal cancelled; UUID documentado.</x:v>
      </x:c>
      <x:c r="D246" s="13" t="str">
        <x:v>1. Abrir listado y comprobar can_edit /motivo
2. Abrir URL de edición y cambiar observación
3. Enviar actualización por UI y request directo; leer documento/emisión</x:v>
      </x:c>
      <x:c r="E246" s="13" t="str">
        <x:v>Edición bloqueada con motivo de estado/control; documento, payload, pagos y stock permanecen iguales. UI y backend aplican la misma barrera.</x:v>
      </x:c>
      <x:c r="F246" s="13" t="str">
        <x:v>Fuentes: app/Services/Fiscal/DocumentEditPolicy.php; app/Services/Fiscal/DocumentEditSettlements.php; app/Http/Requests/Tenant/DocumentUpdateRequest.php; informes/edicion_facturas_antes_hka.md
Entrada: Listado/detalle → Editar; POST /documents/{id}/update</x:v>
      </x:c>
    </x:row>
    <x:row r="247" ht="56" customHeight="1">
      <x:c r="A247" s="13" t="str">
        <x:v>QA-EDI-007</x:v>
      </x:c>
      <x:c r="B247" s="13" t="str">
        <x:v>Edición en estado uncertain</x:v>
      </x:c>
      <x:c r="C247" s="13" t="str">
        <x:v>Factura 01 ordinaria vigente; fixtures fiscales por estado; pagos/retenciones/fondo y stock conocidos.
Factura vigente sin control salvo confirmed; estado fiscal uncertain; UUID documentado.</x:v>
      </x:c>
      <x:c r="D247" s="13" t="str">
        <x:v>1. Abrir listado y comprobar can_edit /motivo
2. Abrir URL de edición y cambiar observación
3. Enviar actualización por UI y request directo; leer documento/emisión</x:v>
      </x:c>
      <x:c r="E247" s="13" t="str">
        <x:v>Edición bloqueada con motivo de estado/control; documento, payload, pagos y stock permanecen iguales. UI y backend aplican la misma barrera.</x:v>
      </x:c>
      <x:c r="F247" s="13" t="str">
        <x:v>Fuentes: app/Services/Fiscal/DocumentEditPolicy.php; app/Services/Fiscal/DocumentEditSettlements.php; app/Http/Requests/Tenant/DocumentUpdateRequest.php; informes/edicion_facturas_antes_hka.md
Entrada: Listado/detalle → Editar; POST /documents/{id}/update</x:v>
      </x:c>
    </x:row>
    <x:row r="248" ht="56" customHeight="1">
      <x:c r="A248" s="13" t="str">
        <x:v>QA-EDI-008</x:v>
      </x:c>
      <x:c r="B248" s="13" t="str">
        <x:v>Edición en estado uncertain con retry_allowed acreditado</x:v>
      </x:c>
      <x:c r="C248" s="13" t="str">
        <x:v>Factura 01 ordinaria vigente; fixtures fiscales por estado; pagos/retenciones/fondo y stock conocidos.
Factura vigente sin control salvo confirmed; estado fiscal uncertain con retry_allowed acreditado; UUID documentado.</x:v>
      </x:c>
      <x:c r="D248" s="13" t="str">
        <x:v>1. Abrir listado y comprobar can_edit /motivo
2. Abrir URL de edición y cambiar observación
3. Enviar actualización por UI y request directo; leer documento/emisión</x:v>
      </x:c>
      <x:c r="E248" s="13" t="str">
        <x:v>Se permite edición comercial autorizada, se conserva número/moneda/emisor/cobros; al invalidar preparación se vuelve not_requested y nuevo UUID conforme a política. Guardar edición no llama a Emision automáticamente.</x:v>
      </x:c>
      <x:c r="F248" s="13" t="str">
        <x:v>Fuentes: app/Services/Fiscal/DocumentEditPolicy.php; app/Services/Fiscal/DocumentEditSettlements.php; app/Http/Requests/Tenant/DocumentUpdateRequest.php; informes/edicion_facturas_antes_hka.md
Entrada: Listado/detalle → Editar; POST /documents/{id}/update</x:v>
      </x:c>
    </x:row>
    <x:row r="249" ht="44" customHeight="1">
      <x:c r="A249" s="13" t="str">
        <x:v>QA-EDI-009</x:v>
      </x:c>
      <x:c r="B249" s="13" t="str">
        <x:v>Control existente bloquea edición</x:v>
      </x:c>
      <x:c r="C249" s="13" t="str">
        <x:v>Factura 01 ordinaria vigente; fixtures fiscales por estado; pagos/retenciones/fondo y stock conocidos.
Estado preparado/rechazado del fixture pero control no vacío</x:v>
      </x:c>
      <x:c r="D249" s="13" t="str">
        <x:v>1. Intentar edición
2. Enviar update directo
3. Comparar datos</x:v>
      </x:c>
      <x:c r="E249" s="13" t="str">
        <x:v>Control fiscal prevalece aunque estado parezca editable; no se elimina control para habilitar cambio.</x:v>
      </x:c>
      <x:c r="F249" s="13" t="str">
        <x:v>Fuentes: app/Services/Fiscal/DocumentEditPolicy.php; app/Services/Fiscal/DocumentEditSettlements.php; app/Http/Requests/Tenant/DocumentUpdateRequest.php; informes/edicion_facturas_antes_hka.md
Entrada: Listado/detalle → Editar; POST /documents/{id}/update</x:v>
      </x:c>
    </x:row>
    <x:row r="250" ht="44" customHeight="1">
      <x:c r="A250" s="13" t="str">
        <x:v>QA-EDI-010</x:v>
      </x:c>
      <x:c r="B250" s="13" t="str">
        <x:v>Editar cantidad con pago existente</x:v>
      </x:c>
      <x:c r="C250" s="13" t="str">
        <x:v>Factura 01 ordinaria vigente; fixtures fiscales por estado; pagos/retenciones/fondo y stock conocidos.
Factura editable 2 UND y pago 116</x:v>
      </x:c>
      <x:c r="D250" s="13" t="str">
        <x:v>1. Cambiar a 3 UND
2. Guardar
3. Leer pago, caja, diferencia de stock y total</x:v>
      </x:c>
      <x:c r="E250" s="13" t="str">
        <x:v>Mismo pago 116/caja intacta; stock sólo una unidad adicional, total 348 y saldo 232; numeración/emisor/moneda conservados.</x:v>
      </x:c>
      <x:c r="F250" s="13" t="str">
        <x:v>Fuentes: app/Services/Fiscal/DocumentEditPolicy.php; app/Services/Fiscal/DocumentEditSettlements.php; app/Http/Requests/Tenant/DocumentUpdateRequest.php; informes/edicion_facturas_antes_hka.md
Entrada: Listado/detalle → Editar; POST /documents/{id}/update</x:v>
      </x:c>
    </x:row>
    <x:row r="251" ht="44" customHeight="1">
      <x:c r="A251" s="13" t="str">
        <x:v>QA-EDI-011</x:v>
      </x:c>
      <x:c r="B251" s="13" t="str">
        <x:v>Bajar total por debajo de aplicado</x:v>
      </x:c>
      <x:c r="C251" s="13" t="str">
        <x:v>Factura 01 ordinaria vigente; fixtures fiscales por estado; pagos/retenciones/fondo y stock conocidos.
Factura total 232, pago 200</x:v>
      </x:c>
      <x:c r="D251" s="13" t="str">
        <x:v>1. Intentar bajar a 116
2. Guardar
3. Leer documento, stock y pago</x:v>
      </x:c>
      <x:c r="E251" s="13" t="str">
        <x:v>Actualización rechazada íntegramente; no hay saldo negativo ni devolución parcial de stock.</x:v>
      </x:c>
      <x:c r="F251" s="13" t="str">
        <x:v>Fuentes: app/Services/Fiscal/DocumentEditPolicy.php; app/Services/Fiscal/DocumentEditSettlements.php; app/Http/Requests/Tenant/DocumentUpdateRequest.php; informes/edicion_facturas_antes_hka.md
Entrada: Listado/detalle → Editar; POST /documents/{id}/update</x:v>
      </x:c>
    </x:row>
    <x:row r="252" ht="44" customHeight="1">
      <x:c r="A252" s="13" t="str">
        <x:v>QA-EDI-012</x:v>
      </x:c>
      <x:c r="B252" s="13" t="str">
        <x:v>Cobros inmutables en editor</x:v>
      </x:c>
      <x:c r="C252" s="13" t="str">
        <x:v>Factura 01 ordinaria vigente; fixtures fiscales por estado; pagos/retenciones/fondo y stock conocidos.
Factura editable con pago/adjunto/destino</x:v>
      </x:c>
      <x:c r="D252" s="13" t="str">
        <x:v>1. Modificar importe/fecha/destino/UUID/adjunto en payload
2. Añadir o quitar un cobro por edición
3. Comparar relaciones</x:v>
      </x:c>
      <x:c r="E252" s="13" t="str">
        <x:v>No se alteran cobros desde editar factura; se administran desde Pagos. Todas las variantes incompatibles rechazadas.</x:v>
      </x:c>
      <x:c r="F252" s="13" t="str">
        <x:v>Fuentes: app/Services/Fiscal/DocumentEditPolicy.php; app/Services/Fiscal/DocumentEditSettlements.php; app/Http/Requests/Tenant/DocumentUpdateRequest.php; informes/edicion_facturas_antes_hka.md
Entrada: Listado/detalle → Editar; POST /documents/{id}/update</x:v>
      </x:c>
    </x:row>
    <x:row r="253" ht="44" customHeight="1">
      <x:c r="A253" s="13" t="str">
        <x:v>QA-EDI-013</x:v>
      </x:c>
      <x:c r="B253" s="13" t="str">
        <x:v>Moneda y numeración no se editan</x:v>
      </x:c>
      <x:c r="C253" s="13" t="str">
        <x:v>Factura 01 ordinaria vigente; fixtures fiscales por estado; pagos/retenciones/fondo y stock conocidos.
Factura editable VES y número 25</x:v>
      </x:c>
      <x:c r="D253" s="13" t="str">
        <x:v>1. Enviar USD, otro número/serie/sucursal por separado
2. Leer resultado
3. Comparar identidad y saldo</x:v>
      </x:c>
      <x:c r="E253" s="13" t="str">
        <x:v>Edición conserva identidad documental/moneda; manipulación no renumera ni migra saldo a otra moneda.</x:v>
      </x:c>
      <x:c r="F253" s="13" t="str">
        <x:v>Fuentes: app/Services/Fiscal/DocumentEditPolicy.php; app/Services/Fiscal/DocumentEditSettlements.php; app/Http/Requests/Tenant/DocumentUpdateRequest.php; informes/edicion_facturas_antes_hka.md
Entrada: Listado/detalle → Editar; POST /documents/{id}/update</x:v>
      </x:c>
    </x:row>
    <x:row r="254" ht="44" customHeight="1">
      <x:c r="A254" s="13" t="str">
        <x:v>QA-EDI-014</x:v>
      </x:c>
      <x:c r="B254" s="13" t="str">
        <x:v>Renovar comprador en edición explícita</x:v>
      </x:c>
      <x:c r="C254" s="13" t="str">
        <x:v>Factura 01 ordinaria vigente; fixtures fiscales por estado; pagos/retenciones/fondo y stock conocidos.
Factura editable sin retenciones</x:v>
      </x:c>
      <x:c r="D254" s="13" t="str">
        <x:v>1. Editar contacto actual del mismo comprador
2. Guardar factura de manera explícita
3. Leer snapshot y preparación nueva</x:v>
      </x:c>
      <x:c r="E254" s="13" t="str">
        <x:v>Snapshot del comprador se renueva autorizado aunque ID sea mismo; histórico sin edición explícita sigue congelado.</x:v>
      </x:c>
      <x:c r="F254" s="13" t="str">
        <x:v>Fuentes: app/Services/Fiscal/DocumentEditPolicy.php; app/Services/Fiscal/DocumentEditSettlements.php; app/Http/Requests/Tenant/DocumentUpdateRequest.php; informes/edicion_facturas_antes_hka.md
Entrada: Listado/detalle → Editar; POST /documents/{id}/update</x:v>
      </x:c>
    </x:row>
    <x:row r="255" ht="44" customHeight="1">
      <x:c r="A255" s="13" t="str">
        <x:v>QA-EDI-015</x:v>
      </x:c>
      <x:c r="B255" s="13" t="str">
        <x:v>Historial de preparación invalidada</x:v>
      </x:c>
      <x:c r="C255" s="13" t="str">
        <x:v>Factura 01 ordinaria vigente; fixtures fiscales por estado; pagos/retenciones/fondo y stock conocidos.
Factura prepared con UUIDK y payload hash H</x:v>
      </x:c>
      <x:c r="D255" s="13" t="str">
        <x:v>1. Editar compatible
2. Guardar
3. Leer emisión e historial interno saneado</x:v>
      </x:c>
      <x:c r="E255" s="13" t="str">
        <x:v>K/H/actor/fecha/estado anterior trazables; payload anterior no se envía tras cambio; nueva preparación corresponde al documento actual.</x:v>
      </x:c>
      <x:c r="F255" s="13" t="str">
        <x:v>Fuentes: app/Services/Fiscal/DocumentEditPolicy.php; app/Services/Fiscal/DocumentEditSettlements.php; app/Http/Requests/Tenant/DocumentUpdateRequest.php; informes/edicion_facturas_antes_hka.md
Entrada: Listado/detalle → Editar; POST /documents/{id}/update</x:v>
      </x:c>
    </x:row>
    <x:row r="256" ht="44" customHeight="1">
      <x:c r="A256" s="13" t="str">
        <x:v>QA-EDI-016</x:v>
      </x:c>
      <x:c r="B256" s="13" t="str">
        <x:v>Respuesta HKA tardía tras edición</x:v>
      </x:c>
      <x:c r="C256" s="13" t="str">
        <x:v>Factura 01 ordinaria vigente; fixtures fiscales por estado; pagos/retenciones/fondo y stock conocidos.
Doble con intento anterior y edición autorizada posterior</x:v>
      </x:c>
      <x:c r="D256" s="13" t="str">
        <x:v>1. Retrasar respuesta de operación K
2. Guardar nueva versión autorizada K 2
3. Entregar respuesta K y leer estado</x:v>
      </x:c>
      <x:c r="E256" s="13" t="str">
        <x:v>Respuesta de UUID/intento antiguo no confirma ni sobrescribe operación nueva. Simular la secuencia permitida sin saltar bloqueo pending para forzar un supuesto artificial.</x:v>
      </x:c>
      <x:c r="F256" s="13" t="str">
        <x:v>Fuentes: app/Services/Fiscal/DocumentEditPolicy.php; app/Services/Fiscal/DocumentEditSettlements.php; app/Http/Requests/Tenant/DocumentUpdateRequest.php; informes/edicion_facturas_antes_hka.md
Entrada: Listado/detalle → Editar; POST /documents/{id}/update</x:v>
      </x:c>
    </x:row>
    <x:row r="257" ht="44" customHeight="1">
      <x:c r="A257" s="13" t="str">
        <x:v>QA-EDI-017</x:v>
      </x:c>
      <x:c r="B257" s="13" t="str">
        <x:v>Edición y envío simultáneos</x:v>
      </x:c>
      <x:c r="C257" s="13" t="str">
        <x:v>Factura 01 ordinaria vigente; fixtures fiscales por estado; pagos/retenciones/fondo y stock conocidos.
Factura editable preparada sin control</x:v>
      </x:c>
      <x:c r="D257" s="13" t="str">
        <x:v>1. Enviar update y send-hka simultáneamente desde dos sesiones
2. Esperar ambas
3. Leer payload, stock, número, UUID y emisión</x:v>
      </x:c>
      <x:c r="E257" s="13" t="str">
        <x:v>Bloqueos evitan emitir una versión comercial inconsistente; una operación gana y otra responde estado/motivo coherente.</x:v>
      </x:c>
      <x:c r="F257" s="13" t="str">
        <x:v>Fuentes: app/Services/Fiscal/DocumentEditPolicy.php; app/Services/Fiscal/DocumentEditSettlements.php; app/Http/Requests/Tenant/DocumentUpdateRequest.php; informes/edicion_facturas_antes_hka.md
Entrada: Listado/detalle → Editar; POST /documents/{id}/update</x:v>
      </x:c>
    </x:row>
    <x:row r="258" ht="44" customHeight="1">
      <x:c r="A258" s="13" t="str">
        <x:v>QA-EDI-018</x:v>
      </x:c>
      <x:c r="B258" s="13" t="str">
        <x:v>Rollback durante edición</x:v>
      </x:c>
      <x:c r="C258" s="13" t="str">
        <x:v>Factura 01 ordinaria vigente; fixtures fiscales por estado; pagos/retenciones/fondo y stock conocidos.
Factura editable con aplicaciones y stock</x:v>
      </x:c>
      <x:c r="D258" s="13" t="str">
        <x:v>1. Inyectar fallo después de calcular líneas
2. Guardar
3. Comparar todas las relaciones y stock</x:v>
      </x:c>
      <x:c r="E258" s="13" t="str">
        <x:v>Versión previa completa conservada, incluida emisión invalidada, pagos, fondos, retenciones y stock.</x:v>
      </x:c>
      <x:c r="F258" s="13" t="str">
        <x:v>Fuentes: app/Services/Fiscal/DocumentEditPolicy.php; app/Services/Fiscal/DocumentEditSettlements.php; app/Http/Requests/Tenant/DocumentUpdateRequest.php; informes/edicion_facturas_antes_hka.md
Entrada: Listado/detalle → Editar; POST /documents/{id}/update</x:v>
      </x:c>
    </x:row>
    <x:row r="259" ht="44" customHeight="1">
      <x:c r="A259" s="13" t="str">
        <x:v>QA-EDI-019</x:v>
      </x:c>
      <x:c r="B259" s="13" t="str">
        <x:v>Permisos de editar</x:v>
      </x:c>
      <x:c r="C259" s="13" t="str">
        <x:v>Factura 01 ordinaria vigente; fixtures fiscales por estado; pagos/retenciones/fondo y stock conocidos.
Administrador y vendedor S 1/S 2; flag permission_to_edit_cpe</x:v>
      </x:c>
      <x:c r="D259" s="13" t="str">
        <x:v>1. Probar botón y POST con permisos habilitados/deshabilitados
2. Intentar otra sucursal
3. Leer resultado</x:v>
      </x:c>
      <x:c r="E259" s="13" t="str">
        <x:v>Visibilidad y autorización de servidor coherentes; edición ajena no se permite por conocer ID.</x:v>
      </x:c>
      <x:c r="F259" s="13" t="str">
        <x:v>Fuentes: app/Services/Fiscal/DocumentEditPolicy.php; app/Services/Fiscal/DocumentEditSettlements.php; app/Http/Requests/Tenant/DocumentUpdateRequest.php; informes/edicion_facturas_antes_hka.md
Entrada: Listado/detalle → Editar; POST /documents/{id}/update</x:v>
      </x:c>
    </x:row>
    <x:row r="260" ht="44" customHeight="1">
      <x:c r="A260" s="13" t="str">
        <x:v>QA-EDI-020</x:v>
      </x:c>
      <x:c r="B260" s="13" t="str">
        <x:v>Cancelar editor sin guardar</x:v>
      </x:c>
      <x:c r="C260" s="13" t="str">
        <x:v>Factura 01 ordinaria vigente; fixtures fiscales por estado; pagos/retenciones/fondo y stock conocidos.
Factura editable con borrador cambiado</x:v>
      </x:c>
      <x:c r="D260" s="13" t="str">
        <x:v>1. Cambiar cliente/cantidad/observación
2. Cancelar y recargar
3. Comparar factura</x:v>
      </x:c>
      <x:c r="E260" s="13" t="str">
        <x:v>Ningún dato persistido ni emisión invalidada por cancelar; pagos/numeración intactos.</x:v>
      </x:c>
      <x:c r="F260" s="13" t="str">
        <x:v>Fuentes: app/Services/Fiscal/DocumentEditPolicy.php; app/Services/Fiscal/DocumentEditSettlements.php; app/Http/Requests/Tenant/DocumentUpdateRequest.php; informes/edicion_facturas_antes_hka.md
Entrada: Listado/detalle → Editar; POST /documents/{id}/update</x:v>
      </x:c>
    </x:row>
    <x:row r="261" ht="44" customHeight="1">
      <x:c r="A261" s="13" t="str">
        <x:v>QA-HKA-001</x:v>
      </x:c>
      <x:c r="B261" s="13" t="str">
        <x:v>Preparación pura sin red</x:v>
      </x:c>
      <x:c r="C261" s="13" t="str">
        <x:v>Factura ordinaria digital/demo; proveedor doble; UUID estable; HTTP saneado; reloj controlado. Casos de fallos se ejecutan simulados.
Factura local no solicitada</x:v>
      </x:c>
      <x:c r="D261" s="13" t="str">
        <x:v>1. Preparar por administrador
2. Leer contrato/hash/payload/UUID
3. Contar llamadas HTTP</x:v>
      </x:c>
      <x:c r="E261" s="13" t="str">
        <x:v>Estado prepared y operación única; prepare no autentica/emite/consulta ni acredita aceptación.</x:v>
      </x:c>
      <x:c r="F261" s="13" t="str">
        <x:v>Fuentes: app/Services/Fiscal/HkaEmissionPreparation.php; app/Services/Fiscal/HkaEmission.php; app/Services/Fiscal/HkaResponse.php; app/Services/Fiscal/HkaTransport.php
Entrada: Guardado de factura; POST /documents/{id}/prepare-hka/send-hka/query-hka</x:v>
      </x:c>
    </x:row>
    <x:row r="262" ht="44" customHeight="1">
      <x:c r="A262" s="13" t="str">
        <x:v>QA-HKA-002</x:v>
      </x:c>
      <x:c r="B262" s="13" t="str">
        <x:v>Preparar dos veces</x:v>
      </x:c>
      <x:c r="C262" s="13" t="str">
        <x:v>Factura ordinaria digital/demo; proveedor doble; UUID estable; HTTP saneado; reloj controlado. Casos de fallos se ejecutan simulados.
Operación prepared</x:v>
      </x:c>
      <x:c r="D262" s="13" t="str">
        <x:v>1. Preparar de nuevo
2. Cambiar catálogo/tasa/cliente actual y repetir
3. Comparar UUID/hash/payload</x:v>
      </x:c>
      <x:c r="E262" s="13" t="str">
        <x:v>Mismo snapshot/UUID/payload; no recalcula con catálogos mutables ni datos nuevos sin edición autorizada.</x:v>
      </x:c>
      <x:c r="F262" s="13" t="str">
        <x:v>Fuentes: app/Services/Fiscal/HkaEmissionPreparation.php; app/Services/Fiscal/HkaEmission.php; app/Services/Fiscal/HkaResponse.php; app/Services/Fiscal/HkaTransport.php
Entrada: Guardado de factura; POST /documents/{id}/prepare-hka/send-hka/query-hka</x:v>
      </x:c>
    </x:row>
    <x:row r="263" ht="44" customHeight="1">
      <x:c r="A263" s="13" t="str">
        <x:v>QA-HKA-003</x:v>
      </x:c>
      <x:c r="B263" s="13" t="str">
        <x:v>Error de equivalencia fiscal</x:v>
      </x:c>
      <x:c r="C263" s="13" t="str">
        <x:v>Factura ordinaria digital/demo; proveedor doble; UUID estable; HTTP saneado; reloj controlado. Casos de fallos se ejecutan simulados.
Fixture sin mapeo identidad/unidad/pago/alícuota</x:v>
      </x:c>
      <x:c r="D263" s="13" t="str">
        <x:v>1. Preparar cada variante
2. Leer validación
3. Comparar emisión y datos comerciales</x:v>
      </x:c>
      <x:c r="E263" s="13" t="str">
        <x:v>Error explícito por equivalencia faltante, sin valor inventado ni falsa aceptación; venta local previamente guardada permanece.</x:v>
      </x:c>
      <x:c r="F263" s="13" t="str">
        <x:v>Fuentes: app/Services/Fiscal/HkaEmissionPreparation.php; app/Services/Fiscal/HkaEmission.php; app/Services/Fiscal/HkaResponse.php; app/Services/Fiscal/HkaTransport.php
Entrada: Guardado de factura; POST /documents/{id}/prepare-hka/send-hka/query-hka</x:v>
      </x:c>
    </x:row>
    <x:row r="264" ht="44" customHeight="1">
      <x:c r="A264" s="13" t="str">
        <x:v>QA-HKA-004</x:v>
      </x:c>
      <x:c r="B264" s="13" t="str">
        <x:v>Envío automático sólo después del commit</x:v>
      </x:c>
      <x:c r="C264" s="13" t="str">
        <x:v>Factura ordinaria digital/demo; proveedor doble; UUID estable; HTTP saneado; reloj controlado. Casos de fallos se ejecutan simulados.
Creación ordinaria con transacción exterior</x:v>
      </x:c>
      <x:c r="D264" s="13" t="str">
        <x:v>1. Guardar manteniendo commit exterior retrasado
2. Contar HTTP antes/durante/después
3. Leer factura/stock/pago</x:v>
      </x:c>
      <x:c r="E264" s="13" t="str">
        <x:v>Ningún HTTP antes del commit exterior; al confirmar commit se procesa factura elegible una vez.</x:v>
      </x:c>
      <x:c r="F264" s="13" t="str">
        <x:v>Fuentes: app/Services/Fiscal/HkaEmissionPreparation.php; app/Services/Fiscal/HkaEmission.php; app/Services/Fiscal/HkaResponse.php; app/Services/Fiscal/HkaTransport.php
Entrada: Guardado de factura; POST /documents/{id}/prepare-hka/send-hka/query-hka</x:v>
      </x:c>
    </x:row>
    <x:row r="265" ht="44" customHeight="1">
      <x:c r="A265" s="13" t="str">
        <x:v>QA-HKA-005</x:v>
      </x:c>
      <x:c r="B265" s="13" t="str">
        <x:v>Rollback comercial no emite</x:v>
      </x:c>
      <x:c r="C265" s="13" t="str">
        <x:v>Factura ordinaria digital/demo; proveedor doble; UUID estable; HTTP saneado; reloj controlado. Casos de fallos se ejecutan simulados.
Error local antes del commit exterior</x:v>
      </x:c>
      <x:c r="D265" s="13" t="str">
        <x:v>1. Guardar fixture con fallo
2. Contar Autenticacion / Emision
3. Leer documentos/pagos/stock</x:v>
      </x:c>
      <x:c r="E265" s="13" t="str">
        <x:v>Rollback total y cero emisión. No se pierde número consumido por una reserva fuera de transacción.</x:v>
      </x:c>
      <x:c r="F265" s="13" t="str">
        <x:v>Fuentes: app/Services/Fiscal/HkaEmissionPreparation.php; app/Services/Fiscal/HkaEmission.php; app/Services/Fiscal/HkaResponse.php; app/Services/Fiscal/HkaTransport.php
Entrada: Guardado de factura; POST /documents/{id}/prepare-hka/send-hka/query-hka</x:v>
      </x:c>
    </x:row>
    <x:row r="266" ht="44" customHeight="1">
      <x:c r="A266" s="13" t="str">
        <x:v>QA-HKA-006</x:v>
      </x:c>
      <x:c r="B266" s="13" t="str">
        <x:v>Confirmación coherente del proveedor</x:v>
      </x:c>
      <x:c r="C266" s="13" t="str">
        <x:v>Factura ordinaria digital/demo; proveedor doble; UUID estable; HTTP saneado; reloj controlado. Casos de fallos se ejecutan simulados.
Doble 2xx/código negocio correcto/identidad/control válido</x:v>
      </x:c>
      <x:c r="D266" s="13" t="str">
        <x:v>1. Guardar o enviar factura
2. Leer estado/control/consulta_url
3. Recargar listado y detalle</x:v>
      </x:c>
      <x:c r="E266" s="13" t="str">
        <x:v>Confirmed sólo con éxito negocio e identidad/control coherentes; venta local y control independientes; resultado visible actualizado.</x:v>
      </x:c>
      <x:c r="F266" s="13" t="str">
        <x:v>Fuentes: app/Services/Fiscal/HkaEmissionPreparation.php; app/Services/Fiscal/HkaEmission.php; app/Services/Fiscal/HkaResponse.php; app/Services/Fiscal/HkaTransport.php
Entrada: Guardado de factura; POST /documents/{id}/prepare-hka/send-hka/query-hka</x:v>
      </x:c>
    </x:row>
    <x:row r="267" ht="56" customHeight="1">
      <x:c r="A267" s="13" t="str">
        <x:v>QA-HKA-007</x:v>
      </x:c>
      <x:c r="B267" s="13" t="str">
        <x:v>HTTP200 con rechazo definitivo de negocio</x:v>
      </x:c>
      <x:c r="C267" s="13" t="str">
        <x:v>Factura ordinaria digital/demo; proveedor doble; UUID estable; HTTP saneado; reloj controlado. Casos de fallos se ejecutan simulados.
Doble responde HTTP200 y cuerpo codigo 203 o 205 con validaciones de rechazo</x:v>
      </x:c>
      <x:c r="D267" s="13" t="str">
        <x:v>1. Guardar factura
2. Leer fiscal_emission y código de negocio
3. Comparar pago/stock y mensaje Venta guardada</x:v>
      </x:c>
      <x:c r="E267" s="13" t="str">
        <x:v>HTTP200 no convierte el rechazo de negocio en éxito; rejected con diagnóstico saneado; factura/pagos/inventario conservados. Expandir 202/203/205/400/401 en variantes individuales del código de negocio.</x:v>
      </x:c>
      <x:c r="F267" s="13" t="str">
        <x:v>Fuentes: app/Services/Fiscal/HkaEmissionPreparation.php; app/Services/Fiscal/HkaEmission.php; app/Services/Fiscal/HkaResponse.php; app/Services/Fiscal/HkaTransport.php
Entrada: Guardado de factura; POST /documents/{id}/prepare-hka/send-hka/query-hka</x:v>
      </x:c>
    </x:row>
    <x:row r="268" ht="56" customHeight="1">
      <x:c r="A268" s="13" t="str">
        <x:v>QA-HKA-008</x:v>
      </x:c>
      <x:c r="B268" s="13" t="str">
        <x:v>Código 201 y posterior conciliación</x:v>
      </x:c>
      <x:c r="C268" s="13" t="str">
        <x:v>Factura ordinaria digital/demo; proveedor doble; UUID estable; HTTP saneado; reloj controlado. Casos de fallos se ejecutan simulados.
Doble devuelve HTTP200 con codigo 201 y luego consulta atribuible al UUID</x:v>
      </x:c>
      <x:c r="D268" s="13" t="str">
        <x:v>1. Enviar respuesta 201
2. Observar consulta posterior por transaccion Id
3. Leer transición y control de la respuesta de consulta</x:v>
      </x:c>
      <x:c r="E268" s="13" t="str">
        <x:v>201 por sí solo queda uncertain; el servicio consulta la misma operación. Sólo una consulta 200 con identidad/transacción/estado procesado/control válido puede confirmar. 202 de negocio es rechazo definitivo, no un estado pendiente.</x:v>
      </x:c>
      <x:c r="F268" s="13" t="str">
        <x:v>Fuentes: app/Services/Fiscal/HkaEmissionPreparation.php; app/Services/Fiscal/HkaEmission.php; app/Services/Fiscal/HkaResponse.php; app/Services/Fiscal/HkaTransport.php
Entrada: Guardado de factura; POST /documents/{id}/prepare-hka/send-hka/query-hka</x:v>
      </x:c>
    </x:row>
    <x:row r="269" ht="44" customHeight="1">
      <x:c r="A269" s="13" t="str">
        <x:v>QA-HKA-009</x:v>
      </x:c>
      <x:c r="B269" s="13" t="str">
        <x:v>Timeout después de posible transmisión</x:v>
      </x:c>
      <x:c r="C269" s="13" t="str">
        <x:v>Factura ordinaria digital/demo; proveedor doble; UUID estable; HTTP saneado; reloj controlado. Casos de fallos se ejecutan simulados.
Doble acepta petición y corta respuesta</x:v>
      </x:c>
      <x:c r="D269" s="13" t="str">
        <x:v>1. Enviar
2. Leer uncertain
3. Consultar por transaccion Id con el mismo UUID</x:v>
      </x:c>
      <x:c r="E269" s="13" t="str">
        <x:v>Venta intacta y estado Por conciliar; no se crea otra factura/UUID ni se reenvía ciegamente.</x:v>
      </x:c>
      <x:c r="F269" s="13" t="str">
        <x:v>Fuentes: app/Services/Fiscal/HkaEmissionPreparation.php; app/Services/Fiscal/HkaEmission.php; app/Services/Fiscal/HkaResponse.php; app/Services/Fiscal/HkaTransport.php
Entrada: Guardado de factura; POST /documents/{id}/prepare-hka/send-hka/query-hka</x:v>
      </x:c>
    </x:row>
    <x:row r="270" ht="56" customHeight="1">
      <x:c r="A270" s="13" t="str">
        <x:v>QA-HKA-010</x:v>
      </x:c>
      <x:c r="B270" s="13" t="str">
        <x:v>Respuesta vacía o JSON incompleto</x:v>
      </x:c>
      <x:c r="C270" s="13" t="str">
        <x:v>Factura ordinaria digital/demo; proveedor doble; UUID estable; HTTP saneado; reloj controlado. Casos de fallos se ejecutan simulados.
Doble sin cuerpo/identidad/control; variantes codigo 200 con validaciones no vacías,201/204/210/500</x:v>
      </x:c>
      <x:c r="D270" s="13" t="str">
        <x:v>1. Enviar cada variante de respuesta bajo HTTP200; añadir HTTP 500/302/401 como variantes de transporte
2. Leer estado/diagnóstico
3. Comparar control y contador de intentos</x:v>
      </x:c>
      <x:c r="E270" s="13" t="str">
        <x:v>Posible transmisión queda uncertain sin control inventado; error saneado recuperable. Código 200 con validaciones o cuerpo incompleto no confirma ni se clasifica automáticamente como rechazo definitivo.</x:v>
      </x:c>
      <x:c r="F270" s="13" t="str">
        <x:v>Fuentes: app/Services/Fiscal/HkaEmissionPreparation.php; app/Services/Fiscal/HkaEmission.php; app/Services/Fiscal/HkaResponse.php; app/Services/Fiscal/HkaTransport.php
Entrada: Guardado de factura; POST /documents/{id}/prepare-hka/send-hka/query-hka</x:v>
      </x:c>
    </x:row>
    <x:row r="271" ht="44" customHeight="1">
      <x:c r="A271" s="13" t="str">
        <x:v>QA-HKA-011</x:v>
      </x:c>
      <x:c r="B271" s="13" t="str">
        <x:v>Control contradictorio o duplicado</x:v>
      </x:c>
      <x:c r="C271" s="13" t="str">
        <x:v>Factura ordinaria digital/demo; proveedor doble; UUID estable; HTTP saneado; reloj controlado. Casos de fallos se ejecutan simulados.
Doble responde identidad/control de otra factura</x:v>
      </x:c>
      <x:c r="D271" s="13" t="str">
        <x:v>1. Enviar y consultar variantes
2. Comparar control y documentos
3. Leer diagnóstico</x:v>
      </x:c>
      <x:c r="E271" s="13" t="str">
        <x:v>No se confirma factura equivocada ni asigna control duplicado; incertidumbre/rechazo según intérprete con trazabilidad.</x:v>
      </x:c>
      <x:c r="F271" s="13" t="str">
        <x:v>Fuentes: app/Services/Fiscal/HkaEmissionPreparation.php; app/Services/Fiscal/HkaEmission.php; app/Services/Fiscal/HkaResponse.php; app/Services/Fiscal/HkaTransport.php
Entrada: Guardado de factura; POST /documents/{id}/prepare-hka/send-hka/query-hka</x:v>
      </x:c>
    </x:row>
    <x:row r="272" ht="44" customHeight="1">
      <x:c r="A272" s="13" t="str">
        <x:v>QA-HKA-012</x:v>
      </x:c>
      <x:c r="B272" s="13" t="str">
        <x:v>Consulta recupera confirmación</x:v>
      </x:c>
      <x:c r="C272" s="13" t="str">
        <x:v>Factura ordinaria digital/demo; proveedor doble; UUID estable; HTTP saneado; reloj controlado. Casos de fallos se ejecutan simulados.
Factura uncertain y respuesta atribuible</x:v>
      </x:c>
      <x:c r="D272" s="13" t="str">
        <x:v>1. Consultar
2. Leer control/UUID/estado
3. Consultar de nuevo</x:v>
      </x:c>
      <x:c r="E272" s="13" t="str">
        <x:v>Confirmed consistente y efectos comerciales únicos; confirmación repetida no duplica correo automático ni PDF/venta.</x:v>
      </x:c>
      <x:c r="F272" s="13" t="str">
        <x:v>Fuentes: app/Services/Fiscal/HkaEmissionPreparation.php; app/Services/Fiscal/HkaEmission.php; app/Services/Fiscal/HkaResponse.php; app/Services/Fiscal/HkaTransport.php
Entrada: Guardado de factura; POST /documents/{id}/prepare-hka/send-hka/query-hka</x:v>
      </x:c>
    </x:row>
    <x:row r="273" ht="44" customHeight="1">
      <x:c r="A273" s="13" t="str">
        <x:v>QA-HKA-013</x:v>
      </x:c>
      <x:c r="B273" s="13" t="str">
        <x:v>Ausencia acreditada permite reintento</x:v>
      </x:c>
      <x:c r="C273" s="13" t="str">
        <x:v>Factura ordinaria digital/demo; proveedor doble; UUID estable; HTTP saneado; reloj controlado. Casos de fallos se ejecutan simulados.
Uncertain con respuesta inequívoca de ausencia y antigüedad≥30 s</x:v>
      </x:c>
      <x:c r="D273" s="13" t="str">
        <x:v>1. Consultar
2. Leer retry_allowed
3. Reenviar desde acción administrativa</x:v>
      </x:c>
      <x:c r="E273" s="13" t="str">
        <x:v>Reutiliza mismo UUID/payload/serie/número; sólo ausencia acreditada y umbral habilitan reenvío.</x:v>
      </x:c>
      <x:c r="F273" s="13" t="str">
        <x:v>Fuentes: app/Services/Fiscal/HkaEmissionPreparation.php; app/Services/Fiscal/HkaEmission.php; app/Services/Fiscal/HkaResponse.php; app/Services/Fiscal/HkaTransport.php
Entrada: Guardado de factura; POST /documents/{id}/prepare-hka/send-hka/query-hka</x:v>
      </x:c>
    </x:row>
    <x:row r="274" ht="44" customHeight="1">
      <x:c r="A274" s="13" t="str">
        <x:v>QA-HKA-014</x:v>
      </x:c>
      <x:c r="B274" s="13" t="str">
        <x:v>Rastreo vacío o 203 no habilita reenvío</x:v>
      </x:c>
      <x:c r="C274" s="13" t="str">
        <x:v>Factura ordinaria digital/demo; proveedor doble; UUID estable; HTTP saneado; reloj controlado. Casos de fallos se ejecutan simulados.
Uncertain y consulta no atribuible</x:v>
      </x:c>
      <x:c r="D274" s="13" t="str">
        <x:v>1. Consultar con vacío/error 203 genérico
2. Intentar send-hka
3. Contar llamadas Emision</x:v>
      </x:c>
      <x:c r="E274" s="13" t="str">
        <x:v>No cualquier 203/vacío acredita ausencia; no se duplica intento fiscal posible.</x:v>
      </x:c>
      <x:c r="F274" s="13" t="str">
        <x:v>Fuentes: app/Services/Fiscal/HkaEmissionPreparation.php; app/Services/Fiscal/HkaEmission.php; app/Services/Fiscal/HkaResponse.php; app/Services/Fiscal/HkaTransport.php
Entrada: Guardado de factura; POST /documents/{id}/prepare-hka/send-hka/query-hka</x:v>
      </x:c>
    </x:row>
    <x:row r="275" ht="44" customHeight="1">
      <x:c r="A275" s="13" t="str">
        <x:v>QA-HKA-015</x:v>
      </x:c>
      <x:c r="B275" s="13" t="str">
        <x:v>Umbral antes de reenviar</x:v>
      </x:c>
      <x:c r="C275" s="13" t="str">
        <x:v>Factura ordinaria digital/demo; proveedor doble; UUID estable; HTTP saneado; reloj controlado. Casos de fallos se ejecutan simulados.
Ausencia acreditada con intento&lt;30 s</x:v>
      </x:c>
      <x:c r="D275" s="13" t="str">
        <x:v>1. Intentar reenviar antes del límite
2. Avanzar reloj controlado al límite
3. Intentar de nuevo</x:v>
      </x:c>
      <x:c r="E275" s="13" t="str">
        <x:v>No transmisión antes del umbral; después sólo si reglas de ausencia/estado también permiten.</x:v>
      </x:c>
      <x:c r="F275" s="13" t="str">
        <x:v>Fuentes: app/Services/Fiscal/HkaEmissionPreparation.php; app/Services/Fiscal/HkaEmission.php; app/Services/Fiscal/HkaResponse.php; app/Services/Fiscal/HkaTransport.php
Entrada: Guardado de factura; POST /documents/{id}/prepare-hka/send-hka/query-hka</x:v>
      </x:c>
    </x:row>
    <x:row r="276" ht="44" customHeight="1">
      <x:c r="A276" s="13" t="str">
        <x:v>QA-HKA-016</x:v>
      </x:c>
      <x:c r="B276" s="13" t="str">
        <x:v>Recuperar pending interrumpido</x:v>
      </x:c>
      <x:c r="C276" s="13" t="str">
        <x:v>Factura ordinaria digital/demo; proveedor doble; UUID estable; HTTP saneado; reloj controlado. Casos de fallos se ejecutan simulados.
Pending con started_at conocido</x:v>
      </x:c>
      <x:c r="D276" s="13" t="str">
        <x:v>1. Consultar antes de 40 s
2. Avanzar reloj≥40 s y consultar
3. Leer estado e HTTP</x:v>
      </x:c>
      <x:c r="E276" s="13" t="str">
        <x:v>Consulta temprana no dispara recuperación prematura; intento antiguo puede conciliarse fuera de bloqueos.</x:v>
      </x:c>
      <x:c r="F276" s="13" t="str">
        <x:v>Fuentes: app/Services/Fiscal/HkaEmissionPreparation.php; app/Services/Fiscal/HkaEmission.php; app/Services/Fiscal/HkaResponse.php; app/Services/Fiscal/HkaTransport.php
Entrada: Guardado de factura; POST /documents/{id}/prepare-hka/send-hka/query-hka</x:v>
      </x:c>
    </x:row>
    <x:row r="277" ht="44" customHeight="1">
      <x:c r="A277" s="13" t="str">
        <x:v>QA-HKA-017</x:v>
      </x:c>
      <x:c r="B277" s="13" t="str">
        <x:v>Confirmado no se degrada por consulta fallida</x:v>
      </x:c>
      <x:c r="C277" s="13" t="str">
        <x:v>Factura ordinaria digital/demo; proveedor doble; UUID estable; HTTP saneado; reloj controlado. Casos de fallos se ejecutan simulados.
Factura confirmed</x:v>
      </x:c>
      <x:c r="D277" s="13" t="str">
        <x:v>1. Simular consulta timeout/rechazo no atribuible
2. Consultar
3. Leer fiscal estado/control</x:v>
      </x:c>
      <x:c r="E277" s="13" t="str">
        <x:v>Confirmación conservada, último diagnóstico advierte fallo de consulta; no queda rechazado por un fallo posterior.</x:v>
      </x:c>
      <x:c r="F277" s="13" t="str">
        <x:v>Fuentes: app/Services/Fiscal/HkaEmissionPreparation.php; app/Services/Fiscal/HkaEmission.php; app/Services/Fiscal/HkaResponse.php; app/Services/Fiscal/HkaTransport.php
Entrada: Guardado de factura; POST /documents/{id}/prepare-hka/send-hka/query-hka</x:v>
      </x:c>
    </x:row>
    <x:row r="278" ht="44" customHeight="1">
      <x:c r="A278" s="13" t="str">
        <x:v>QA-HKA-018</x:v>
      </x:c>
      <x:c r="B278" s="13" t="str">
        <x:v>Autenticación falla antes de emisión</x:v>
      </x:c>
      <x:c r="C278" s="13" t="str">
        <x:v>Factura ordinaria digital/demo; proveedor doble; UUID estable; HTTP saneado; reloj controlado. Casos de fallos se ejecutan simulados.
Credenciales ausentes/timeout/rechazo</x:v>
      </x:c>
      <x:c r="D278" s="13" t="str">
        <x:v>1. Guardar/enviar en variantes
2. Leer venta/estado
3. Contar Emision</x:v>
      </x:c>
      <x:c r="E278" s="13" t="str">
        <x:v>Venta local permanece; estado not_requested / prepared según punto del fallo; ningún HTTP Emision cuando no hay token válido.</x:v>
      </x:c>
      <x:c r="F278" s="13" t="str">
        <x:v>Fuentes: app/Services/Fiscal/HkaEmissionPreparation.php; app/Services/Fiscal/HkaEmission.php; app/Services/Fiscal/HkaResponse.php; app/Services/Fiscal/HkaTransport.php
Entrada: Guardado de factura; POST /documents/{id}/prepare-hka/send-hka/query-hka</x:v>
      </x:c>
    </x:row>
    <x:row r="279" ht="44" customHeight="1">
      <x:c r="A279" s="13" t="str">
        <x:v>QA-HKA-019</x:v>
      </x:c>
      <x:c r="B279" s="13" t="str">
        <x:v>Cambio de configuración durante autenticación</x:v>
      </x:c>
      <x:c r="C279" s="13" t="str">
        <x:v>Factura ordinaria digital/demo; proveedor doble; UUID estable; HTTP saneado; reloj controlado. Casos de fallos se ejecutan simulados.
Token retrasado en doble</x:v>
      </x:c>
      <x:c r="D279" s="13" t="str">
        <x:v>1. Iniciar envío
2. Modificar configuración autorizada del fixture
3. Completar token</x:v>
      </x:c>
      <x:c r="E279" s="13" t="str">
        <x:v>Contexto validado de nuevo; configuración incompatible impide emisión sin perder venta.</x:v>
      </x:c>
      <x:c r="F279" s="13" t="str">
        <x:v>Fuentes: app/Services/Fiscal/HkaEmissionPreparation.php; app/Services/Fiscal/HkaEmission.php; app/Services/Fiscal/HkaResponse.php; app/Services/Fiscal/HkaTransport.php
Entrada: Guardado de factura; POST /documents/{id}/prepare-hka/send-hka/query-hka</x:v>
      </x:c>
    </x:row>
    <x:row r="280" ht="44" customHeight="1">
      <x:c r="A280" s="13" t="str">
        <x:v>QA-HKA-020</x:v>
      </x:c>
      <x:c r="B280" s="13" t="str">
        <x:v>Dos envíos simultáneos</x:v>
      </x:c>
      <x:c r="C280" s="13" t="str">
        <x:v>Factura ordinaria digital/demo; proveedor doble; UUID estable; HTTP saneado; reloj controlado. Casos de fallos se ejecutan simulados.
Mismo documento preparado y dos administradores</x:v>
      </x:c>
      <x:c r="D280" s="13" t="str">
        <x:v>1. Enviar simultáneamente send-hka
2. Esperar y contar HTTP
3. Leer intentos/UUID</x:v>
      </x:c>
      <x:c r="E280" s="13" t="str">
        <x:v>Una reclamación efectiva y un envío lógico; pending persistido antes de HTTP, fuera de transacciones comerciales.</x:v>
      </x:c>
      <x:c r="F280" s="13" t="str">
        <x:v>Fuentes: app/Services/Fiscal/HkaEmissionPreparation.php; app/Services/Fiscal/HkaEmission.php; app/Services/Fiscal/HkaResponse.php; app/Services/Fiscal/HkaTransport.php
Entrada: Guardado de factura; POST /documents/{id}/prepare-hka/send-hka/query-hka</x:v>
      </x:c>
    </x:row>
    <x:row r="281" ht="44" customHeight="1">
      <x:c r="A281" s="13" t="str">
        <x:v>QA-HKA-021</x:v>
      </x:c>
      <x:c r="B281" s="13" t="str">
        <x:v>Permiso de preparar y enviar</x:v>
      </x:c>
      <x:c r="C281" s="13" t="str">
        <x:v>Factura ordinaria digital/demo; proveedor doble; UUID estable; HTTP saneado; reloj controlado. Casos de fallos se ejecutan simulados.
Vendedor S 1 y administrador</x:v>
      </x:c>
      <x:c r="D281" s="13" t="str">
        <x:v>1. Intentar prepare/send por vendedor
2. Probar query autorizado y query otra sucursal
3. Contar HTTP</x:v>
      </x:c>
      <x:c r="E281" s="13" t="str">
        <x:v>prepare/send administrativos; query respeta tenant/sucursal; rechazo ocurre antes de autenticar/transmitir.</x:v>
      </x:c>
      <x:c r="F281" s="13" t="str">
        <x:v>Fuentes: app/Services/Fiscal/HkaEmissionPreparation.php; app/Services/Fiscal/HkaEmission.php; app/Services/Fiscal/HkaResponse.php; app/Services/Fiscal/HkaTransport.php
Entrada: Guardado de factura; POST /documents/{id}/prepare-hka/send-hka/query-hka</x:v>
      </x:c>
    </x:row>
    <x:row r="282" ht="44" customHeight="1">
      <x:c r="A282" s="13" t="str">
        <x:v>QA-HKA-022</x:v>
      </x:c>
      <x:c r="B282" s="13" t="str">
        <x:v>Payload y DTO saneados</x:v>
      </x:c>
      <x:c r="C282" s="13" t="str">
        <x:v>Factura ordinaria digital/demo; proveedor doble; UUID estable; HTTP saneado; reloj controlado. Casos de fallos se ejecutan simulados.
Operación con diagnóstico del proveedor</x:v>
      </x:c>
      <x:c r="D282" s="13" t="str">
        <x:v>1. Leer creación/detalle/listado/API/logs
2. Buscar secretos y respuesta cruda
3. Comparar can_send / can_query</x:v>
      </x:c>
      <x:c r="E282" s="13" t="str">
        <x:v>DTO sólo datos necesarios saneados; no expone token, credenciales, payload completo ni respuesta cruda.</x:v>
      </x:c>
      <x:c r="F282" s="13" t="str">
        <x:v>Fuentes: app/Services/Fiscal/HkaEmissionPreparation.php; app/Services/Fiscal/HkaEmission.php; app/Services/Fiscal/HkaResponse.php; app/Services/Fiscal/HkaTransport.php
Entrada: Guardado de factura; POST /documents/{id}/prepare-hka/send-hka/query-hka</x:v>
      </x:c>
    </x:row>
    <x:row r="283" ht="44" customHeight="1">
      <x:c r="A283" s="13" t="str">
        <x:v>QA-HKA-023</x:v>
      </x:c>
      <x:c r="B283" s="13" t="str">
        <x:v>Consulta URL válida opcional</x:v>
      </x:c>
      <x:c r="C283" s="13" t="str">
        <x:v>Factura ordinaria digital/demo; proveedor doble; UUID estable; HTTP saneado; reloj controlado. Casos de fallos se ejecutan simulados.
Doble confirmó con URL https válida, ausente, inválida o&gt;255</x:v>
      </x:c>
      <x:c r="D283" s="13" t="str">
        <x:v>1. Confirmar cada variante
2. Leer consulta_url
3. Probar disponibilidad A4/A5/ticket</x:v>
      </x:c>
      <x:c r="E283" s="13" t="str">
        <x:v>URL HTTPS válida se conserva exactamente. Falta/inválida queda null y no impide confirmed /A4/A5; sólo 80MM con QR bloqueado.</x:v>
      </x:c>
      <x:c r="F283" s="13" t="str">
        <x:v>Fuentes: app/Services/Fiscal/HkaEmissionPreparation.php; app/Services/Fiscal/HkaEmission.php; app/Services/Fiscal/HkaResponse.php; app/Services/Fiscal/HkaTransport.php
Entrada: Guardado de factura; POST /documents/{id}/prepare-hka/send-hka/query-hka</x:v>
      </x:c>
    </x:row>
    <x:row r="284" ht="44" customHeight="1">
      <x:c r="A284" s="13" t="str">
        <x:v>QA-HKA-024</x:v>
      </x:c>
      <x:c r="B284" s="13" t="str">
        <x:v>Sin numeración remota habilitada</x:v>
      </x:c>
      <x:c r="C284" s="13" t="str">
        <x:v>Factura ordinaria digital/demo; proveedor doble; UUID estable; HTTP saneado; reloj controlado. Casos de fallos se ejecutan simulados.
Doble rechazo por rango/numeración</x:v>
      </x:c>
      <x:c r="D284" s="13" t="str">
        <x:v>1. Emitir factura
2. Leer estado y documento
3. Comprobar serie/número</x:v>
      </x:c>
      <x:c r="E284" s="13" t="str">
        <x:v>Venta conservada; no cambia serie/correlativo, no asigna control ficticio ni recrea factura para evitar rechazo.</x:v>
      </x:c>
      <x:c r="F284" s="13" t="str">
        <x:v>Fuentes: app/Services/Fiscal/HkaEmissionPreparation.php; app/Services/Fiscal/HkaEmission.php; app/Services/Fiscal/HkaResponse.php; app/Services/Fiscal/HkaTransport.php
Entrada: Guardado de factura; POST /documents/{id}/prepare-hka/send-hka/query-hka</x:v>
      </x:c>
    </x:row>
    <x:row r="285" ht="44" customHeight="1">
      <x:c r="A285" s="13" t="str">
        <x:v>QA-HKA-025</x:v>
      </x:c>
      <x:c r="B285" s="13" t="str">
        <x:v>Emisión real ordinaria DEMO</x:v>
      </x:c>
      <x:c r="C285" s="13" t="str">
        <x:v>Factura ordinaria digital/demo; proveedor doble; UUID estable; HTTP saneado; reloj controlado. Casos de fallos se ejecutan simulados.
Credenciales DEMO verificadas, documentos QA y contacto controlado</x:v>
      </x:c>
      <x:c r="D285" s="13" t="str">
        <x:v>1. Crear factura de la corrida
2. Registrar resultado HKA, control y consulta
3. Obtener PDF y conciliar comercio</x:v>
      </x:c>
      <x:c r="E285" s="13" t="str">
        <x:v>Aceptación DEMO factura acreditada por respuesta/control atribuibles; cantidades/pagos/stock coinciden. Esta ejecución se etiqueta Real DEMO y no reutiliza evidencia histórica.</x:v>
      </x:c>
      <x:c r="F285" s="13" t="str">
        <x:v>Fuentes: app/Services/Fiscal/HkaEmissionPreparation.php; app/Services/Fiscal/HkaEmission.php; app/Services/Fiscal/HkaResponse.php; app/Services/Fiscal/HkaTransport.php
Entrada: Guardado de factura; POST /documents/{id}/prepare-hka/send-hka/query-hka</x:v>
      </x:c>
    </x:row>
    <x:row r="286" ht="56" customHeight="1">
      <x:c r="A286" s="13" t="str">
        <x:v>QA-PDF-001</x:v>
      </x:c>
      <x:c r="B286" s="13" t="str">
        <x:v>Vista previa digital en borrador</x:v>
      </x:c>
      <x:c r="C286" s="13" t="str">
        <x:v>Factura digital confirmada; A4 HKA original; multipágina y URL consulta; plantillas locales ticket; simulación de archivos dañados.
Borrador 01 sin emisión; show_ticket_80 false</x:v>
      </x:c>
      <x:c r="D286" s="13" t="str">
        <x:v>1. Abrir Vista previa
2. Leer tamaño 80MM y datos
3. Contar HKA y verificar archivos</x:v>
      </x:c>
      <x:c r="E286" s="13" t="str">
        <x:v>Vista previa local 80MM disponible aun con descarga 80 oculta; no llama HKA, no exige control y no guarda A4/A5 fiscal local.</x:v>
      </x:c>
      <x:c r="F286" s="13" t="str">
        <x:v>Fuentes: app/Services/Fiscal/HkaPdf.php; app/Services/Fiscal/HkaPdfStore.php; app/Services/Fiscal/HkaA5Pdf.php; app/Services/Fiscal/HkaTicketPdf.php; .codex/skills/distribuir-documentos-hka/SKILL.md
Entrada: Vista previa formulario; Opciones/Detalle; GET /documents/{external_id}/download-pdf/{format}</x:v>
      </x:c>
    </x:row>
    <x:row r="287" ht="56" customHeight="1">
      <x:c r="A287" s="13" t="str">
        <x:v>QA-PDF-002</x:v>
      </x:c>
      <x:c r="B287" s="13" t="str">
        <x:v>Vista previa de registrado no confirmado</x:v>
      </x:c>
      <x:c r="C287" s="13" t="str">
        <x:v>Factura digital confirmada; A4 HKA original; multipágina y URL consulta; plantillas locales ticket; simulación de archivos dañados.
Factura local digital</x:v>
      </x:c>
      <x:c r="D287" s="13" t="str">
        <x:v>1. Abrir vista previa disponible antes de emitir
2. Comparar modalidad del documento en backend
3. Cerrar</x:v>
      </x:c>
      <x:c r="E287" s="13" t="str">
        <x:v>Modalidad del registro gobierna 80MM; no presenta borrador como original fiscal aceptado ni crea PDF HKA falso.</x:v>
      </x:c>
      <x:c r="F287" s="13" t="str">
        <x:v>Fuentes: app/Services/Fiscal/HkaPdf.php; app/Services/Fiscal/HkaPdfStore.php; app/Services/Fiscal/HkaA5Pdf.php; app/Services/Fiscal/HkaTicketPdf.php; .codex/skills/distribuir-documentos-hka/SKILL.md
Entrada: Vista previa formulario; Opciones/Detalle; GET /documents/{external_id}/download-pdf/{format}</x:v>
      </x:c>
    </x:row>
    <x:row r="288" ht="56" customHeight="1">
      <x:c r="A288" s="13" t="str">
        <x:v>QA-PDF-003</x:v>
      </x:c>
      <x:c r="B288" s="13" t="str">
        <x:v>Carga y cierre de vista previa</x:v>
      </x:c>
      <x:c r="C288" s="13" t="str">
        <x:v>Factura digital confirmada; A4 HKA original; multipágina y URL consulta; plantillas locales ticket; simulación de archivos dañados.
Respuesta PDF local retrasada</x:v>
      </x:c>
      <x:c r="D288" s="13" t="str">
        <x:v>1. Abrir y cerrar antes de respuesta
2. Cambiar a otro borrador
3. Entregar respuesta tardía</x:v>
      </x:c>
      <x:c r="E288" s="13" t="str">
        <x:v>Sin PDF de otro documento/URLs filtradas; errores visibles, scroll suficiente y recursos temporales liberados.</x:v>
      </x:c>
      <x:c r="F288" s="13" t="str">
        <x:v>Fuentes: app/Services/Fiscal/HkaPdf.php; app/Services/Fiscal/HkaPdfStore.php; app/Services/Fiscal/HkaA5Pdf.php; app/Services/Fiscal/HkaTicketPdf.php; .codex/skills/distribuir-documentos-hka/SKILL.md
Entrada: Vista previa formulario; Opciones/Detalle; GET /documents/{external_id}/download-pdf/{format}</x:v>
      </x:c>
    </x:row>
    <x:row r="289" ht="56" customHeight="1">
      <x:c r="A289" s="13" t="str">
        <x:v>QA-PDF-004</x:v>
      </x:c>
      <x:c r="B289" s="13" t="str">
        <x:v>Descarga A4 original</x:v>
      </x:c>
      <x:c r="C289" s="13" t="str">
        <x:v>Factura digital confirmada; A4 HKA original; multipágina y URL consulta; plantillas locales ticket; simulación de archivos dañados.
Factura confirmed con bytes HKA válidos</x:v>
      </x:c>
      <x:c r="D289" s="13" t="str">
        <x:v>1. Descargar A4
2. Calcular SHA 256
3. Comparar con original del proveedor y número de páginas</x:v>
      </x:c>
      <x:c r="E289" s="13" t="str">
        <x:v>Mismos bytes originales, sin conversión ni plantilla local; archivo privado asociado a operación vigente.</x:v>
      </x:c>
      <x:c r="F289" s="13" t="str">
        <x:v>Fuentes: app/Services/Fiscal/HkaPdf.php; app/Services/Fiscal/HkaPdfStore.php; app/Services/Fiscal/HkaA5Pdf.php; app/Services/Fiscal/HkaTicketPdf.php; .codex/skills/distribuir-documentos-hka/SKILL.md
Entrada: Vista previa formulario; Opciones/Detalle; GET /documents/{external_id}/download-pdf/{format}</x:v>
      </x:c>
    </x:row>
    <x:row r="290" ht="56" customHeight="1">
      <x:c r="A290" s="13" t="str">
        <x:v>QA-PDF-005</x:v>
      </x:c>
      <x:c r="B290" s="13" t="str">
        <x:v>Descarga A5 horizontal multipágina</x:v>
      </x:c>
      <x:c r="C290" s="13" t="str">
        <x:v>Factura digital confirmada; A4 HKA original; multipágina y URL consulta; plantillas locales ticket; simulación de archivos dañados.
A4 HKA varias páginas</x:v>
      </x:c>
      <x:c r="D290" s="13" t="str">
        <x:v>1. Descargar A5
2. Medir cada página
3. Renderizar y leer texto/importe/QR/logo</x:v>
      </x:c>
      <x:c r="E290" s="13" t="str">
        <x:v>Una página salida por original a 210×148 mm; distribución completa, texto vectorial proporcional, logo sin deformación y QR con tamaño físico conservado.</x:v>
      </x:c>
      <x:c r="F290" s="13" t="str">
        <x:v>Fuentes: app/Services/Fiscal/HkaPdf.php; app/Services/Fiscal/HkaPdfStore.php; app/Services/Fiscal/HkaA5Pdf.php; app/Services/Fiscal/HkaTicketPdf.php; .codex/skills/distribuir-documentos-hka/SKILL.md
Entrada: Vista previa formulario; Opciones/Detalle; GET /documents/{external_id}/download-pdf/{format}</x:v>
      </x:c>
    </x:row>
    <x:row r="291" ht="56" customHeight="1">
      <x:c r="A291" s="13" t="str">
        <x:v>QA-PDF-006</x:v>
      </x:c>
      <x:c r="B291" s="13" t="str">
        <x:v>Ticket 80MM con QR</x:v>
      </x:c>
      <x:c r="C291" s="13" t="str">
        <x:v>Factura digital confirmada; A4 HKA original; multipágina y URL consulta; plantillas locales ticket; simulación de archivos dañados.
Confirmed con URL HTTPS conservada</x:v>
      </x:c>
      <x:c r="D291" s="13" t="str">
        <x:v>1. Descargar ticket
2. Decodificar QR
3. Comparar URLy disposición debajo de monto en letras</x:v>
      </x:c>
      <x:c r="E291" s="13" t="str">
        <x:v>QR una vez 30×30 mm, borde 4 módulos/corrección M; igualdad exacta con URL conservada; leyenda 1000 una vez; ticket en memoria sin HTTP HKA ni sobrescribir archivos.</x:v>
      </x:c>
      <x:c r="F291" s="13" t="str">
        <x:v>Fuentes: app/Services/Fiscal/HkaPdf.php; app/Services/Fiscal/HkaPdfStore.php; app/Services/Fiscal/HkaA5Pdf.php; app/Services/Fiscal/HkaTicketPdf.php; .codex/skills/distribuir-documentos-hka/SKILL.md
Entrada: Vista previa formulario; Opciones/Detalle; GET /documents/{external_id}/download-pdf/{format}</x:v>
      </x:c>
    </x:row>
    <x:row r="292" ht="56" customHeight="1">
      <x:c r="A292" s="13" t="str">
        <x:v>QA-PDF-007</x:v>
      </x:c>
      <x:c r="B292" s="13" t="str">
        <x:v>Ticket sin URL bloqueado</x:v>
      </x:c>
      <x:c r="C292" s="13" t="str">
        <x:v>Factura digital confirmada; A4 HKA original; multipágina y URL consulta; plantillas locales ticket; simulación de archivos dañados.
Confirmed y consulta_url null</x:v>
      </x:c>
      <x:c r="D292" s="13" t="str">
        <x:v>1. Intentar descargar ticket
2. Leer mensaje
3. Comprobar A4/A5 disponibles</x:v>
      </x:c>
      <x:c r="E292" s="13" t="str">
        <x:v>Sólo 80MM con QR bloqueado; mensaje indica consultar estado HKA por acción existente; no genera ticket genérico sustituto.</x:v>
      </x:c>
      <x:c r="F292" s="13" t="str">
        <x:v>Fuentes: app/Services/Fiscal/HkaPdf.php; app/Services/Fiscal/HkaPdfStore.php; app/Services/Fiscal/HkaA5Pdf.php; app/Services/Fiscal/HkaTicketPdf.php; .codex/skills/distribuir-documentos-hka/SKILL.md
Entrada: Vista previa formulario; Opciones/Detalle; GET /documents/{external_id}/download-pdf/{format}</x:v>
      </x:c>
    </x:row>
    <x:row r="293" ht="56" customHeight="1">
      <x:c r="A293" s="13" t="str">
        <x:v>QA-PDF-008</x:v>
      </x:c>
      <x:c r="B293" s="13" t="str">
        <x:v>PDF antes de confirmación</x:v>
      </x:c>
      <x:c r="C293" s="13" t="str">
        <x:v>Factura digital confirmada; A4 HKA original; multipágina y URL consulta; plantillas locales ticket; simulación de archivos dañados.
not_requested / prepared / pending / rejected / uncertain</x:v>
      </x:c>
      <x:c r="D293" s="13" t="str">
        <x:v>1. Intentar A4/A5/ticket en cada estado
2. Repetir URL directa
3. Medir red y archivo</x:v>
      </x:c>
      <x:c r="E293" s="13" t="str">
        <x:v>Disponibilidad/diagnóstico según estado; no entrega A4/A5 local ni ticket fiscal sin confirmación.</x:v>
      </x:c>
      <x:c r="F293" s="13" t="str">
        <x:v>Fuentes: app/Services/Fiscal/HkaPdf.php; app/Services/Fiscal/HkaPdfStore.php; app/Services/Fiscal/HkaA5Pdf.php; app/Services/Fiscal/HkaTicketPdf.php; .codex/skills/distribuir-documentos-hka/SKILL.md
Entrada: Vista previa formulario; Opciones/Detalle; GET /documents/{external_id}/download-pdf/{format}</x:v>
      </x:c>
    </x:row>
    <x:row r="294" ht="56" customHeight="1">
      <x:c r="A294" s="13" t="str">
        <x:v>QA-PDF-009</x:v>
      </x:c>
      <x:c r="B294" s="13" t="str">
        <x:v>Formatos no admitidos</x:v>
      </x:c>
      <x:c r="C294" s="13" t="str">
        <x:v>Factura digital confirmada; A4 HKA original; multipágina y URL consulta; plantillas locales ticket; simulación de archivos dañados.
Endpoint autenticado digital</x:v>
      </x:c>
      <x:c r="D294" s="13" t="str">
        <x:v>1. Solicitara 3/xml/json/ticket_58/../../../ en variantes
2. Leer respuesta
3. Contar HKA</x:v>
      </x:c>
      <x:c r="E294" s="13" t="str">
        <x:v>Allowlista4/a5/ticket; formatos inválidos no obtienen original ni otra ruta. Opciones 58MM de otros documentos no acreditan soporte digital.</x:v>
      </x:c>
      <x:c r="F294" s="13" t="str">
        <x:v>Fuentes: app/Services/Fiscal/HkaPdf.php; app/Services/Fiscal/HkaPdfStore.php; app/Services/Fiscal/HkaA5Pdf.php; app/Services/Fiscal/HkaTicketPdf.php; .codex/skills/distribuir-documentos-hka/SKILL.md
Entrada: Vista previa formulario; Opciones/Detalle; GET /documents/{external_id}/download-pdf/{format}</x:v>
      </x:c>
    </x:row>
    <x:row r="295" ht="56" customHeight="1">
      <x:c r="A295" s="13" t="str">
        <x:v>QA-PDF-010</x:v>
      </x:c>
      <x:c r="B295" s="13" t="str">
        <x:v>Archivo no es PDF válido</x:v>
      </x:c>
      <x:c r="C295" s="13" t="str">
        <x:v>Factura digital confirmada; A4 HKA original; multipágina y URL consulta; plantillas locales ticket; simulación de archivos dañados.
Doble DescargaArchivo con base 64 inválido/HTML/cabecera/cierre in correcto</x:v>
      </x:c>
      <x:c r="D295" s="13" t="str">
        <x:v>1. Solicitar A4 para cada variante
2. Leer diagnóstico
3. Buscar archivo final</x:v>
      </x:c>
      <x:c r="E295" s="13" t="str">
        <x:v>Validación estricta; no guarda/entrega bytes inválidos y no hace fallback local.</x:v>
      </x:c>
      <x:c r="F295" s="13" t="str">
        <x:v>Fuentes: app/Services/Fiscal/HkaPdf.php; app/Services/Fiscal/HkaPdfStore.php; app/Services/Fiscal/HkaA5Pdf.php; app/Services/Fiscal/HkaTicketPdf.php; .codex/skills/distribuir-documentos-hka/SKILL.md
Entrada: Vista previa formulario; Opciones/Detalle; GET /documents/{external_id}/download-pdf/{format}</x:v>
      </x:c>
    </x:row>
    <x:row r="296" ht="56" customHeight="1">
      <x:c r="A296" s="13" t="str">
        <x:v>QA-PDF-011</x:v>
      </x:c>
      <x:c r="B296" s="13" t="str">
        <x:v>Respuesta de negocio PDF inválida</x:v>
      </x:c>
      <x:c r="C296" s="13" t="str">
        <x:v>Factura digital confirmada; A4 HKA original; multipágina y URL consulta; plantillas locales ticket; simulación de archivos dañados.
HTTP2xx con código distinto 200, validaciones o archivo vacío</x:v>
      </x:c>
      <x:c r="D296" s="13" t="str">
        <x:v>1. Descargar por cada variante
2. Leer error
3. Comparar venta/emisión</x:v>
      </x:c>
      <x:c r="E296" s="13" t="str">
        <x:v>HTTP exitoso no suficiente; fallo PDF no degrada confirmación ni venta, habilita reintentos de descarga.</x:v>
      </x:c>
      <x:c r="F296" s="13" t="str">
        <x:v>Fuentes: app/Services/Fiscal/HkaPdf.php; app/Services/Fiscal/HkaPdfStore.php; app/Services/Fiscal/HkaA5Pdf.php; app/Services/Fiscal/HkaTicketPdf.php; .codex/skills/distribuir-documentos-hka/SKILL.md
Entrada: Vista previa formulario; Opciones/Detalle; GET /documents/{external_id}/download-pdf/{format}</x:v>
      </x:c>
    </x:row>
    <x:row r="297" ht="56" customHeight="1">
      <x:c r="A297" s="13" t="str">
        <x:v>QA-PDF-012</x:v>
      </x:c>
      <x:c r="B297" s="13" t="str">
        <x:v>Límite y apertura del PDF</x:v>
      </x:c>
      <x:c r="C297" s="13" t="str">
        <x:v>Factura digital confirmada; A4 HKA original; multipágina y URL consulta; plantillas locales ticket; simulación de archivos dañados.
Base 64&gt;40 Mi B o PDF sin páginas legibles</x:v>
      </x:c>
      <x:c r="D297" s="13" t="str">
        <x:v>1. Descargar por doble
2. Leer error
3. Verificar almacenamiento</x:v>
      </x:c>
      <x:c r="E297" s="13" t="str">
        <x:v>Límite de la cadena y apertura FPDI impiden archivo inválido. No duplicar emisión para recuperarlo.</x:v>
      </x:c>
      <x:c r="F297" s="13" t="str">
        <x:v>Fuentes: app/Services/Fiscal/HkaPdf.php; app/Services/Fiscal/HkaPdfStore.php; app/Services/Fiscal/HkaA5Pdf.php; app/Services/Fiscal/HkaTicketPdf.php; .codex/skills/distribuir-documentos-hka/SKILL.md
Entrada: Vista previa formulario; Opciones/Detalle; GET /documents/{external_id}/download-pdf/{format}</x:v>
      </x:c>
    </x:row>
    <x:row r="298" ht="56" customHeight="1">
      <x:c r="A298" s="13" t="str">
        <x:v>QA-PDF-013</x:v>
      </x:c>
      <x:c r="B298" s="13" t="str">
        <x:v>Reutilizar y recuperar copia privada</x:v>
      </x:c>
      <x:c r="C298" s="13" t="str">
        <x:v>Factura digital confirmada; A4 HKA original; multipágina y URL consulta; plantillas locales ticket; simulación de archivos dañados.
A4 HKA guardado, copia ausente y corrupta</x:v>
      </x:c>
      <x:c r="D298" s="13" t="str">
        <x:v>1. Descargar válida y contar HTTP
2. Quitar/dañar sólo copia fixture
3. Descargar de nuevo</x:v>
      </x:c>
      <x:c r="E298" s="13" t="str">
        <x:v>Copia válida reutilizada; ausente/dañada recuperada y escrita atómicamente. Copias locales antiguas no sustituyen original.</x:v>
      </x:c>
      <x:c r="F298" s="13" t="str">
        <x:v>Fuentes: app/Services/Fiscal/HkaPdf.php; app/Services/Fiscal/HkaPdfStore.php; app/Services/Fiscal/HkaA5Pdf.php; app/Services/Fiscal/HkaTicketPdf.php; .codex/skills/distribuir-documentos-hka/SKILL.md
Entrada: Vista previa formulario; Opciones/Detalle; GET /documents/{external_id}/download-pdf/{format}</x:v>
      </x:c>
    </x:row>
    <x:row r="299" ht="56" customHeight="1">
      <x:c r="A299" s="13" t="str">
        <x:v>QA-PDF-014</x:v>
      </x:c>
      <x:c r="B299" s="13" t="str">
        <x:v>Descargas simultáneas</x:v>
      </x:c>
      <x:c r="C299" s="13" t="str">
        <x:v>Factura digital confirmada; A4 HKA original; multipágina y URL consulta; plantillas locales ticket; simulación de archivos dañados.
Mismo documento y dos usuarios autorizados</x:v>
      </x:c>
      <x:c r="D299" s="13" t="str">
        <x:v>1. Pe dir A4/A5 concurrentemente
2. Abrir ambos PDF
3. Buscar archivos parciales</x:v>
      </x:c>
      <x:c r="E299" s="13" t="str">
        <x:v>Bytes válidos y rutas por operación/formato; no archivos incompletos ni cruzados.</x:v>
      </x:c>
      <x:c r="F299" s="13" t="str">
        <x:v>Fuentes: app/Services/Fiscal/HkaPdf.php; app/Services/Fiscal/HkaPdfStore.php; app/Services/Fiscal/HkaA5Pdf.php; app/Services/Fiscal/HkaTicketPdf.php; .codex/skills/distribuir-documentos-hka/SKILL.md
Entrada: Vista previa formulario; Opciones/Detalle; GET /documents/{external_id}/download-pdf/{format}</x:v>
      </x:c>
    </x:row>
    <x:row r="300" ht="56" customHeight="1">
      <x:c r="A300" s="13" t="str">
        <x:v>QA-PDF-015</x:v>
      </x:c>
      <x:c r="B300" s="13" t="str">
        <x:v>Nombres visibles y serie vacía</x:v>
      </x:c>
      <x:c r="C300" s="13" t="str">
        <x:v>Factura digital confirmada; A4 HKA original; multipágina y URL consulta; plantillas locales ticket; simulación de archivos dañados.
Facturas número 25 con/sin serie y serie con guiones</x:v>
      </x:c>
      <x:c r="D300" s="13" t="str">
        <x:v>1. Descargara4/a5/ticket
2. Leer Content-Disposition
3. Comparar clave privada</x:v>
      </x:c>
      <x:c r="E300" s="13" t="str">
        <x:v>Nombre visible con 00000025, sin SIN_SERIE_Sid/markers; ticket agrega 80 mm. El filename visible no autoriza lectura ni reemplaza identidad HKA.</x:v>
      </x:c>
      <x:c r="F300" s="13" t="str">
        <x:v>Fuentes: app/Services/Fiscal/HkaPdf.php; app/Services/Fiscal/HkaPdfStore.php; app/Services/Fiscal/HkaA5Pdf.php; app/Services/Fiscal/HkaTicketPdf.php; .codex/skills/distribuir-documentos-hka/SKILL.md
Entrada: Vista previa formulario; Opciones/Detalle; GET /documents/{external_id}/download-pdf/{format}</x:v>
      </x:c>
    </x:row>
    <x:row r="301" ht="56" customHeight="1">
      <x:c r="A301" s="13" t="str">
        <x:v>QA-PDF-016</x:v>
      </x:c>
      <x:c r="B301" s="13" t="str">
        <x:v>Colisión de nombres en ZIP</x:v>
      </x:c>
      <x:c r="C301" s="13" t="str">
        <x:v>Factura digital confirmada; A4 HKA original; multipágina y URL consulta; plantillas locales ticket; simulación de archivos dañados.
Dos sucursales nombres visibles iguales y documents distintos</x:v>
      </x:c>
      <x:c r="D301" s="13" t="str">
        <x:v>1. Ejecutar descarga masiva ZIP permitida
2. Abrir entradas
3. Comparar bytes/identidades</x:v>
      </x:c>
      <x:c r="E301" s="13" t="str">
        <x:v>Se conservan ambos con sufijos(2) etc; ninguna entrada sobrescrita aunque nombres visibles coincidan.</x:v>
      </x:c>
      <x:c r="F301" s="13" t="str">
        <x:v>Fuentes: app/Services/Fiscal/HkaPdf.php; app/Services/Fiscal/HkaPdfStore.php; app/Services/Fiscal/HkaA5Pdf.php; app/Services/Fiscal/HkaTicketPdf.php; .codex/skills/distribuir-documentos-hka/SKILL.md
Entrada: Vista previa formulario; Opciones/Detalle; GET /documents/{external_id}/download-pdf/{format}</x:v>
      </x:c>
    </x:row>
    <x:row r="302" ht="56" customHeight="1">
      <x:c r="A302" s="13" t="str">
        <x:v>QA-PDF-017</x:v>
      </x:c>
      <x:c r="B302" s="13" t="str">
        <x:v>Masiva de digitales y mixtas</x:v>
      </x:c>
      <x:c r="C302" s="13" t="str">
        <x:v>Factura digital confirmada; A4 HKA original; multipágina y URL consulta; plantillas locales ticket; simulación de archivos dañados.
Conjunto autorizado digital y nota venta local</x:v>
      </x:c>
      <x:c r="D302" s="13" t="str">
        <x:v>1. Descargar A4/A5 masivo
2. Revisar todas las páginas
3. Contar páginas por original</x:v>
      </x:c>
      <x:c r="E302" s="13" t="str">
        <x:v>Cada factura digital conserva HKA/conversión A5; comerciales conservan su PDF; notas locales no fingen emisión HKA.</x:v>
      </x:c>
      <x:c r="F302" s="13" t="str">
        <x:v>Fuentes: app/Services/Fiscal/HkaPdf.php; app/Services/Fiscal/HkaPdfStore.php; app/Services/Fiscal/HkaA5Pdf.php; app/Services/Fiscal/HkaTicketPdf.php; .codex/skills/distribuir-documentos-hka/SKILL.md
Entrada: Vista previa formulario; Opciones/Detalle; GET /documents/{external_id}/download-pdf/{format}</x:v>
      </x:c>
    </x:row>
    <x:row r="303" ht="56" customHeight="1">
      <x:c r="A303" s="13" t="str">
        <x:v>QA-PDF-018</x:v>
      </x:c>
      <x:c r="B303" s="13" t="str">
        <x:v>Masiva falla completa</x:v>
      </x:c>
      <x:c r="C303" s="13" t="str">
        <x:v>Factura digital confirmada; A4 HKA original; multipágina y URL consulta; plantillas locales ticket; simulación de archivos dañados.
Un archivo del conjunto inválido</x:v>
      </x:c>
      <x:c r="D303" s="13" t="str">
        <x:v>1. Descargar con doble respuesta fallida
2. Leer error
3. Buscar PDF parcial/oficial alterno</x:v>
      </x:c>
      <x:c r="E303" s="13" t="str">
        <x:v>Conjunto falla sin fallback local ni archivo que aparente ser completo.</x:v>
      </x:c>
      <x:c r="F303" s="13" t="str">
        <x:v>Fuentes: app/Services/Fiscal/HkaPdf.php; app/Services/Fiscal/HkaPdfStore.php; app/Services/Fiscal/HkaA5Pdf.php; app/Services/Fiscal/HkaTicketPdf.php; .codex/skills/distribuir-documentos-hka/SKILL.md
Entrada: Vista previa formulario; Opciones/Detalle; GET /documents/{external_id}/download-pdf/{format}</x:v>
      </x:c>
    </x:row>
    <x:row r="304" ht="56" customHeight="1">
      <x:c r="A304" s="13" t="str">
        <x:v>QA-PDF-019</x:v>
      </x:c>
      <x:c r="B304" s="13" t="str">
        <x:v>Impresión automática tras confirmar</x:v>
      </x:c>
      <x:c r="C304" s="13" t="str">
        <x:v>Factura digital confirmada; A4 HKA original; multipágina y URL consulta; plantillas locales ticket; simulación de archivos dañados.
Preferencia auto impresión y doble de impresora QA</x:v>
      </x:c>
      <x:c r="D304" s="13" t="str">
        <x:v>1. Guardar factura y retrasar confirmación
2. Contar órdenes antes/después
3. Simular fallo de impresora</x:v>
      </x:c>
      <x:c r="E304" s="13" t="str">
        <x:v>Espera confirmación antes de original fiscal; fallo impresión no anula venta/emisión. Registrar impresión física sólo si se ejecutó.</x:v>
      </x:c>
      <x:c r="F304" s="13" t="str">
        <x:v>Fuentes: app/Services/Fiscal/HkaPdf.php; app/Services/Fiscal/HkaPdfStore.php; app/Services/Fiscal/HkaA5Pdf.php; app/Services/Fiscal/HkaTicketPdf.php; .codex/skills/distribuir-documentos-hka/SKILL.md
Entrada: Vista previa formulario; Opciones/Detalle; GET /documents/{external_id}/download-pdf/{format}</x:v>
      </x:c>
    </x:row>
    <x:row r="305" ht="56" customHeight="1">
      <x:c r="A305" s="13" t="str">
        <x:v>QA-PDF-020</x:v>
      </x:c>
      <x:c r="B305" s="13" t="str">
        <x:v>Impresión manual y QZ</x:v>
      </x:c>
      <x:c r="C305" s="13" t="str">
        <x:v>Factura digital confirmada; A4 HKA original; multipágina y URL consulta; plantillas locales ticket; simulación de archivos dañados.
Impresora QA/QZ configurado</x:v>
      </x:c>
      <x:c r="D305" s="13" t="str">
        <x:v>1. Imprimir formato disponible
2. Simular QZ ausente/desconectado
3. Leer reintento y material enviado</x:v>
      </x:c>
      <x:c r="E305" s="13" t="str">
        <x:v>Formato/identidad correctos; error dispone recuperación sin otra emisión. Clave privada QZ nunca enviada al navegador.</x:v>
      </x:c>
      <x:c r="F305" s="13" t="str">
        <x:v>Fuentes: app/Services/Fiscal/HkaPdf.php; app/Services/Fiscal/HkaPdfStore.php; app/Services/Fiscal/HkaA5Pdf.php; app/Services/Fiscal/HkaTicketPdf.php; .codex/skills/distribuir-documentos-hka/SKILL.md
Entrada: Vista previa formulario; Opciones/Detalle; GET /documents/{external_id}/download-pdf/{format}</x:v>
      </x:c>
    </x:row>
    <x:row r="306" ht="56" customHeight="1">
      <x:c r="A306" s="13" t="str">
        <x:v>QA-PDF-021</x:v>
      </x:c>
      <x:c r="B306" s="13" t="str">
        <x:v>Accesos a PDF por cada entrada</x:v>
      </x:c>
      <x:c r="C306" s="13" t="str">
        <x:v>Factura digital confirmada; A4 HKA original; multipágina y URL consulta; plantillas locales ticket; simulación de archivos dañados.
Web/listado/POS/Garage/Finanzas/API/Mobile App</x:v>
      </x:c>
      <x:c r="D306" s="13" t="str">
        <x:v>1. Abrir documento en cada entrada
2. Descargar explícitamentea4/a5/ticket
3. Registrar request/evidencia individual</x:v>
      </x:c>
      <x:c r="E306" s="13" t="str">
        <x:v>Todas las entradas usan servicio autorizado y DTO pdf_downloads; provider local ticket no es permiso para PDF genérico.</x:v>
      </x:c>
      <x:c r="F306" s="13" t="str">
        <x:v>Fuentes: app/Services/Fiscal/HkaPdf.php; app/Services/Fiscal/HkaPdfStore.php; app/Services/Fiscal/HkaA5Pdf.php; app/Services/Fiscal/HkaTicketPdf.php; .codex/skills/distribuir-documentos-hka/SKILL.md
Entrada: Vista previa formulario; Opciones/Detalle; GET /documents/{external_id}/download-pdf/{format}</x:v>
      </x:c>
    </x:row>
    <x:row r="307" ht="56" customHeight="1">
      <x:c r="A307" s="13" t="str">
        <x:v>QA-PDF-022</x:v>
      </x:c>
      <x:c r="B307" s="13" t="str">
        <x:v>Sin ID o carga incompleta</x:v>
      </x:c>
      <x:c r="C307" s="13" t="str">
        <x:v>Factura digital confirmada; A4 HKA original; multipágina y URL consulta; plantillas locales ticket; simulación de archivos dañados.
Diálogo antes de form.id y respuesta retrasada</x:v>
      </x:c>
      <x:c r="D307" s="13" t="str">
        <x:v>1. Intentar impresión/descarga temprano
2. Cambiar documento
3. Leer red</x:v>
      </x:c>
      <x:c r="E307" s="13" t="str">
        <x:v>Botones bloqueados y ninguna URL/print/document/null; respuestas ajenas descartadas.</x:v>
      </x:c>
      <x:c r="F307" s="13" t="str">
        <x:v>Fuentes: app/Services/Fiscal/HkaPdf.php; app/Services/Fiscal/HkaPdfStore.php; app/Services/Fiscal/HkaA5Pdf.php; app/Services/Fiscal/HkaTicketPdf.php; .codex/skills/distribuir-documentos-hka/SKILL.md
Entrada: Vista previa formulario; Opciones/Detalle; GET /documents/{external_id}/download-pdf/{format}</x:v>
      </x:c>
    </x:row>
    <x:row r="308" ht="56" customHeight="1">
      <x:c r="A308" s="13" t="str">
        <x:v>QA-PDF-023</x:v>
      </x:c>
      <x:c r="B308" s="13" t="str">
        <x:v>Cabeceras y permisos PDF</x:v>
      </x:c>
      <x:c r="C308" s="13" t="str">
        <x:v>Factura digital confirmada; A4 HKA original; multipágina y URL consulta; plantillas locales ticket; simulación de archivos dañados.
Documento autorizado y otro tenant/sucursal</x:v>
      </x:c>
      <x:c r="D308" s="13" t="str">
        <x:v>1. Descargar legítimo
2. Probar visitante/token ajeno
3. Leer headers</x:v>
      </x:c>
      <x:c r="E308" s="13" t="str">
        <x:v>application/pdf, attachment, private/no-store/nosniff; autorización tenant/sucursal antes de HKA/render incluso ticket local.</x:v>
      </x:c>
      <x:c r="F308" s="13" t="str">
        <x:v>Fuentes: app/Services/Fiscal/HkaPdf.php; app/Services/Fiscal/HkaPdfStore.php; app/Services/Fiscal/HkaA5Pdf.php; app/Services/Fiscal/HkaTicketPdf.php; .codex/skills/distribuir-documentos-hka/SKILL.md
Entrada: Vista previa formulario; Opciones/Detalle; GET /documents/{external_id}/download-pdf/{format}</x:v>
      </x:c>
    </x:row>
    <x:row r="309" ht="56" customHeight="1">
      <x:c r="A309" s="13" t="str">
        <x:v>QA-PDF-024</x:v>
      </x:c>
      <x:c r="B309" s="13" t="str">
        <x:v>Cambios de catálogo no reescriben original</x:v>
      </x:c>
      <x:c r="C309" s="13" t="str">
        <x:v>Factura digital confirmada; A4 HKA original; multipágina y URL consulta; plantillas locales ticket; simulación de archivos dañados.
Factura confirmada A4 guardado</x:v>
      </x:c>
      <x:c r="D309" s="13" t="str">
        <x:v>1. Cambiar contacto/logo/tasa ficha actual
2. Descargar otra vez
3. Comparar SHA 256</x:v>
      </x:c>
      <x:c r="E309" s="13" t="str">
        <x:v>Original A4 emitido conserva bytes; no reemitir para rellenar contactos ni corregir PDF del proveedor.</x:v>
      </x:c>
      <x:c r="F309" s="13" t="str">
        <x:v>Fuentes: app/Services/Fiscal/HkaPdf.php; app/Services/Fiscal/HkaPdfStore.php; app/Services/Fiscal/HkaA5Pdf.php; app/Services/Fiscal/HkaTicketPdf.php; .codex/skills/distribuir-documentos-hka/SKILL.md
Entrada: Vista previa formulario; Opciones/Detalle; GET /documents/{external_id}/download-pdf/{format}</x:v>
      </x:c>
    </x:row>
    <x:row r="310" ht="56" customHeight="1">
      <x:c r="A310" s="13" t="str">
        <x:v>QA-PDF-025</x:v>
      </x:c>
      <x:c r="B310" s="13" t="str">
        <x:v>Plantillas de ticket y documentos extensos</x:v>
      </x:c>
      <x:c r="C310" s="13" t="str">
        <x:v>Factura digital confirmada; A4 HKA original; multipágina y URL consulta; plantillas locales ticket; simulación de archivos dañados.
Todas las plantillas de ticket configurables activas</x:v>
      </x:c>
      <x:c r="D310" s="13" t="str">
        <x:v>1. Ejecutar caso por plantilla contexto/200 líneas QAy pagos
2. Renderizar cada PDF
3. Revisar QR pie encabezados</x:v>
      </x:c>
      <x:c r="E310" s="13" t="str">
        <x:v>No cortes/superposiciones/duplicación QR; QR no sobrescribe plantilla 80MM. Cantidad 200 es volumen QA, no límite funcional asumido.</x:v>
      </x:c>
      <x:c r="F310" s="13" t="str">
        <x:v>Fuentes: app/Services/Fiscal/HkaPdf.php; app/Services/Fiscal/HkaPdfStore.php; app/Services/Fiscal/HkaA5Pdf.php; app/Services/Fiscal/HkaTicketPdf.php; .codex/skills/distribuir-documentos-hka/SKILL.md
Entrada: Vista previa formulario; Opciones/Detalle; GET /documents/{external_id}/download-pdf/{format}</x:v>
      </x:c>
    </x:row>
    <x:row r="311" ht="56" customHeight="1">
      <x:c r="A311" s="13" t="str">
        <x:v>QA-COR-001</x:v>
      </x:c>
      <x:c r="B311" s="13" t="str">
        <x:v>Solicitud manual de correo HKA</x:v>
      </x:c>
      <x:c r="C311" s="13" t="str">
        <x:v>Factura confirmed digital/demo; destinatarios QA controlados o doble; UUID request_id; no enviar a contactos históricos.
Factura confirmed y correo válido QA</x:v>
      </x:c>
      <x:c r="D311" s="13" t="str">
        <x:v>1. Enviar desde Opciones web/listado
2. Leer email_delivery
3. Comparar estado fiscal/caja</x:v>
      </x:c>
      <x:c r="E311" s="13" t="str">
        <x:v>Solicitud aceptada por HKA no implica Entregado; factura/pagos/stock/control conservados. No fallback SMTP.</x:v>
      </x:c>
      <x:c r="F311" s="13" t="str">
        <x:v>Fuentes: app/Services/Fiscal/HkaMail.php; resources/js/mixins/document-email.js; resources/js/views/tenant/documents/partials/options.vue; resources/js/views/tenant/pos/partials/options.vue
Entrada: POST /documents/email; query-hka-email; Opciones web/listado/POS/Garage</x:v>
      </x:c>
    </x:row>
    <x:row r="312" ht="56" customHeight="1">
      <x:c r="A312" s="13" t="str">
        <x:v>QA-COR-002</x:v>
      </x:c>
      <x:c r="B312" s="13" t="str">
        <x:v>Correo desde POS y Garage</x:v>
      </x:c>
      <x:c r="C312" s="13" t="str">
        <x:v>Factura confirmed digital/demo; destinatarios QA controlados o doble; UUID request_id; no enviar a contactos históricos.
Facturas confirmed de ambos canales</x:v>
      </x:c>
      <x:c r="D312" s="13" t="str">
        <x:v>1. Abrir cada Opciones
2. Enviar con UUID propio
3. Contar llamadas y resultado individual</x:v>
      </x:c>
      <x:c r="E312" s="13" t="str">
        <x:v>Ambas entradas usan contrato compartido y cada una se verifica visualmente. Éxito web no acredita envío POS/Garage.</x:v>
      </x:c>
      <x:c r="F312" s="13" t="str">
        <x:v>Fuentes: app/Services/Fiscal/HkaMail.php; resources/js/mixins/document-email.js; resources/js/views/tenant/documents/partials/options.vue; resources/js/views/tenant/pos/partials/options.vue
Entrada: POST /documents/email; query-hka-email; Opciones web/listado/POS/Garage</x:v>
      </x:c>
    </x:row>
    <x:row r="313" ht="56" customHeight="1">
      <x:c r="A313" s="13" t="str">
        <x:v>QA-COR-003</x:v>
      </x:c>
      <x:c r="B313" s="13" t="str">
        <x:v>Correo bloqueado sin confirmar</x:v>
      </x:c>
      <x:c r="C313" s="13" t="str">
        <x:v>Factura confirmed digital/demo; destinatarios QA controlados o doble; UUID request_id; no enviar a contactos históricos.
Factura digital prepared / rejected / pending / uncertain</x:v>
      </x:c>
      <x:c r="D313" s="13" t="str">
        <x:v>1. Intentar enviar en cada estado
2. Repetir POST directo
3. Leer diagnóstico</x:v>
      </x:c>
      <x:c r="E313" s="13" t="str">
        <x:v>Se exige confirmed /control/vigencia/contexto; no mensaje exitoso ni SMTP alternativo.</x:v>
      </x:c>
      <x:c r="F313" s="13" t="str">
        <x:v>Fuentes: app/Services/Fiscal/HkaMail.php; resources/js/mixins/document-email.js; resources/js/views/tenant/documents/partials/options.vue; resources/js/views/tenant/pos/partials/options.vue
Entrada: POST /documents/email; query-hka-email; Opciones web/listado/POS/Garage</x:v>
      </x:c>
    </x:row>
    <x:row r="314" ht="56" customHeight="1">
      <x:c r="A314" s="13" t="str">
        <x:v>QA-COR-004</x:v>
      </x:c>
      <x:c r="B314" s="13" t="str">
        <x:v>Destinatarios inválidos</x:v>
      </x:c>
      <x:c r="C314" s="13" t="str">
        <x:v>Factura confirmed digital/demo; destinatarios QA controlados o doble; UUID request_id; no enviar a contactos históricos.
Factura elegible y correos malformados</x:v>
      </x:c>
      <x:c r="D314" s="13" t="str">
        <x:v>1. Enviar vacío,malformado,lista con inválido y exceso según request
2. Leer errores planos/en errors
3. Verificar botón</x:v>
      </x:c>
      <x:c r="E314" s="13" t="str">
        <x:v>Validación en campo y otros errores visibles; se libera estado ocupado sin perder documento ni generar correos inválidos.</x:v>
      </x:c>
      <x:c r="F314" s="13" t="str">
        <x:v>Fuentes: app/Services/Fiscal/HkaMail.php; resources/js/mixins/document-email.js; resources/js/views/tenant/documents/partials/options.vue; resources/js/views/tenant/pos/partials/options.vue
Entrada: POST /documents/email; query-hka-email; Opciones web/listado/POS/Garage</x:v>
      </x:c>
    </x:row>
    <x:row r="315" ht="56" customHeight="1">
      <x:c r="A315" s="13" t="str">
        <x:v>QA-COR-005</x:v>
      </x:c>
      <x:c r="B315" s="13" t="str">
        <x:v>UUID y doble clic de correo</x:v>
      </x:c>
      <x:c r="C315" s="13" t="str">
        <x:v>Factura confirmed digital/demo; destinatarios QA controlados o doble; UUID request_id; no enviar a contactos históricos.
Solicitud K destinatarios D</x:v>
      </x:c>
      <x:c r="D315" s="13" t="str">
        <x:v>1. Hacer doble clic y repetir K/D
2. Reutilizar K con destinatario distinto
3. Leer contador</x:v>
      </x:c>
      <x:c r="E315" s="13" t="str">
        <x:v>Una solicitud lógica; clave con otros destinatarios rechazada; perder respuesta conserva UUID.</x:v>
      </x:c>
      <x:c r="F315" s="13" t="str">
        <x:v>Fuentes: app/Services/Fiscal/HkaMail.php; resources/js/mixins/document-email.js; resources/js/views/tenant/documents/partials/options.vue; resources/js/views/tenant/pos/partials/options.vue
Entrada: POST /documents/email; query-hka-email; Opciones web/listado/POS/Garage</x:v>
      </x:c>
    </x:row>
    <x:row r="316" ht="56" customHeight="1">
      <x:c r="A316" s="13" t="str">
        <x:v>QA-COR-006</x:v>
      </x:c>
      <x:c r="B316" s="13" t="str">
        <x:v>Reenvío explícito</x:v>
      </x:c>
      <x:c r="C316" s="13" t="str">
        <x:v>Factura confirmed digital/demo; destinatarios QA controlados o doble; UUID request_id; no enviar a contactos históricos.
Solicitud previa aceptada</x:v>
      </x:c>
      <x:c r="D316" s="13" t="str">
        <x:v>1. Intentar envío de nuevo sin resend
2. Usar Enviar de nuevo con UUID nuevo
3. Leer intentos</x:v>
      </x:c>
      <x:c r="E316" s="13" t="str">
        <x:v>Otro envío requiere acción explícita; historia de intentos/distintos UUIDs auditable y no duplicado por refresh.</x:v>
      </x:c>
      <x:c r="F316" s="13" t="str">
        <x:v>Fuentes: app/Services/Fiscal/HkaMail.php; resources/js/mixins/document-email.js; resources/js/views/tenant/documents/partials/options.vue; resources/js/views/tenant/pos/partials/options.vue
Entrada: POST /documents/email; query-hka-email; Opciones web/listado/POS/Garage</x:v>
      </x:c>
    </x:row>
    <x:row r="317" ht="56" customHeight="1">
      <x:c r="A317" s="13" t="str">
        <x:v>QA-COR-007</x:v>
      </x:c>
      <x:c r="B317" s="13" t="str">
        <x:v>Rechazo definitivo de correo</x:v>
      </x:c>
      <x:c r="C317" s="13" t="str">
        <x:v>Factura confirmed digital/demo; destinatarios QA controlados o doble; UUID request_id; no enviar a contactos históricos.
Doble Correo/Enviar con rechazo</x:v>
      </x:c>
      <x:c r="D317" s="13" t="str">
        <x:v>1. Enviar
2. Leer estado y limitaciones
3. Intentar nuevo envío permitido</x:v>
      </x:c>
      <x:c r="E317" s="13" t="str">
        <x:v>Correo rechazado independiente del fiscal confirmed; diagnóstico saneado y acciones coherentes.</x:v>
      </x:c>
      <x:c r="F317" s="13" t="str">
        <x:v>Fuentes: app/Services/Fiscal/HkaMail.php; resources/js/mixins/document-email.js; resources/js/views/tenant/documents/partials/options.vue; resources/js/views/tenant/pos/partials/options.vue
Entrada: POST /documents/email; query-hka-email; Opciones web/listado/POS/Garage</x:v>
      </x:c>
    </x:row>
    <x:row r="318" ht="56" customHeight="1">
      <x:c r="A318" s="13" t="str">
        <x:v>QA-COR-008</x:v>
      </x:c>
      <x:c r="B318" s="13" t="str">
        <x:v>Timeout de correo</x:v>
      </x:c>
      <x:c r="C318" s="13" t="str">
        <x:v>Factura confirmed digital/demo; destinatarios QA controlados o doble; UUID request_id; no enviar a contactos históricos.
Doble posiblemente recibió correo</x:v>
      </x:c>
      <x:c r="D318" s="13" t="str">
        <x:v>1. Enviar y perder respuesta
2. Leer Por verificar
3. Intentar reenvío inmediato</x:v>
      </x:c>
      <x:c r="E318" s="13" t="str">
        <x:v>No reenvío automático ni otra UUID por incertidumbre; factura permanece confirmada.</x:v>
      </x:c>
      <x:c r="F318" s="13" t="str">
        <x:v>Fuentes: app/Services/Fiscal/HkaMail.php; resources/js/mixins/document-email.js; resources/js/views/tenant/documents/partials/options.vue; resources/js/views/tenant/pos/partials/options.vue
Entrada: POST /documents/email; query-hka-email; Opciones web/listado/POS/Garage</x:v>
      </x:c>
    </x:row>
    <x:row r="319" ht="56" customHeight="1">
      <x:c r="A319" s="13" t="str">
        <x:v>QA-COR-009</x:v>
      </x:c>
      <x:c r="B319" s="13" t="str">
        <x:v>Recuperación pending 50 segundos</x:v>
      </x:c>
      <x:c r="C319" s="13" t="str">
        <x:v>Factura confirmed digital/demo; destinatarios QA controlados o doble; UUID request_id; no enviar a contactos históricos.
Intento correo interrumpido</x:v>
      </x:c>
      <x:c r="D319" s="13" t="str">
        <x:v>1. Consultar antes de 50 s
2. Avanzar reloj y consultar
3. Leer estado/contador</x:v>
      </x:c>
      <x:c r="E319" s="13" t="str">
        <x:v>Recuperación no prematura; umbral 50 s y reglas de atribución respetados.</x:v>
      </x:c>
      <x:c r="F319" s="13" t="str">
        <x:v>Fuentes: app/Services/Fiscal/HkaMail.php; resources/js/mixins/document-email.js; resources/js/views/tenant/documents/partials/options.vue; resources/js/views/tenant/pos/partials/options.vue
Entrada: POST /documents/email; query-hka-email; Opciones web/listado/POS/Garage</x:v>
      </x:c>
    </x:row>
    <x:row r="320" ht="56" customHeight="1">
      <x:c r="A320" s="13" t="str">
        <x:v>QA-COR-010</x:v>
      </x:c>
      <x:c r="B320" s="13" t="str">
        <x:v>Rastreo por destinatario eintento</x:v>
      </x:c>
      <x:c r="C320" s="13" t="str">
        <x:v>Factura confirmed digital/demo; destinatarios QA controlados o doble; UUID request_id; no enviar a contactos históricos.
Eventos actuales y messageId previo</x:v>
      </x:c>
      <x:c r="D320" s="13" t="str">
        <x:v>1. Consultar Correo/Rastreo
2. Inyectar evento antiguo/ajeno
3. Comparar destinatarios</x:v>
      </x:c>
      <x:c r="E320" s="13" t="str">
        <x:v>Sólo eventos atribuibles al intento; email distinto/ messageId antiguo no confirma entrega de nuevo envío.</x:v>
      </x:c>
      <x:c r="F320" s="13" t="str">
        <x:v>Fuentes: app/Services/Fiscal/HkaMail.php; resources/js/mixins/document-email.js; resources/js/views/tenant/documents/partials/options.vue; resources/js/views/tenant/pos/partials/options.vue
Entrada: POST /documents/email; query-hka-email; Opciones web/listado/POS/Garage</x:v>
      </x:c>
    </x:row>
    <x:row r="321" ht="56" customHeight="1">
      <x:c r="A321" s="13" t="str">
        <x:v>QA-COR-011</x:v>
      </x:c>
      <x:c r="B321" s="13" t="str">
        <x:v>Rastreo vacío no acredita entrega</x:v>
      </x:c>
      <x:c r="C321" s="13" t="str">
        <x:v>Factura confirmed digital/demo; destinatarios QA controlados o doble; UUID request_id; no enviar a contactos históricos.
Doble devuelve rastreo vacío/no atribuible</x:v>
      </x:c>
      <x:c r="D321" s="13" t="str">
        <x:v>1. Consultar
2. Leer estado/botones
3. Intentar reenviar</x:v>
      </x:c>
      <x:c r="E321" s="13" t="str">
        <x:v>No se declara Entregado ni ausencia por vacío; incertidumbre conservada sin duplicación.</x:v>
      </x:c>
      <x:c r="F321" s="13" t="str">
        <x:v>Fuentes: app/Services/Fiscal/HkaMail.php; resources/js/mixins/document-email.js; resources/js/views/tenant/documents/partials/options.vue; resources/js/views/tenant/pos/partials/options.vue
Entrada: POST /documents/email; query-hka-email; Opciones web/listado/POS/Garage</x:v>
      </x:c>
    </x:row>
    <x:row r="322" ht="56" customHeight="1">
      <x:c r="A322" s="13" t="str">
        <x:v>QA-COR-012</x:v>
      </x:c>
      <x:c r="B322" s="13" t="str">
        <x:v>Correo automático después de confirmar</x:v>
      </x:c>
      <x:c r="C322" s="13" t="str">
        <x:v>Factura confirmed digital/demo; destinatarios QA controlados o doble; UUID request_id; no enviar a contactos históricos.
auto_send_pdf_email true o create action send_email true</x:v>
      </x:c>
      <x:c r="D322" s="13" t="str">
        <x:v>1. Guardar con correo válido
2. Retrasar confirmación y consultar luego
3. Repetir confirmación/POST compatibilidad</x:v>
      </x:c>
      <x:c r="E322" s="13" t="str">
        <x:v>Intención waiting registrada antes del commit; un envío después de confirmed con UUID estable; comprador.notificar No evita notificación duplicada.</x:v>
      </x:c>
      <x:c r="F322" s="13" t="str">
        <x:v>Fuentes: app/Services/Fiscal/HkaMail.php; resources/js/mixins/document-email.js; resources/js/views/tenant/documents/partials/options.vue; resources/js/views/tenant/pos/partials/options.vue
Entrada: POST /documents/email; query-hka-email; Opciones web/listado/POS/Garage</x:v>
      </x:c>
    </x:row>
    <x:row r="323" ht="56" customHeight="1">
      <x:c r="A323" s="13" t="str">
        <x:v>QA-COR-013</x:v>
      </x:c>
      <x:c r="B323" s="13" t="str">
        <x:v>Correo automático sin contacto</x:v>
      </x:c>
      <x:c r="C323" s="13" t="str">
        <x:v>Factura confirmed digital/demo; destinatarios QA controlados o doble; UUID request_id; no enviar a contactos históricos.
Comprador sin email válido</x:v>
      </x:c>
      <x:c r="D323" s="13" t="str">
        <x:v>1. Guardar con autocorreo habilitado
2. Leer intención
3. Consultar confirmación</x:v>
      </x:c>
      <x:c r="E323" s="13" t="str">
        <x:v>Intención skipped con motivo; no inventa destinatario ni falla el guardado por carecer contacto.</x:v>
      </x:c>
      <x:c r="F323" s="13" t="str">
        <x:v>Fuentes: app/Services/Fiscal/HkaMail.php; resources/js/mixins/document-email.js; resources/js/views/tenant/documents/partials/options.vue; resources/js/views/tenant/pos/partials/options.vue
Entrada: POST /documents/email; query-hka-email; Opciones web/listado/POS/Garage</x:v>
      </x:c>
    </x:row>
    <x:row r="324" ht="56" customHeight="1">
      <x:c r="A324" s="13" t="str">
        <x:v>QA-COR-014</x:v>
      </x:c>
      <x:c r="B324" s="13" t="str">
        <x:v>Fallo de correo auto no degrada factura</x:v>
      </x:c>
      <x:c r="C324" s="13" t="str">
        <x:v>Factura confirmed digital/demo; destinatarios QA controlados o doble; UUID request_id; no enviar a contactos históricos.
Emisión correcta y correo fallido</x:v>
      </x:c>
      <x:c r="D324" s="13" t="str">
        <x:v>1. Guardar
2. Leer estado de emisión y correo
3. Descargar PDF</x:v>
      </x:c>
      <x:c r="E324" s="13" t="str">
        <x:v>Fiscal confirmed /venta íntegra; fallo correo no se confunde con rechazo HKA de emisión.</x:v>
      </x:c>
      <x:c r="F324" s="13" t="str">
        <x:v>Fuentes: app/Services/Fiscal/HkaMail.php; resources/js/mixins/document-email.js; resources/js/views/tenant/documents/partials/options.vue; resources/js/views/tenant/pos/partials/options.vue
Entrada: POST /documents/email; query-hka-email; Opciones web/listado/POS/Garage</x:v>
      </x:c>
    </x:row>
    <x:row r="325" ht="56" customHeight="1">
      <x:c r="A325" s="13" t="str">
        <x:v>QA-COR-015</x:v>
      </x:c>
      <x:c r="B325" s="13" t="str">
        <x:v>Abrir/cerrar diálogo y respuesta tardía</x:v>
      </x:c>
      <x:c r="C325" s="13" t="str">
        <x:v>Factura confirmed digital/demo; destinatarios QA controlados o doble; UUID request_id; no enviar a contactos históricos.
Dos facturas y request email retrasado</x:v>
      </x:c>
      <x:c r="D325" s="13" t="str">
        <x:v>1. Enviar Aycerrar
2. Abrir B
3. Completar respuesta A</x:v>
      </x:c>
      <x:c r="E325" s="13" t="str">
        <x:v>No muestra resultado/recipient de A en B; recarga/errores no borran venta y botón libera recursos.</x:v>
      </x:c>
      <x:c r="F325" s="13" t="str">
        <x:v>Fuentes: app/Services/Fiscal/HkaMail.php; resources/js/mixins/document-email.js; resources/js/views/tenant/documents/partials/options.vue; resources/js/views/tenant/pos/partials/options.vue
Entrada: POST /documents/email; query-hka-email; Opciones web/listado/POS/Garage</x:v>
      </x:c>
    </x:row>
    <x:row r="326" ht="56" customHeight="1">
      <x:c r="A326" s="13" t="str">
        <x:v>QA-COR-016</x:v>
      </x:c>
      <x:c r="B326" s="13" t="str">
        <x:v>Configuración opcional y focus</x:v>
      </x:c>
      <x:c r="C326" s="13" t="str">
        <x:v>Factura confirmed digital/demo; destinatarios QA controlados o doble; UUID request_id; no enviar a contactos históricos.
Diálogos montándose y config parcial</x:v>
      </x:c>
      <x:c r="D326" s="13" t="str">
        <x:v>1. Abrir Opciones sin config opcional
2. Enviar con campo montado
3. Probar fallo generación UUID</x:v>
      </x:c>
      <x:c r="E326" s="13" t="str">
        <x:v>Sin error JS por focus/config y UUID fallido desbloquea botón; no otra solicitud sin identidad válida.</x:v>
      </x:c>
      <x:c r="F326" s="13" t="str">
        <x:v>Fuentes: app/Services/Fiscal/HkaMail.php; resources/js/mixins/document-email.js; resources/js/views/tenant/documents/partials/options.vue; resources/js/views/tenant/pos/partials/options.vue
Entrada: POST /documents/email; query-hka-email; Opciones web/listado/POS/Garage</x:v>
      </x:c>
    </x:row>
    <x:row r="327" ht="56" customHeight="1">
      <x:c r="A327" s="13" t="str">
        <x:v>QA-COR-017</x:v>
      </x:c>
      <x:c r="B327" s="13" t="str">
        <x:v>WhatsApp y prefijo venezolano</x:v>
      </x:c>
      <x:c r="C327" s="13" t="str">
        <x:v>Factura confirmed digital/demo; destinatarios QA controlados o doble; UUID request_id; no enviar a contactos históricos.
Integración habilitada con receptor QA/doble</x:v>
      </x:c>
      <x:c r="D327" s="13" t="str">
        <x:v>1. Enviar PDF desde opción existente
2. Probar nacional/internacional validos
3. Verificar URL y formato</x:v>
      </x:c>
      <x:c r="E327" s="13" t="str">
        <x:v>Número+58 normalizado una vez; documento autorizado/archivo real disponible. No enviar contactos reales ni históricos por usarla guía.</x:v>
      </x:c>
      <x:c r="F327" s="13" t="str">
        <x:v>Fuentes: app/Services/Fiscal/HkaMail.php; resources/js/mixins/document-email.js; resources/js/views/tenant/documents/partials/options.vue; resources/js/views/tenant/pos/partials/options.vue
Entrada: POST /documents/email; query-hka-email; Opciones web/listado/POS/Garage</x:v>
      </x:c>
    </x:row>
    <x:row r="328" ht="56" customHeight="1">
      <x:c r="A328" s="13" t="str">
        <x:v>QA-COR-018</x:v>
      </x:c>
      <x:c r="B328" s="13" t="str">
        <x:v>WhatsApp no habilitado/no PDF</x:v>
      </x:c>
      <x:c r="C328" s="13" t="str">
        <x:v>Factura confirmed digital/demo; destinatarios QA controlados o doble; UUID request_id; no enviar a contactos históricos.
Integración desactivada o digital no confirmada</x:v>
      </x:c>
      <x:c r="D328" s="13" t="str">
        <x:v>1. Abrir Opciones
2. Intentar POST directo de envío disponible
3. Leer respuesta</x:v>
      </x:c>
      <x:c r="E328" s="13" t="str">
        <x:v>Opción disponible según contrato; no adjunta PDF falso ni bypass de permisos. Si no existe flujo en modalidad actual, documentar exclusión sustentada.</x:v>
      </x:c>
      <x:c r="F328" s="13" t="str">
        <x:v>Fuentes: app/Services/Fiscal/HkaMail.php; resources/js/mixins/document-email.js; resources/js/views/tenant/documents/partials/options.vue; resources/js/views/tenant/pos/partials/options.vue
Entrada: POST /documents/email; query-hka-email; Opciones web/listado/POS/Garage</x:v>
      </x:c>
    </x:row>
    <x:row r="329" ht="56" customHeight="1">
      <x:c r="A329" s="13" t="str">
        <x:v>QA-COR-019</x:v>
      </x:c>
      <x:c r="B329" s="13" t="str">
        <x:v>Distribución por orden fuera de etapa</x:v>
      </x:c>
      <x:c r="C329" s="13" t="str">
        <x:v>Factura confirmed digital/demo; destinatarios QA controlados o doble; UUID request_id; no enviar a contactos históricos.
Sólo acciones implementadas documentales</x:v>
      </x:c>
      <x:c r="D329" s="13" t="str">
        <x:v>1. Inventariar EnviaOrden / RastreoOrden y UI
2. Intentar uso únicamente con doble si hay ruta
3. Contar HTTP</x:v>
      </x:c>
      <x:c r="E329" s="13" t="str">
        <x:v>No se presume integración por orden consolidada; ausencia de implementación se documenta y no se fabrica resultado de correo del pedido.</x:v>
      </x:c>
      <x:c r="F329" s="13" t="str">
        <x:v>Fuentes: app/Services/Fiscal/HkaMail.php; resources/js/mixins/document-email.js; resources/js/views/tenant/documents/partials/options.vue; resources/js/views/tenant/pos/partials/options.vue
Entrada: POST /documents/email; query-hka-email; Opciones web/listado/POS/Garage</x:v>
      </x:c>
    </x:row>
    <x:row r="330" ht="56" customHeight="1">
      <x:c r="A330" s="13" t="str">
        <x:v>QA-LIS-001</x:v>
      </x:c>
      <x:c r="B330" s="13" t="str">
        <x:v>Listado de todos los tipos presentes</x:v>
      </x:c>
      <x:c r="C330" s="13" t="str">
        <x:v>Facturas de todos los estados, monedas, sucursales/canales; NC/ND y documentos comerciales.
Documentos 01/07/08 en QA</x:v>
      </x:c>
      <x:c r="D330" s="13" t="str">
        <x:v>1. Abrir listado
2. Leer Tipo de documento después de Cliente
3. Alternar visibilidad y recargar</x:v>
      </x:c>
      <x:c r="E330" s="13" t="str">
        <x:v>Cada tipo se identifica por descripción real; columna configurable sin confundir NC/ND con Factura.</x:v>
      </x:c>
      <x:c r="F330" s="13" t="str">
        <x:v>Fuentes: resources/js/views/tenant/documents/index.vue; resources/js/views/tenant/documents/partials/detail-drawer.vue; resources/js/helpers/document-status.js; .codex/skills/mantener-operacion-local-fiscal-pro9/SKILL.md
Entrada: /documents; records/records Total/kpis; detalle y Opciones</x:v>
      </x:c>
    </x:row>
    <x:row r="331" ht="56" customHeight="1">
      <x:c r="A331" s="13" t="str">
        <x:v>QA-LIS-002</x:v>
      </x:c>
      <x:c r="B331" s="13" t="str">
        <x:v>Estados locales y fiscales</x:v>
      </x:c>
      <x:c r="C331" s="13" t="str">
        <x:v>Facturas de todos los estados, monedas, sucursales/canales; NC/ND y documentos comerciales.
Fixtures de estados HKA y estado local</x:v>
      </x:c>
      <x:c r="D331" s="13" t="str">
        <x:v>1. Leer Estado en tabla/detalle
2. Abrir popup
3. Comparar con persistencia</x:v>
      </x:c>
      <x:c r="E331" s="13" t="str">
        <x:v>Sin solicitar/Preparado/Enviando/Confirmado/Rechazado/Por conciliar/Cancelado coherentes; color y motivo no convierten guardado local en aceptación.</x:v>
      </x:c>
      <x:c r="F331" s="13" t="str">
        <x:v>Fuentes: resources/js/views/tenant/documents/index.vue; resources/js/views/tenant/documents/partials/detail-drawer.vue; resources/js/helpers/document-status.js; .codex/skills/mantener-operacion-local-fiscal-pro9/SKILL.md
Entrada: /documents; records/records Total/kpis; detalle y Opciones</x:v>
      </x:c>
    </x:row>
    <x:row r="332" ht="56" customHeight="1">
      <x:c r="A332" s="13" t="str">
        <x:v>QA-LIS-003</x:v>
      </x:c>
      <x:c r="B332" s="13" t="str">
        <x:v>Prioridad de anulación/rechazo local</x:v>
      </x:c>
      <x:c r="C332" s="13" t="str">
        <x:v>Facturas de todos los estados, monedas, sucursales/canales; NC/ND y documentos comerciales.
Confirmed previo más estado 09/11/13 en fixtures separados</x:v>
      </x:c>
      <x:c r="D332" s="13" t="str">
        <x:v>1. Recargar tabla y detalle
2. Abrir popup
3. Comparar resultado fiscal anterior</x:v>
      </x:c>
      <x:c r="E332" s="13" t="str">
        <x:v>Rechazado local/Anulado/Por anular tienen prioridad visual. No se reutiliza diagnóstico de confirmación como rechazo local.</x:v>
      </x:c>
      <x:c r="F332" s="13" t="str">
        <x:v>Fuentes: resources/js/views/tenant/documents/index.vue; resources/js/views/tenant/documents/partials/detail-drawer.vue; resources/js/helpers/document-status.js; .codex/skills/mantener-operacion-local-fiscal-pro9/SKILL.md
Entrada: /documents; records/records Total/kpis; detalle y Opciones</x:v>
      </x:c>
    </x:row>
    <x:row r="333" ht="56" customHeight="1">
      <x:c r="A333" s="13" t="str">
        <x:v>QA-LIS-004</x:v>
      </x:c>
      <x:c r="B333" s="13" t="str">
        <x:v>Control y motivo completos</x:v>
      </x:c>
      <x:c r="C333" s="13" t="str">
        <x:v>Facturas de todos los estados, monedas, sucursales/canales; NC/ND y documentos comerciales.
Control con ceros/prefijo; rechazo sin diagnóstico</x:v>
      </x:c>
      <x:c r="D333" s="13" t="str">
        <x:v>1. Abrir popup de ambos
2. Leer títulos y contenido
3. Buscar control ausente</x:v>
      </x:c>
      <x:c r="E333" s="13" t="str">
        <x:v>N° de control íntegro; Sin asignar si falta; Motivo de rechazo saneado o Motivo de rechazo no disponible; no se ejecuta HTML del diagnóstico.</x:v>
      </x:c>
      <x:c r="F333" s="13" t="str">
        <x:v>Fuentes: resources/js/views/tenant/documents/index.vue; resources/js/views/tenant/documents/partials/detail-drawer.vue; resources/js/helpers/document-status.js; .codex/skills/mantener-operacion-local-fiscal-pro9/SKILL.md
Entrada: /documents; records/records Total/kpis; detalle y Opciones</x:v>
      </x:c>
    </x:row>
    <x:row r="334" ht="56" customHeight="1">
      <x:c r="A334" s="13" t="str">
        <x:v>QA-LIS-005</x:v>
      </x:c>
      <x:c r="B334" s="13" t="str">
        <x:v>Acciones de consulta y envío</x:v>
      </x:c>
      <x:c r="C334" s="13" t="str">
        <x:v>Facturas de todos los estados, monedas, sucursales/canales; NC/ND y documentos comerciales.
can_query / can_send true y false</x:v>
      </x:c>
      <x:c r="D334" s="13" t="str">
        <x:v>1. Abrir detalle/Opciones
2. Ubicar Consultar comprobante a izquierda de PDF y Enviar HKA en Opciones
3. Comparar con permisos</x:v>
      </x:c>
      <x:c r="E334" s="13" t="str">
        <x:v>Botones en entradas vigentes, carga y permisos correctos; no se reinstala columna Estado HKA/ hka_status retirada.</x:v>
      </x:c>
      <x:c r="F334" s="13" t="str">
        <x:v>Fuentes: resources/js/views/tenant/documents/index.vue; resources/js/views/tenant/documents/partials/detail-drawer.vue; resources/js/helpers/document-status.js; .codex/skills/mantener-operacion-local-fiscal-pro9/SKILL.md
Entrada: /documents; records/records Total/kpis; detalle y Opciones</x:v>
      </x:c>
    </x:row>
    <x:row r="335" ht="56" customHeight="1">
      <x:c r="A335" s="13" t="str">
        <x:v>QA-LIS-006</x:v>
      </x:c>
      <x:c r="B335" s="13" t="str">
        <x:v>Columna PDF retirada y menú móvil</x:v>
      </x:c>
      <x:c r="C335" s="13" t="str">
        <x:v>Facturas de todos los estados, monedas, sucursales/canales; NC/ND y documentos comerciales.
Listado desktop/móvil</x:v>
      </x:c>
      <x:c r="D335" s="13" t="str">
        <x:v>1. Abrir personalizador de columnas
2. Leer acciones de fila
3. Abrir PDF desde detalle/Opciones/menú móvil</x:v>
      </x:c>
      <x:c r="E335" s="13" t="str">
        <x:v>Sin columna downloads ni botón PDF directo de tabla; accesos explícitos existentes conservados y autorizados.</x:v>
      </x:c>
      <x:c r="F335" s="13" t="str">
        <x:v>Fuentes: resources/js/views/tenant/documents/index.vue; resources/js/views/tenant/documents/partials/detail-drawer.vue; resources/js/helpers/document-status.js; .codex/skills/mantener-operacion-local-fiscal-pro9/SKILL.md
Entrada: /documents; records/records Total/kpis; detalle y Opciones</x:v>
      </x:c>
    </x:row>
    <x:row r="336" ht="56" customHeight="1">
      <x:c r="A336" s="13" t="str">
        <x:v>QA-LIS-007</x:v>
      </x:c>
      <x:c r="B336" s="13" t="str">
        <x:v>Total permanente y columnas configurables</x:v>
      </x:c>
      <x:c r="C336" s="13" t="str">
        <x:v>Facturas de todos los estados, monedas, sucursales/canales; NC/ND y documentos comerciales.
Personalizador tenant y superadmin</x:v>
      </x:c>
      <x:c r="D336" s="13" t="str">
        <x:v>1. Intentar ocultar o retirar Total por ambas entradas
2. Alternar Tipo de documento e IVA
3. Recargar con preferencias antiguas de columnas retiradas</x:v>
      </x:c>
      <x:c r="E336" s="13" t="str">
        <x:v>Total permanece visible y no desactivable. Tipo de documento es configurable y conserva orden/visibilidad guardados; si no había configuración aparece después de Cliente. IVA se presenta dentro de Total según preferencia; hka_status /downloads se ignoran.</x:v>
      </x:c>
      <x:c r="F336" s="13" t="str">
        <x:v>Fuentes: resources/js/views/tenant/documents/index.vue; resources/js/views/tenant/documents/partials/detail-drawer.vue; resources/js/helpers/document-status.js; .codex/skills/mantener-operacion-local-fiscal-pro9/SKILL.md
Entrada: /documents; records/records Total/kpis; detalle y Opciones</x:v>
      </x:c>
    </x:row>
    <x:row r="337" ht="56" customHeight="1">
      <x:c r="A337" s="13" t="str">
        <x:v>QA-LIS-008</x:v>
      </x:c>
      <x:c r="B337" s="13" t="str">
        <x:v>Filtros por número, serie y cliente</x:v>
      </x:c>
      <x:c r="C337" s="13" t="str">
        <x:v>Facturas de todos los estados, monedas, sucursales/canales; NC/ND y documentos comerciales.
Registros con series vacías/largas/guiones</x:v>
      </x:c>
      <x:c r="D337" s="13" t="str">
        <x:v>1. Buscar referencia mínima y de 8 dígitos
2. Filtrar por serie/cliente
3. Limpiar filtros</x:v>
      </x:c>
      <x:c r="E337" s="13" t="str">
        <x:v>Resultados exactos y autorización de sucursal; referencias con guiones no se separan por primer guion.</x:v>
      </x:c>
      <x:c r="F337" s="13" t="str">
        <x:v>Fuentes: resources/js/views/tenant/documents/index.vue; resources/js/views/tenant/documents/partials/detail-drawer.vue; resources/js/helpers/document-status.js; .codex/skills/mantener-operacion-local-fiscal-pro9/SKILL.md
Entrada: /documents; records/records Total/kpis; detalle y Opciones</x:v>
      </x:c>
    </x:row>
    <x:row r="338" ht="56" customHeight="1">
      <x:c r="A338" s="13" t="str">
        <x:v>QA-LIS-009</x:v>
      </x:c>
      <x:c r="B338" s="13" t="str">
        <x:v>Filtros por fecha, moneda, estado y tipo</x:v>
      </x:c>
      <x:c r="C338" s="13" t="str">
        <x:v>Facturas de todos los estados, monedas, sucursales/canales; NC/ND y documentos comerciales.
Fixtures en fechas límites y monedas distintas</x:v>
      </x:c>
      <x:c r="D338" s="13" t="str">
        <x:v>1. Aplicar cada filtro solo y combinado
2. Probar intervalo sin resultados
3. Comparar records Total/kpis</x:v>
      </x:c>
      <x:c r="E338" s="13" t="str">
        <x:v>Tabla, paginación, totales y KPI corresponden a la misma población; importes no suman USD/VES sin conversión identificable.</x:v>
      </x:c>
      <x:c r="F338" s="13" t="str">
        <x:v>Fuentes: resources/js/views/tenant/documents/index.vue; resources/js/views/tenant/documents/partials/detail-drawer.vue; resources/js/helpers/document-status.js; .codex/skills/mantener-operacion-local-fiscal-pro9/SKILL.md
Entrada: /documents; records/records Total/kpis; detalle y Opciones</x:v>
      </x:c>
    </x:row>
    <x:row r="339" ht="56" customHeight="1">
      <x:c r="A339" s="13" t="str">
        <x:v>QA-LIS-010</x:v>
      </x:c>
      <x:c r="B339" s="13" t="str">
        <x:v>Paginación, orden y selección masiva</x:v>
      </x:c>
      <x:c r="C339" s="13" t="str">
        <x:v>Facturas de todos los estados, monedas, sucursales/canales; NC/ND y documentos comerciales.
Más registros que tamaño de página</x:v>
      </x:c>
      <x:c r="D339" s="13" t="str">
        <x:v>1. Cambiar orden y página
2. Seleccionar filas y cambiar filtro
3. Ejecutar acción permitida sobre selección</x:v>
      </x:c>
      <x:c r="E339" s="13" t="str">
        <x:v>No actúa sobre documentos ocultos/ajenos por selección residual; cantidad y IDs claros.</x:v>
      </x:c>
      <x:c r="F339" s="13" t="str">
        <x:v>Fuentes: resources/js/views/tenant/documents/index.vue; resources/js/views/tenant/documents/partials/detail-drawer.vue; resources/js/helpers/document-status.js; .codex/skills/mantener-operacion-local-fiscal-pro9/SKILL.md
Entrada: /documents; records/records Total/kpis; detalle y Opciones</x:v>
      </x:c>
    </x:row>
    <x:row r="340" ht="56" customHeight="1">
      <x:c r="A340" s="13" t="str">
        <x:v>QA-LIS-011</x:v>
      </x:c>
      <x:c r="B340" s="13" t="str">
        <x:v>Recarga después de acción fiscal</x:v>
      </x:c>
      <x:c r="C340" s="13" t="str">
        <x:v>Facturas de todos los estados, monedas, sucursales/canales; NC/ND y documentos comerciales.
Factura pendiente recuperable</x:v>
      </x:c>
      <x:c r="D340" s="13" t="str">
        <x:v>1. Consultar/enviar por doble
2. Esperar fiscal-updated
3. Leer detalle y tabla sin navegación completa</x:v>
      </x:c>
      <x:c r="E340" s="13" t="str">
        <x:v>Resultado vigente, popup/disponibilidad/estado actualizados; fallo de recarga no revierte una confirmación ya recibida.</x:v>
      </x:c>
      <x:c r="F340" s="13" t="str">
        <x:v>Fuentes: resources/js/views/tenant/documents/index.vue; resources/js/views/tenant/documents/partials/detail-drawer.vue; resources/js/helpers/document-status.js; .codex/skills/mantener-operacion-local-fiscal-pro9/SKILL.md
Entrada: /documents; records/records Total/kpis; detalle y Opciones</x:v>
      </x:c>
    </x:row>
    <x:row r="341" ht="56" customHeight="1">
      <x:c r="A341" s="13" t="str">
        <x:v>QA-LIS-012</x:v>
      </x:c>
      <x:c r="B341" s="13" t="str">
        <x:v>Respuesta tardía en detalle</x:v>
      </x:c>
      <x:c r="C341" s="13" t="str">
        <x:v>Facturas de todos los estados, monedas, sucursales/canales; NC/ND y documentos comerciales.
A/B y request fiscal A retrasado</x:v>
      </x:c>
      <x:c r="D341" s="13" t="str">
        <x:v>1. Consultar A y cerrar/cambiar a B
2. Completar A
3. Leer ambos</x:v>
      </x:c>
      <x:c r="E341" s="13" t="str">
        <x:v>Resultado A no aparece en B; identidad de petición y ventana vigente respeta da.</x:v>
      </x:c>
      <x:c r="F341" s="13" t="str">
        <x:v>Fuentes: resources/js/views/tenant/documents/index.vue; resources/js/views/tenant/documents/partials/detail-drawer.vue; resources/js/helpers/document-status.js; .codex/skills/mantener-operacion-local-fiscal-pro9/SKILL.md
Entrada: /documents; records/records Total/kpis; detalle y Opciones</x:v>
      </x:c>
    </x:row>
    <x:row r="342" ht="56" customHeight="1">
      <x:c r="A342" s="13" t="str">
        <x:v>QA-LIS-013</x:v>
      </x:c>
      <x:c r="B342" s="13" t="str">
        <x:v>Cache por tenant y actualización</x:v>
      </x:c>
      <x:c r="C342" s="13" t="str">
        <x:v>Facturas de todos los estados, monedas, sucursales/canales; NC/ND y documentos comerciales.
QA-A/QA-B con IDs iguales y cache activo</x:v>
      </x:c>
      <x:c r="D342" s="13" t="str">
        <x:v>1. Leer A/B
2. Modificar estado A por doble
3. Releer ambos</x:v>
      </x:c>
      <x:c r="E342" s="13" t="str">
        <x:v>Name spaces/versiones aislados; estado B intacto; cambios A visibles después del commit sin datos cruzados.</x:v>
      </x:c>
      <x:c r="F342" s="13" t="str">
        <x:v>Fuentes: resources/js/views/tenant/documents/index.vue; resources/js/views/tenant/documents/partials/detail-drawer.vue; resources/js/helpers/document-status.js; .codex/skills/mantener-operacion-local-fiscal-pro9/SKILL.md
Entrada: /documents; records/records Total/kpis; detalle y Opciones</x:v>
      </x:c>
    </x:row>
    <x:row r="343" ht="56" customHeight="1">
      <x:c r="A343" s="13" t="str">
        <x:v>QA-LIS-014</x:v>
      </x:c>
      <x:c r="B343" s="13" t="str">
        <x:v>Campos personalizados</x:v>
      </x:c>
      <x:c r="C343" s="13" t="str">
        <x:v>Facturas de todos los estados, monedas, sucursales/canales; NC/ND y documentos comerciales.
Catálogo de texto/número/fecha/select/checkbox activo</x:v>
      </x:c>
      <x:c r="D343" s="13" t="str">
        <x:v>1. Editar cada tipo disponible
2. Guardar/recargar/exportar si soportado
3. Probar HTML e inválidos</x:v>
      </x:c>
      <x:c r="E343" s="13" t="str">
        <x:v>Valores del documento correcto, escape y validación; personalización no modifica totales ni estado fiscal.</x:v>
      </x:c>
      <x:c r="F343" s="13" t="str">
        <x:v>Fuentes: resources/js/views/tenant/documents/index.vue; resources/js/views/tenant/documents/partials/detail-drawer.vue; resources/js/helpers/document-status.js; .codex/skills/mantener-operacion-local-fiscal-pro9/SKILL.md
Entrada: /documents; records/records Total/kpis; detalle y Opciones</x:v>
      </x:c>
    </x:row>
    <x:row r="344" ht="56" customHeight="1">
      <x:c r="A344" s="13" t="str">
        <x:v>QA-LIS-015</x:v>
      </x:c>
      <x:c r="B344" s="13" t="str">
        <x:v>Responsividad y teclado</x:v>
      </x:c>
      <x:c r="C344" s="13" t="str">
        <x:v>Facturas de todos los estados, monedas, sucursales/canales; NC/ND y documentos comerciales.
Resoluciones 360/768/1440 y zoom 200 %</x:v>
      </x:c>
      <x:c r="D344" s="13" t="str">
        <x:v>1. Abrir listado/formulario/detalle
2. Usar Tab/Enter/Escape en controles
3. Leer importes, errores y acciones</x:v>
      </x:c>
      <x:c r="E344" s="13" t="str">
        <x:v>Elementos esenciales accesibles sin superposición ni corte; cierre no dispara operación accidental.</x:v>
      </x:c>
      <x:c r="F344" s="13" t="str">
        <x:v>Fuentes: resources/js/views/tenant/documents/index.vue; resources/js/views/tenant/documents/partials/detail-drawer.vue; resources/js/helpers/document-status.js; .codex/skills/mantener-operacion-local-fiscal-pro9/SKILL.md
Entrada: /documents; records/records Total/kpis; detalle y Opciones</x:v>
      </x:c>
    </x:row>
    <x:row r="345" ht="56" customHeight="1">
      <x:c r="A345" s="13" t="str">
        <x:v>QA-LIS-016</x:v>
      </x:c>
      <x:c r="B345" s="13" t="str">
        <x:v>Sin registros y fallo de red</x:v>
      </x:c>
      <x:c r="C345" s="13" t="str">
        <x:v>Facturas de todos los estados, monedas, sucursales/canales; NC/ND y documentos comerciales.
Filtro vacío y doble de records fallido</x:v>
      </x:c>
      <x:c r="D345" s="13" t="str">
        <x:v>1. Abrir sin resultados
2. Simular error de carga
3. Reintentar</x:v>
      </x:c>
      <x:c r="E345" s="13" t="str">
        <x:v>Estado vacío legible, error recuperable y sin datos de carga anterior presentados como actuales.</x:v>
      </x:c>
      <x:c r="F345" s="13" t="str">
        <x:v>Fuentes: resources/js/views/tenant/documents/index.vue; resources/js/views/tenant/documents/partials/detail-drawer.vue; resources/js/helpers/document-status.js; .codex/skills/mantener-operacion-local-fiscal-pro9/SKILL.md
Entrada: /documents; records/records Total/kpis; detalle y Opciones</x:v>
      </x:c>
    </x:row>
    <x:row r="346" ht="68" customHeight="1">
      <x:c r="A346" s="13" t="str">
        <x:v>QA-NVE-001</x:v>
      </x:c>
      <x:c r="B346" s="13" t="str">
        <x:v>Crear nota de venta 80 digital tenant</x:v>
      </x:c>
      <x:c r="C346" s="13" t="str">
        <x:v>NV 80 pagada/sin pagar; mismas y distintas identidades; stock de origen y destino documentado.
Caja/cliente/producto válidos</x:v>
      </x:c>
      <x:c r="D346" s="13" t="str">
        <x:v>1. Seleccionar Nota de venta
2. Guardar
3. Consultar PDF/stock/pagos/estado</x:v>
      </x:c>
      <x:c r="E346" s="13" t="str">
        <x:v>Documento comercial 80 independiente; tenant digital no convierte NV en factura HKA ni exige control fiscal de Factura.</x:v>
      </x:c>
      <x:c r="F346" s="13" t="str">
        <x:v>Fuentes: resources/js/views/tenant/sale_notes; modules/Sale/Http/Controllers/GenerateDocumentController.php; tests/js/sale-note-invoice-submit.test.cjs; .codex/skills/mantener-facturas-notas-venta-sin-boleta/references/contrato.md
Entrada: /sale-not es; Generar comprobante; cotizaciones/pedidos/órdenes de entrega</x:v>
      </x:c>
    </x:row>
    <x:row r="347" ht="68" customHeight="1">
      <x:c r="A347" s="13" t="str">
        <x:v>QA-NVE-002</x:v>
      </x:c>
      <x:c r="B347" s="13" t="str">
        <x:v>Nota de venta contado y crédito</x:v>
      </x:c>
      <x:c r="C347" s="13" t="str">
        <x:v>NV 80 pagada/sin pagar; mismas y distintas identidades; stock de origen y destino documentado.
NV 80 total 116</x:v>
      </x:c>
      <x:c r="D347" s="13" t="str">
        <x:v>1. Crear contado pagado y crédito en fixtures separados
2. Registrar cobro posterior por su módulo
3. Consultar saldos</x:v>
      </x:c>
      <x:c r="E347" s="13" t="str">
        <x:v>Persistencia comercial propia, medios/moneda correctos; no se usa endpoint de cobro exclusivo Factura para NV.</x:v>
      </x:c>
      <x:c r="F347" s="13" t="str">
        <x:v>Fuentes: resources/js/views/tenant/sale_notes; modules/Sale/Http/Controllers/GenerateDocumentController.php; tests/js/sale-note-invoice-submit.test.cjs; .codex/skills/mantener-facturas-notas-venta-sin-boleta/references/contrato.md
Entrada: /sale-not es; Generar comprobante; cotizaciones/pedidos/órdenes de entrega</x:v>
      </x:c>
    </x:row>
    <x:row r="348" ht="68" customHeight="1">
      <x:c r="A348" s="13" t="str">
        <x:v>QA-NVE-003</x:v>
      </x:c>
      <x:c r="B348" s="13" t="str">
        <x:v>Editar, duplicar y anular NV</x:v>
      </x:c>
      <x:c r="C348" s="13" t="str">
        <x:v>NV 80 pagada/sin pagar; mismas y distintas identidades; stock de origen y destino documentado.
NV vigente y permisos configurados</x:v>
      </x:c>
      <x:c r="D348" s="13" t="str">
        <x:v>1. Usar cada acción en subcaso independiente
2. Consultar relación/cobros/stock
3. Repetir acción</x:v>
      </x:c>
      <x:c r="E348" s="13" t="str">
        <x:v>Resultado comercial según política vigente, sin duplicar ingreso/stock ni transmitir NV como 01. Cada opción del menú se registra individualmente.</x:v>
      </x:c>
      <x:c r="F348" s="13" t="str">
        <x:v>Fuentes: resources/js/views/tenant/sale_notes; modules/Sale/Http/Controllers/GenerateDocumentController.php; tests/js/sale-note-invoice-submit.test.cjs; .codex/skills/mantener-facturas-notas-venta-sin-boleta/references/contrato.md
Entrada: /sale-not es; Generar comprobante; cotizaciones/pedidos/órdenes de entrega</x:v>
      </x:c>
    </x:row>
    <x:row r="349" ht="68" customHeight="1">
      <x:c r="A349" s="13" t="str">
        <x:v>QA-NVE-004</x:v>
      </x:c>
      <x:c r="B349" s="13" t="str">
        <x:v>Convertir una NV a Factura</x:v>
      </x:c>
      <x:c r="C349" s="13" t="str">
        <x:v>NV 80 pagada/sin pagar; mismas y distintas identidades; stock de origen y destino documentado.
NV 80 con cliente activo y efecto de stock conocido</x:v>
      </x:c>
      <x:c r="D349" s="13" t="str">
        <x:v>1. Abrir Generar comprobante
2. Mantener cliente y elegir Factura 01
3. Generar y comparar vínculo/pagos/stock</x:v>
      </x:c>
      <x:c r="E349" s="13" t="str">
        <x:v>Factura correcta y NV vinculada sin cliente perdido; movimiento físico no se duplica por convertir un documento que ya descontó inventario.</x:v>
      </x:c>
      <x:c r="F349" s="13" t="str">
        <x:v>Fuentes: resources/js/views/tenant/sale_notes; modules/Sale/Http/Controllers/GenerateDocumentController.php; tests/js/sale-note-invoice-submit.test.cjs; .codex/skills/mantener-facturas-notas-venta-sin-boleta/references/contrato.md
Entrada: /sale-not es; Generar comprobante; cotizaciones/pedidos/órdenes de entrega</x:v>
      </x:c>
    </x:row>
    <x:row r="350" ht="68" customHeight="1">
      <x:c r="A350" s="13" t="str">
        <x:v>QA-NVE-005</x:v>
      </x:c>
      <x:c r="B350" s="13" t="str">
        <x:v>Convertir varias NV mismo cliente</x:v>
      </x:c>
      <x:c r="C350" s="13" t="str">
        <x:v>NV 80 pagada/sin pagar; mismas y distintas identidades; stock de origen y destino documentado.
Dos NV compatibles moneda/sucursal</x:v>
      </x:c>
      <x:c r="D350" s="13" t="str">
        <x:v>1. Seleccionar ambas
2. Generar Factura
3. Leer líneas/referencias/stock/pagos</x:v>
      </x:c>
      <x:c r="E350" s="13" t="str">
        <x:v>Se consolidan importes y vínculos una vez; comprador original válido se conserva aunque buscador pagine.</x:v>
      </x:c>
      <x:c r="F350" s="13" t="str">
        <x:v>Fuentes: resources/js/views/tenant/sale_notes; modules/Sale/Http/Controllers/GenerateDocumentController.php; tests/js/sale-note-invoice-submit.test.cjs; .codex/skills/mantener-facturas-notas-venta-sin-boleta/references/contrato.md
Entrada: /sale-not es; Generar comprobante; cotizaciones/pedidos/órdenes de entrega</x:v>
      </x:c>
    </x:row>
    <x:row r="351" ht="68" customHeight="1">
      <x:c r="A351" s="13" t="str">
        <x:v>QA-NVE-006</x:v>
      </x:c>
      <x:c r="B351" s="13" t="str">
        <x:v>Convertir NV incompatibles</x:v>
      </x:c>
      <x:c r="C351" s="13" t="str">
        <x:v>NV 80 pagada/sin pagar; mismas y distintas identidades; stock de origen y destino documentado.
NVde distintos clientes/monedas/sucursales</x:v>
      </x:c>
      <x:c r="D351" s="13" t="str">
        <x:v>1. Seleccionar combinaciones incompatibles
2. Generar por UI/HTTP
3. Leer referencias</x:v>
      </x:c>
      <x:c r="E351" s="13" t="str">
        <x:v>Rechazo coherente sin documento parcial ni mezclar aplicaciones/monedas. Si se admite combinación, exige contrato explícito y conciliación demostrada.</x:v>
      </x:c>
      <x:c r="F351" s="13" t="str">
        <x:v>Fuentes: resources/js/views/tenant/sale_notes; modules/Sale/Http/Controllers/GenerateDocumentController.php; tests/js/sale-note-invoice-submit.test.cjs; .codex/skills/mantener-facturas-notas-venta-sin-boleta/references/contrato.md
Entrada: /sale-not es; Generar comprobante; cotizaciones/pedidos/órdenes de entrega</x:v>
      </x:c>
    </x:row>
    <x:row r="352" ht="68" customHeight="1">
      <x:c r="A352" s="13" t="str">
        <x:v>QA-NVE-007</x:v>
      </x:c>
      <x:c r="B352" s="13" t="str">
        <x:v>Cliente precargado paginado</x:v>
      </x:c>
      <x:c r="C352" s="13" t="str">
        <x:v>NV 80 pagada/sin pagar; mismas y distintas identidades; stock de origen y destino documentado.
NV con cliente fuera de primera página</x:v>
      </x:c>
      <x:c r="D352" s="13" t="str">
        <x:v>1. Abrir Generar
2. Esperar carga de clientes
3. Guardar Factura</x:v>
      </x:c>
      <x:c r="E352" s="13" t="str">
        <x:v>Cliente origen resuelto y seleccionado aunque no esté en primera página; no cambia a primer cliente de lista.</x:v>
      </x:c>
      <x:c r="F352" s="13" t="str">
        <x:v>Fuentes: resources/js/views/tenant/sale_notes; modules/Sale/Http/Controllers/GenerateDocumentController.php; tests/js/sale-note-invoice-submit.test.cjs; .codex/skills/mantener-facturas-notas-venta-sin-boleta/references/contrato.md
Entrada: /sale-not es; Generar comprobante; cotizaciones/pedidos/órdenes de entrega</x:v>
      </x:c>
    </x:row>
    <x:row r="353" ht="68" customHeight="1">
      <x:c r="A353" s="13" t="str">
        <x:v>QA-NVE-008</x:v>
      </x:c>
      <x:c r="B353" s="13" t="str">
        <x:v>Conversión con identidad inactiva</x:v>
      </x:c>
      <x:c r="C353" s="13" t="str">
        <x:v>NV 80 pagada/sin pagar; mismas y distintas identidades; stock de origen y destino documentado.
NV válida cuando cliente estaba activo</x:v>
      </x:c>
      <x:c r="D353" s="13" t="str">
        <x:v>1. Desactivar tipo del fixture
2. Intentar Generar
3. Leer errores y stock</x:v>
      </x:c>
      <x:c r="E353" s="13" t="str">
        <x:v>Conversión bloqueada en servidor sin Factura; NV histórica intacta.</x:v>
      </x:c>
      <x:c r="F353" s="13" t="str">
        <x:v>Fuentes: resources/js/views/tenant/sale_notes; modules/Sale/Http/Controllers/GenerateDocumentController.php; tests/js/sale-note-invoice-submit.test.cjs; .codex/skills/mantener-facturas-notas-venta-sin-boleta/references/contrato.md
Entrada: /sale-not es; Generar comprobante; cotizaciones/pedidos/órdenes de entrega</x:v>
      </x:c>
    </x:row>
    <x:row r="354" ht="68" customHeight="1">
      <x:c r="A354" s="13" t="str">
        <x:v>QA-NVE-009</x:v>
      </x:c>
      <x:c r="B354" s="13" t="str">
        <x:v>Conversión doble o concurrente</x:v>
      </x:c>
      <x:c r="C354" s="13" t="str">
        <x:v>NV 80 pagada/sin pagar; mismas y distintas identidades; stock de origen y destino documentado.
NV lista para facturar</x:v>
      </x:c>
      <x:c r="D354" s="13" t="str">
        <x:v>1. Generar dos veces/concurrentemente
2. Leer vínculos ydocs
3. Comparar stock/caja</x:v>
      </x:c>
      <x:c r="E354" s="13" t="str">
        <x:v>No factura origen dos veces sin autorización explícita de flujo; toda duplicación indebida reportada.</x:v>
      </x:c>
      <x:c r="F354" s="13" t="str">
        <x:v>Fuentes: resources/js/views/tenant/sale_notes; modules/Sale/Http/Controllers/GenerateDocumentController.php; tests/js/sale-note-invoice-submit.test.cjs; .codex/skills/mantener-facturas-notas-venta-sin-boleta/references/contrato.md
Entrada: /sale-not es; Generar comprobante; cotizaciones/pedidos/órdenes de entrega</x:v>
      </x:c>
    </x:row>
    <x:row r="355" ht="68" customHeight="1">
      <x:c r="A355" s="13" t="str">
        <x:v>QA-NVE-010</x:v>
      </x:c>
      <x:c r="B355" s="13" t="str">
        <x:v>Cotización a Factura</x:v>
      </x:c>
      <x:c r="C355" s="13" t="str">
        <x:v>NV 80 pagada/sin pagar; mismas y distintas identidades; stock de origen y destino documentado.
Cotización vigente con productos/descuento</x:v>
      </x:c>
      <x:c r="D355" s="13" t="str">
        <x:v>1. Convertir a Factura 01
2. Guardar
3. Leer relación/importes/stock</x:v>
      </x:c>
      <x:c r="E355" s="13" t="str">
        <x:v>Cotización no descontaba stock físico; Factura lo hace una vez. Precio/descuento/cliente se conservan o se recalculan de manera explícita según contrato actual.</x:v>
      </x:c>
      <x:c r="F355" s="13" t="str">
        <x:v>Fuentes: resources/js/views/tenant/sale_notes; modules/Sale/Http/Controllers/GenerateDocumentController.php; tests/js/sale-note-invoice-submit.test.cjs; .codex/skills/mantener-facturas-notas-venta-sin-boleta/references/contrato.md
Entrada: /sale-not es; Generar comprobante; cotizaciones/pedidos/órdenes de entrega</x:v>
      </x:c>
    </x:row>
    <x:row r="356" ht="68" customHeight="1">
      <x:c r="A356" s="13" t="str">
        <x:v>QA-NVE-011</x:v>
      </x:c>
      <x:c r="B356" s="13" t="str">
        <x:v>Pedido o Nota de pedido a venta</x:v>
      </x:c>
      <x:c r="C356" s="13" t="str">
        <x:v>NV 80 pagada/sin pagar; mismas y distintas identidades; stock de origen y destino documentado.
Pedido con estado facturable</x:v>
      </x:c>
      <x:c r="D356" s="13" t="str">
        <x:v>1. Generar Factura y NV en fixtures independientes
2. Repetir estado de generación
3. Comparar relación/pagos/stock</x:v>
      </x:c>
      <x:c r="E356" s="13" t="str">
        <x:v>Tipos 01/80 sólo según flujo; generación coherente con estado y pagos, sin duplicación de origen. Cada tipo tiene ejecución separada.</x:v>
      </x:c>
      <x:c r="F356" s="13" t="str">
        <x:v>Fuentes: resources/js/views/tenant/sale_notes; modules/Sale/Http/Controllers/GenerateDocumentController.php; tests/js/sale-note-invoice-submit.test.cjs; .codex/skills/mantener-facturas-notas-venta-sin-boleta/references/contrato.md
Entrada: /sale-not es; Generar comprobante; cotizaciones/pedidos/órdenes de entrega</x:v>
      </x:c>
    </x:row>
    <x:row r="357" ht="68" customHeight="1">
      <x:c r="A357" s="13" t="str">
        <x:v>QA-NVE-012</x:v>
      </x:c>
      <x:c r="B357" s="13" t="str">
        <x:v>Orden de entrega a Factura</x:v>
      </x:c>
      <x:c r="C357" s="13" t="str">
        <x:v>NV 80 pagada/sin pagar; mismas y distintas identidades; stock de origen y destino documentado.
Orden de entrega 09 con almacén/sucursal de origen</x:v>
      </x:c>
      <x:c r="D357" s="13" t="str">
        <x:v>1. Convertir a Factura 01
2. Leer vínculo y numeración
3. Comparar movimiento físico</x:v>
      </x:c>
      <x:c r="E357" s="13" t="str">
        <x:v>Identidad/sucursal autorizadas, relación vigente ysin duplicar despacho físico; no asumir 09 emitido remotamente sólo por existir catálogo.</x:v>
      </x:c>
      <x:c r="F357" s="13" t="str">
        <x:v>Fuentes: resources/js/views/tenant/sale_notes; modules/Sale/Http/Controllers/GenerateDocumentController.php; tests/js/sale-note-invoice-submit.test.cjs; .codex/skills/mantener-facturas-notas-venta-sin-boleta/references/contrato.md
Entrada: /sale-not es; Generar comprobante; cotizaciones/pedidos/órdenes de entrega</x:v>
      </x:c>
    </x:row>
    <x:row r="358" ht="68" customHeight="1">
      <x:c r="A358" s="13" t="str">
        <x:v>QA-NVE-013</x:v>
      </x:c>
      <x:c r="B358" s="13" t="str">
        <x:v>Factura a Orden de entrega</x:v>
      </x:c>
      <x:c r="C358" s="13" t="str">
        <x:v>NV 80 pagada/sin pagar; mismas y distintas identidades; stock de origen y destino documentado.
Factura con bienes elegible</x:v>
      </x:c>
      <x:c r="D358" s="13" t="str">
        <x:v>1. Generar Orden desde acción Guía/Orden
2. Completar transportista datos disponibles
3. Revisar origen y documento</x:v>
      </x:c>
      <x:c r="E358" s="13" t="str">
        <x:v>Documento comercial vigente Orden de entrega, relación y almacén correctos; no se restablece SUNAT/XML/CDR ni emisión HKA 04 no integrada.</x:v>
      </x:c>
      <x:c r="F358" s="13" t="str">
        <x:v>Fuentes: resources/js/views/tenant/sale_notes; modules/Sale/Http/Controllers/GenerateDocumentController.php; tests/js/sale-note-invoice-submit.test.cjs; .codex/skills/mantener-facturas-notas-venta-sin-boleta/references/contrato.md
Entrada: /sale-not es; Generar comprobante; cotizaciones/pedidos/órdenes de entrega</x:v>
      </x:c>
    </x:row>
    <x:row r="359" ht="68" customHeight="1">
      <x:c r="A359" s="13" t="str">
        <x:v>QA-NVE-014</x:v>
      </x:c>
      <x:c r="B359" s="13" t="str">
        <x:v>Boleta y tipos ajenos en conversión</x:v>
      </x:c>
      <x:c r="C359" s="13" t="str">
        <x:v>NV 80 pagada/sin pagar; mismas y distintas identidades; stock de origen y destino documentado.
Orígenes de venta válidos</x:v>
      </x:c>
      <x:c r="D359" s="13" t="str">
        <x:v>1. Enviar 03/FE/80 en flujo exclusivo Factura
2. Probar tipos 09/20 en procesamiento fiscal común
3. Leer rechazo</x:v>
      </x:c>
      <x:c r="E359" s="13" t="str">
        <x:v>Conversión admite sólo Factura 01; fiscal común 01/07/08; tipos de otros módulos usan persistencia propia.</x:v>
      </x:c>
      <x:c r="F359" s="13" t="str">
        <x:v>Fuentes: resources/js/views/tenant/sale_notes; modules/Sale/Http/Controllers/GenerateDocumentController.php; tests/js/sale-note-invoice-submit.test.cjs; .codex/skills/mantener-facturas-notas-venta-sin-boleta/references/contrato.md
Entrada: /sale-not es; Generar comprobante; cotizaciones/pedidos/órdenes de entrega</x:v>
      </x:c>
    </x:row>
    <x:row r="360" ht="68" customHeight="1">
      <x:c r="A360" s="13" t="str">
        <x:v>QA-CAN-001</x:v>
      </x:c>
      <x:c r="B360" s="13" t="str">
        <x:v>Comprobantes web: venta Factura 01</x:v>
      </x:c>
      <x:c r="C360" s="13" t="str">
        <x:v>Módulos vigentes habilitados; facturas ordinarias 01/0101; NV 80/nv propia; caja, sucursal y mercancía QA. No envío WhatsApp real por matriz.
Módulo Comprobantes web habilitado y ruta identificada; cliente C 1; total 116; document_type_id 01.</x:v>
      </x:c>
      <x:c r="D360" s="13" t="str">
        <x:v>1. Abrir flujo real de Comprobantes web y preparar venta ordinaria
2. Elegir tipo 01, cliente, serie autorizada y pago 116
3. Finalizar por acción propia del canal y consultar venta/origen/stock/caja</x:v>
      </x:c>
      <x:c r="E360" s="13" t="str">
        <x:v>Venta única 01, identidad vigente, moneda/IVA/sucursal/serie correctos y efectos reconciliados. Si usa guardado común, factura digital DEMO produce resultado fiscal separado después del commit; registrar si hay otro escritor y el límite encontrado. Si no existe selector/tipo en este canal concreto, sustentar capacidad del código y registrar discrepancia o exclusión; no inventar UI.</x:v>
      </x:c>
      <x:c r="F360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61" ht="68" customHeight="1">
      <x:c r="A361" s="13" t="str">
        <x:v>QA-CAN-002</x:v>
      </x:c>
      <x:c r="B361" s="13" t="str">
        <x:v>Comprobantes web: venta Nota de venta 80</x:v>
      </x:c>
      <x:c r="C361" s="13" t="str">
        <x:v>Módulos vigentes habilitados; facturas ordinarias 01/0101; NV 80/nv propia; caja, sucursal y mercancía QA. No envío WhatsApp real por matriz.
Módulo Comprobantes web habilitado y ruta identificada; cliente C 1; total 116; document_type_id 80.</x:v>
      </x:c>
      <x:c r="D361" s="13" t="str">
        <x:v>1. Abrir flujo real de Comprobantes web y preparar venta ordinaria
2. Elegir tipo 80, cliente, serie autorizada y pago 116
3. Finalizar por acción propia del canal y consultar venta/origen/stock/caja</x:v>
      </x:c>
      <x:c r="E361" s="13" t="str">
        <x:v>Venta única 80, identidad vigente, moneda/IVA/sucursal/serie correctos y efectos reconciliados. Documento comercial no se transmite como Factura HKA; persistencia/pagos/estado propios. Si no existe selector/tipo en este canal concreto, sustentar capacidad del código y registrar discrepancia o exclusión; no inventar UI.</x:v>
      </x:c>
      <x:c r="F361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62" ht="68" customHeight="1">
      <x:c r="A362" s="13" t="str">
        <x:v>QA-CAN-003</x:v>
      </x:c>
      <x:c r="B362" s="13" t="str">
        <x:v>POS: venta Factura 01</x:v>
      </x:c>
      <x:c r="C362" s="13" t="str">
        <x:v>Módulos vigentes habilitados; facturas ordinarias 01/0101; NV 80/nv propia; caja, sucursal y mercancía QA. No envío WhatsApp real por matriz.
Módulo POS habilitado y ruta identificada; cliente C 1; total 116; document_type_id 01.</x:v>
      </x:c>
      <x:c r="D362" s="13" t="str">
        <x:v>1. Abrir flujo real de POS y preparar venta ordinaria
2. Elegir tipo 01, cliente, serie autorizada y pago 116
3. Finalizar por acción propia del canal y consultar venta/origen/stock/caja</x:v>
      </x:c>
      <x:c r="E362" s="13" t="str">
        <x:v>Venta única 01, identidad vigente, moneda/IVA/sucursal/serie correctos y efectos reconciliados. Si usa guardado común, factura digital DEMO produce resultado fiscal separado después del commit; registrar si hay otro escritor y el límite encontrado. Si no existe selector/tipo en este canal concreto, sustentar capacidad del código y registrar discrepancia o exclusión; no inventar UI.</x:v>
      </x:c>
      <x:c r="F362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63" ht="68" customHeight="1">
      <x:c r="A363" s="13" t="str">
        <x:v>QA-CAN-004</x:v>
      </x:c>
      <x:c r="B363" s="13" t="str">
        <x:v>POS: venta Nota de venta 80</x:v>
      </x:c>
      <x:c r="C363" s="13" t="str">
        <x:v>Módulos vigentes habilitados; facturas ordinarias 01/0101; NV 80/nv propia; caja, sucursal y mercancía QA. No envío WhatsApp real por matriz.
Módulo POS habilitado y ruta identificada; cliente C 1; total 116; document_type_id 80.</x:v>
      </x:c>
      <x:c r="D363" s="13" t="str">
        <x:v>1. Abrir flujo real de POS y preparar venta ordinaria
2. Elegir tipo 80, cliente, serie autorizada y pago 116
3. Finalizar por acción propia del canal y consultar venta/origen/stock/caja</x:v>
      </x:c>
      <x:c r="E363" s="13" t="str">
        <x:v>Venta única 80, identidad vigente, moneda/IVA/sucursal/serie correctos y efectos reconciliados. Documento comercial no se transmite como Factura HKA; persistencia/pagos/estado propios. Si no existe selector/tipo en este canal concreto, sustentar capacidad del código y registrar discrepancia o exclusión; no inventar UI.</x:v>
      </x:c>
      <x:c r="F363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64" ht="68" customHeight="1">
      <x:c r="A364" s="13" t="str">
        <x:v>QA-CAN-005</x:v>
      </x:c>
      <x:c r="B364" s="13" t="str">
        <x:v>Vende Ya / Garage: venta Factura 01</x:v>
      </x:c>
      <x:c r="C364" s="13" t="str">
        <x:v>Módulos vigentes habilitados; facturas ordinarias 01/0101; NV 80/nv propia; caja, sucursal y mercancía QA. No envío WhatsApp real por matriz.
Módulo Vende Ya / Garage habilitado y ruta identificada; cliente C 1; total 116; document_type_id 01.</x:v>
      </x:c>
      <x:c r="D364" s="13" t="str">
        <x:v>1. Abrir flujo real de Vende Ya / Garage y preparar venta ordinaria
2. Elegir tipo 01, cliente, serie autorizada y pago 116
3. Finalizar por acción propia del canal y consultar venta/origen/stock/caja</x:v>
      </x:c>
      <x:c r="E364" s="13" t="str">
        <x:v>Venta única 01, identidad vigente, moneda/IVA/sucursal/serie correctos y efectos reconciliados. Si usa guardado común, factura digital DEMO produce resultado fiscal separado después del commit; registrar si hay otro escritor y el límite encontrado. Si no existe selector/tipo en este canal concreto, sustentar capacidad del código y registrar discrepancia o exclusión; no inventar UI.</x:v>
      </x:c>
      <x:c r="F364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65" ht="68" customHeight="1">
      <x:c r="A365" s="13" t="str">
        <x:v>QA-CAN-006</x:v>
      </x:c>
      <x:c r="B365" s="13" t="str">
        <x:v>Vende Ya / Garage: venta Nota de venta 80</x:v>
      </x:c>
      <x:c r="C365" s="13" t="str">
        <x:v>Módulos vigentes habilitados; facturas ordinarias 01/0101; NV 80/nv propia; caja, sucursal y mercancía QA. No envío WhatsApp real por matriz.
Módulo Vende Ya / Garage habilitado y ruta identificada; cliente C 1; total 116; document_type_id 80.</x:v>
      </x:c>
      <x:c r="D365" s="13" t="str">
        <x:v>1. Abrir flujo real de Vende Ya / Garage y preparar venta ordinaria
2. Elegir tipo 80, cliente, serie autorizada y pago 116
3. Finalizar por acción propia del canal y consultar venta/origen/stock/caja</x:v>
      </x:c>
      <x:c r="E365" s="13" t="str">
        <x:v>Venta única 80, identidad vigente, moneda/IVA/sucursal/serie correctos y efectos reconciliados. Documento comercial no se transmite como Factura HKA; persistencia/pagos/estado propios. Si no existe selector/tipo en este canal concreto, sustentar capacidad del código y registrar discrepancia o exclusión; no inventar UI.</x:v>
      </x:c>
      <x:c r="F365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66" ht="68" customHeight="1">
      <x:c r="A366" s="13" t="str">
        <x:v>QA-CAN-007</x:v>
      </x:c>
      <x:c r="B366" s="13" t="str">
        <x:v>Venta rápida: venta Factura 01</x:v>
      </x:c>
      <x:c r="C366" s="13" t="str">
        <x:v>Módulos vigentes habilitados; facturas ordinarias 01/0101; NV 80/nv propia; caja, sucursal y mercancía QA. No envío WhatsApp real por matriz.
Módulo Venta rápida habilitado y ruta identificada; cliente C 1; total 116; document_type_id 01.</x:v>
      </x:c>
      <x:c r="D366" s="13" t="str">
        <x:v>1. Abrir flujo real de Venta rápida y preparar venta ordinaria
2. Elegir tipo 01, cliente, serie autorizada y pago 116
3. Finalizar por acción propia del canal y consultar venta/origen/stock/caja</x:v>
      </x:c>
      <x:c r="E366" s="13" t="str">
        <x:v>Venta única 01, identidad vigente, moneda/IVA/sucursal/serie correctos y efectos reconciliados. Si usa guardado común, factura digital DEMO produce resultado fiscal separado después del commit; registrar si hay otro escritor y el límite encontrado. Si no existe selector/tipo en este canal concreto, sustentar capacidad del código y registrar discrepancia o exclusión; no inventar UI.</x:v>
      </x:c>
      <x:c r="F366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67" ht="68" customHeight="1">
      <x:c r="A367" s="13" t="str">
        <x:v>QA-CAN-008</x:v>
      </x:c>
      <x:c r="B367" s="13" t="str">
        <x:v>Venta rápida: venta Nota de venta 80</x:v>
      </x:c>
      <x:c r="C367" s="13" t="str">
        <x:v>Módulos vigentes habilitados; facturas ordinarias 01/0101; NV 80/nv propia; caja, sucursal y mercancía QA. No envío WhatsApp real por matriz.
Módulo Venta rápida habilitado y ruta identificada; cliente C 1; total 116; document_type_id 80.</x:v>
      </x:c>
      <x:c r="D367" s="13" t="str">
        <x:v>1. Abrir flujo real de Venta rápida y preparar venta ordinaria
2. Elegir tipo 80, cliente, serie autorizada y pago 116
3. Finalizar por acción propia del canal y consultar venta/origen/stock/caja</x:v>
      </x:c>
      <x:c r="E367" s="13" t="str">
        <x:v>Venta única 80, identidad vigente, moneda/IVA/sucursal/serie correctos y efectos reconciliados. Documento comercial no se transmite como Factura HKA; persistencia/pagos/estado propios. Si no existe selector/tipo en este canal concreto, sustentar capacidad del código y registrar discrepancia o exclusión; no inventar UI.</x:v>
      </x:c>
      <x:c r="F367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68" ht="68" customHeight="1">
      <x:c r="A368" s="13" t="str">
        <x:v>QA-CAN-009</x:v>
      </x:c>
      <x:c r="B368" s="13" t="str">
        <x:v>API de venta: venta Factura 01</x:v>
      </x:c>
      <x:c r="C368" s="13" t="str">
        <x:v>Módulos vigentes habilitados; facturas ordinarias 01/0101; NV 80/nv propia; caja, sucursal y mercancía QA. No envío WhatsApp real por matriz.
Módulo API de venta habilitado y ruta identificada; cliente C 1; total 116; document_type_id 01.</x:v>
      </x:c>
      <x:c r="D368" s="13" t="str">
        <x:v>1. Abrir flujo real de API de venta y preparar venta ordinaria
2. Elegir tipo 01, cliente, serie autorizada y pago 116
3. Finalizar por acción propia del canal y consultar venta/origen/stock/caja</x:v>
      </x:c>
      <x:c r="E368" s="13" t="str">
        <x:v>Venta única 01, identidad vigente, moneda/IVA/sucursal/serie correctos y efectos reconciliados. Si usa guardado común, factura digital DEMO produce resultado fiscal separado después del commit; registrar si hay otro escritor y el límite encontrado. Si no existe selector/tipo en este canal concreto, sustentar capacidad del código y registrar discrepancia o exclusión; no inventar UI.</x:v>
      </x:c>
      <x:c r="F368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69" ht="68" customHeight="1">
      <x:c r="A369" s="13" t="str">
        <x:v>QA-CAN-010</x:v>
      </x:c>
      <x:c r="B369" s="13" t="str">
        <x:v>API de venta: venta Nota de venta 80</x:v>
      </x:c>
      <x:c r="C369" s="13" t="str">
        <x:v>Módulos vigentes habilitados; facturas ordinarias 01/0101; NV 80/nv propia; caja, sucursal y mercancía QA. No envío WhatsApp real por matriz.
Módulo API de venta habilitado y ruta identificada; cliente C 1; total 116; document_type_id 80.</x:v>
      </x:c>
      <x:c r="D369" s="13" t="str">
        <x:v>1. Abrir flujo real de API de venta y preparar venta ordinaria
2. Elegir tipo 80, cliente, serie autorizada y pago 116
3. Finalizar por acción propia del canal y consultar venta/origen/stock/caja</x:v>
      </x:c>
      <x:c r="E369" s="13" t="str">
        <x:v>Venta única 80, identidad vigente, moneda/IVA/sucursal/serie correctos y efectos reconciliados. Documento comercial no se transmite como Factura HKA; persistencia/pagos/estado propios. Si no existe selector/tipo en este canal concreto, sustentar capacidad del código y registrar discrepancia o exclusión; no inventar UI.</x:v>
      </x:c>
      <x:c r="F369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70" ht="68" customHeight="1">
      <x:c r="A370" s="13" t="str">
        <x:v>QA-CAN-011</x:v>
      </x:c>
      <x:c r="B370" s="13" t="str">
        <x:v>Hotel: venta Factura 01</x:v>
      </x:c>
      <x:c r="C370" s="13" t="str">
        <x:v>Módulos vigentes habilitados; facturas ordinarias 01/0101; NV 80/nv propia; caja, sucursal y mercancía QA. No envío WhatsApp real por matriz.
Módulo Hotel habilitado y ruta identificada; cliente C 1; total 116; document_type_id 01.</x:v>
      </x:c>
      <x:c r="D370" s="13" t="str">
        <x:v>1. Abrir flujo real de Hotel y preparar venta ordinaria
2. Elegir tipo 01, cliente, serie autorizada y pago 116
3. Finalizar por acción propia del canal y consultar venta/origen/stock/caja</x:v>
      </x:c>
      <x:c r="E370" s="13" t="str">
        <x:v>Venta única 01, identidad vigente, moneda/IVA/sucursal/serie correctos y efectos reconciliados. Si usa guardado común, factura digital DEMO produce resultado fiscal separado después del commit; registrar si hay otro escritor y el límite encontrado. Si no existe selector/tipo en este canal concreto, sustentar capacidad del código y registrar discrepancia o exclusión; no inventar UI.</x:v>
      </x:c>
      <x:c r="F370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71" ht="68" customHeight="1">
      <x:c r="A371" s="13" t="str">
        <x:v>QA-CAN-012</x:v>
      </x:c>
      <x:c r="B371" s="13" t="str">
        <x:v>Hotel: venta Nota de venta 80</x:v>
      </x:c>
      <x:c r="C371" s="13" t="str">
        <x:v>Módulos vigentes habilitados; facturas ordinarias 01/0101; NV 80/nv propia; caja, sucursal y mercancía QA. No envío WhatsApp real por matriz.
Módulo Hotel habilitado y ruta identificada; cliente C 1; total 116; document_type_id 80.</x:v>
      </x:c>
      <x:c r="D371" s="13" t="str">
        <x:v>1. Abrir flujo real de Hotel y preparar venta ordinaria
2. Elegir tipo 80, cliente, serie autorizada y pago 116
3. Finalizar por acción propia del canal y consultar venta/origen/stock/caja</x:v>
      </x:c>
      <x:c r="E371" s="13" t="str">
        <x:v>Venta única 80, identidad vigente, moneda/IVA/sucursal/serie correctos y efectos reconciliados. Documento comercial no se transmite como Factura HKA; persistencia/pagos/estado propios. Si no existe selector/tipo en este canal concreto, sustentar capacidad del código y registrar discrepancia o exclusión; no inventar UI.</x:v>
      </x:c>
      <x:c r="F371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72" ht="68" customHeight="1">
      <x:c r="A372" s="13" t="str">
        <x:v>QA-CAN-013</x:v>
      </x:c>
      <x:c r="B372" s="13" t="str">
        <x:v>Restaurante: venta Factura 01</x:v>
      </x:c>
      <x:c r="C372" s="13" t="str">
        <x:v>Módulos vigentes habilitados; facturas ordinarias 01/0101; NV 80/nv propia; caja, sucursal y mercancía QA. No envío WhatsApp real por matriz.
Módulo Restaurante habilitado y ruta identificada; cliente C 1; total 116; document_type_id 01.</x:v>
      </x:c>
      <x:c r="D372" s="13" t="str">
        <x:v>1. Abrir flujo real de Restaurante y preparar venta ordinaria
2. Elegir tipo 01, cliente, serie autorizada y pago 116
3. Finalizar por acción propia del canal y consultar venta/origen/stock/caja</x:v>
      </x:c>
      <x:c r="E372" s="13" t="str">
        <x:v>Venta única 01, identidad vigente, moneda/IVA/sucursal/serie correctos y efectos reconciliados. Si usa guardado común, factura digital DEMO produce resultado fiscal separado después del commit; registrar si hay otro escritor y el límite encontrado. Si no existe selector/tipo en este canal concreto, sustentar capacidad del código y registrar discrepancia o exclusión; no inventar UI.</x:v>
      </x:c>
      <x:c r="F372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73" ht="68" customHeight="1">
      <x:c r="A373" s="13" t="str">
        <x:v>QA-CAN-014</x:v>
      </x:c>
      <x:c r="B373" s="13" t="str">
        <x:v>Restaurante: venta Nota de venta 80</x:v>
      </x:c>
      <x:c r="C373" s="13" t="str">
        <x:v>Módulos vigentes habilitados; facturas ordinarias 01/0101; NV 80/nv propia; caja, sucursal y mercancía QA. No envío WhatsApp real por matriz.
Módulo Restaurante habilitado y ruta identificada; cliente C 1; total 116; document_type_id 80.</x:v>
      </x:c>
      <x:c r="D373" s="13" t="str">
        <x:v>1. Abrir flujo real de Restaurante y preparar venta ordinaria
2. Elegir tipo 80, cliente, serie autorizada y pago 116
3. Finalizar por acción propia del canal y consultar venta/origen/stock/caja</x:v>
      </x:c>
      <x:c r="E373" s="13" t="str">
        <x:v>Venta única 80, identidad vigente, moneda/IVA/sucursal/serie correctos y efectos reconciliados. Documento comercial no se transmite como Factura HKA; persistencia/pagos/estado propios. Si no existe selector/tipo en este canal concreto, sustentar capacidad del código y registrar discrepancia o exclusión; no inventar UI.</x:v>
      </x:c>
      <x:c r="F373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74" ht="68" customHeight="1">
      <x:c r="A374" s="13" t="str">
        <x:v>QA-CAN-015</x:v>
      </x:c>
      <x:c r="B374" s="13" t="str">
        <x:v>Ecommerce: venta Factura 01</x:v>
      </x:c>
      <x:c r="C374" s="13" t="str">
        <x:v>Módulos vigentes habilitados; facturas ordinarias 01/0101; NV 80/nv propia; caja, sucursal y mercancía QA. No envío WhatsApp real por matriz.
Módulo Ecommerce habilitado y ruta identificada; cliente C 1; total 116; document_type_id 01.</x:v>
      </x:c>
      <x:c r="D374" s="13" t="str">
        <x:v>1. Abrir flujo real de Ecommerce y preparar venta ordinaria
2. Elegir tipo 01, cliente, serie autorizada y pago 116
3. Finalizar por acción propia del canal y consultar venta/origen/stock/caja</x:v>
      </x:c>
      <x:c r="E374" s="13" t="str">
        <x:v>Venta única 01, identidad vigente, moneda/IVA/sucursal/serie correctos y efectos reconciliados. Si usa guardado común, factura digital DEMO produce resultado fiscal separado después del commit; registrar si hay otro escritor y el límite encontrado. Si no existe selector/tipo en este canal concreto, sustentar capacidad del código y registrar discrepancia o exclusión; no inventar UI.</x:v>
      </x:c>
      <x:c r="F374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75" ht="68" customHeight="1">
      <x:c r="A375" s="13" t="str">
        <x:v>QA-CAN-016</x:v>
      </x:c>
      <x:c r="B375" s="13" t="str">
        <x:v>Ecommerce: venta Nota de venta 80</x:v>
      </x:c>
      <x:c r="C375" s="13" t="str">
        <x:v>Módulos vigentes habilitados; facturas ordinarias 01/0101; NV 80/nv propia; caja, sucursal y mercancía QA. No envío WhatsApp real por matriz.
Módulo Ecommerce habilitado y ruta identificada; cliente C 1; total 116; document_type_id 80.</x:v>
      </x:c>
      <x:c r="D375" s="13" t="str">
        <x:v>1. Abrir flujo real de Ecommerce y preparar venta ordinaria
2. Elegir tipo 80, cliente, serie autorizada y pago 116
3. Finalizar por acción propia del canal y consultar venta/origen/stock/caja</x:v>
      </x:c>
      <x:c r="E375" s="13" t="str">
        <x:v>Venta única 80, identidad vigente, moneda/IVA/sucursal/serie correctos y efectos reconciliados. Documento comercial no se transmite como Factura HKA; persistencia/pagos/estado propios. Si no existe selector/tipo en este canal concreto, sustentar capacidad del código y registrar discrepancia o exclusión; no inventar UI.</x:v>
      </x:c>
      <x:c r="F375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76" ht="68" customHeight="1">
      <x:c r="A376" s="13" t="str">
        <x:v>QA-CAN-017</x:v>
      </x:c>
      <x:c r="B376" s="13" t="str">
        <x:v>Mi Tienda / Store: venta Factura 01</x:v>
      </x:c>
      <x:c r="C376" s="13" t="str">
        <x:v>Módulos vigentes habilitados; facturas ordinarias 01/0101; NV 80/nv propia; caja, sucursal y mercancía QA. No envío WhatsApp real por matriz.
Módulo Mi Tienda / Store habilitado y ruta identificada; cliente C 1; total 116; document_type_id 01.</x:v>
      </x:c>
      <x:c r="D376" s="13" t="str">
        <x:v>1. Abrir flujo real de Mi Tienda / Store y preparar venta ordinaria
2. Elegir tipo 01, cliente, serie autorizada y pago 116
3. Finalizar por acción propia del canal y consultar venta/origen/stock/caja</x:v>
      </x:c>
      <x:c r="E376" s="13" t="str">
        <x:v>Venta única 01, identidad vigente, moneda/IVA/sucursal/serie correctos y efectos reconciliados. Si usa guardado común, factura digital DEMO produce resultado fiscal separado después del commit; registrar si hay otro escritor y el límite encontrado. Si no existe selector/tipo en este canal concreto, sustentar capacidad del código y registrar discrepancia o exclusión; no inventar UI.</x:v>
      </x:c>
      <x:c r="F376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77" ht="68" customHeight="1">
      <x:c r="A377" s="13" t="str">
        <x:v>QA-CAN-018</x:v>
      </x:c>
      <x:c r="B377" s="13" t="str">
        <x:v>Mi Tienda / Store: venta Nota de venta 80</x:v>
      </x:c>
      <x:c r="C377" s="13" t="str">
        <x:v>Módulos vigentes habilitados; facturas ordinarias 01/0101; NV 80/nv propia; caja, sucursal y mercancía QA. No envío WhatsApp real por matriz.
Módulo Mi Tienda / Store habilitado y ruta identificada; cliente C 1; total 116; document_type_id 80.</x:v>
      </x:c>
      <x:c r="D377" s="13" t="str">
        <x:v>1. Abrir flujo real de Mi Tienda / Store y preparar venta ordinaria
2. Elegir tipo 80, cliente, serie autorizada y pago 116
3. Finalizar por acción propia del canal y consultar venta/origen/stock/caja</x:v>
      </x:c>
      <x:c r="E377" s="13" t="str">
        <x:v>Venta única 80, identidad vigente, moneda/IVA/sucursal/serie correctos y efectos reconciliados. Documento comercial no se transmite como Factura HKA; persistencia/pagos/estado propios. Si no existe selector/tipo en este canal concreto, sustentar capacidad del código y registrar discrepancia o exclusión; no inventar UI.</x:v>
      </x:c>
      <x:c r="F377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78" ht="68" customHeight="1">
      <x:c r="A378" s="13" t="str">
        <x:v>QA-CAN-019</x:v>
      </x:c>
      <x:c r="B378" s="13" t="str">
        <x:v>Pedidos: venta Factura 01</x:v>
      </x:c>
      <x:c r="C378" s="13" t="str">
        <x:v>Módulos vigentes habilitados; facturas ordinarias 01/0101; NV 80/nv propia; caja, sucursal y mercancía QA. No envío WhatsApp real por matriz.
Módulo Pedidos habilitado y ruta identificada; cliente C 1; total 116; document_type_id 01.</x:v>
      </x:c>
      <x:c r="D378" s="13" t="str">
        <x:v>1. Abrir flujo real de Pedidos y preparar venta ordinaria
2. Elegir tipo 01, cliente, serie autorizada y pago 116
3. Finalizar por acción propia del canal y consultar venta/origen/stock/caja</x:v>
      </x:c>
      <x:c r="E378" s="13" t="str">
        <x:v>Venta única 01, identidad vigente, moneda/IVA/sucursal/serie correctos y efectos reconciliados. Si usa guardado común, factura digital DEMO produce resultado fiscal separado después del commit; registrar si hay otro escritor y el límite encontrado. Si no existe selector/tipo en este canal concreto, sustentar capacidad del código y registrar discrepancia o exclusión; no inventar UI.</x:v>
      </x:c>
      <x:c r="F378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79" ht="68" customHeight="1">
      <x:c r="A379" s="13" t="str">
        <x:v>QA-CAN-020</x:v>
      </x:c>
      <x:c r="B379" s="13" t="str">
        <x:v>Pedidos: venta Nota de venta 80</x:v>
      </x:c>
      <x:c r="C379" s="13" t="str">
        <x:v>Módulos vigentes habilitados; facturas ordinarias 01/0101; NV 80/nv propia; caja, sucursal y mercancía QA. No envío WhatsApp real por matriz.
Módulo Pedidos habilitado y ruta identificada; cliente C 1; total 116; document_type_id 80.</x:v>
      </x:c>
      <x:c r="D379" s="13" t="str">
        <x:v>1. Abrir flujo real de Pedidos y preparar venta ordinaria
2. Elegir tipo 80, cliente, serie autorizada y pago 116
3. Finalizar por acción propia del canal y consultar venta/origen/stock/caja</x:v>
      </x:c>
      <x:c r="E379" s="13" t="str">
        <x:v>Venta única 80, identidad vigente, moneda/IVA/sucursal/serie correctos y efectos reconciliados. Documento comercial no se transmite como Factura HKA; persistencia/pagos/estado propios. Si no existe selector/tipo en este canal concreto, sustentar capacidad del código y registrar discrepancia o exclusión; no inventar UI.</x:v>
      </x:c>
      <x:c r="F379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80" ht="68" customHeight="1">
      <x:c r="A380" s="13" t="str">
        <x:v>QA-CAN-021</x:v>
      </x:c>
      <x:c r="B380" s="13" t="str">
        <x:v>Servicio técnico: venta Factura 01</x:v>
      </x:c>
      <x:c r="C380" s="13" t="str">
        <x:v>Módulos vigentes habilitados; facturas ordinarias 01/0101; NV 80/nv propia; caja, sucursal y mercancía QA. No envío WhatsApp real por matriz.
Módulo Servicio técnico habilitado y ruta identificada; cliente C 1; total 116; document_type_id 01.</x:v>
      </x:c>
      <x:c r="D380" s="13" t="str">
        <x:v>1. Abrir flujo real de Servicio técnico y preparar venta ordinaria
2. Elegir tipo 01, cliente, serie autorizada y pago 116
3. Finalizar por acción propia del canal y consultar venta/origen/stock/caja</x:v>
      </x:c>
      <x:c r="E380" s="13" t="str">
        <x:v>Venta única 01, identidad vigente, moneda/IVA/sucursal/serie correctos y efectos reconciliados. Si usa guardado común, factura digital DEMO produce resultado fiscal separado después del commit; registrar si hay otro escritor y el límite encontrado. Si no existe selector/tipo en este canal concreto, sustentar capacidad del código y registrar discrepancia o exclusión; no inventar UI.</x:v>
      </x:c>
      <x:c r="F380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81" ht="68" customHeight="1">
      <x:c r="A381" s="13" t="str">
        <x:v>QA-CAN-022</x:v>
      </x:c>
      <x:c r="B381" s="13" t="str">
        <x:v>Servicio técnico: venta Nota de venta nv</x:v>
      </x:c>
      <x:c r="C381" s="13" t="str">
        <x:v>Módulos vigentes habilitados; facturas ordinarias 01/0101; NV 80/nv propia; caja, sucursal y mercancía QA. No envío WhatsApp real por matriz.
Módulo Servicio técnico habilitado y ruta identificada; cliente C 1; total 116; document_type_idnv.</x:v>
      </x:c>
      <x:c r="D381" s="13" t="str">
        <x:v>1. Abrir flujo real de Servicio técnico y preparar venta ordinaria
2. Elegir tipo nv, cliente, serie autorizada y pago 116
3. Finalizar por acción propia del canal y consultar venta/origen/stock/caja</x:v>
      </x:c>
      <x:c r="E381" s="13" t="str">
        <x:v>Venta única nv, identidad vigente, moneda/IVA/sucursal/serie correctos y efectos reconciliados. Documento comercial no se transmite como Factura HKA; persistencia/pagos/estado propios. Si no existe selector/tipo en este canal concreto, sustentar capacidad del código y registrar discrepancia o exclusión; no inventar UI.</x:v>
      </x:c>
      <x:c r="F381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82" ht="68" customHeight="1">
      <x:c r="A382" s="13" t="str">
        <x:v>QA-CAN-023</x:v>
      </x:c>
      <x:c r="B382" s="13" t="str">
        <x:v>WhatsApp Bot: venta Factura 01</x:v>
      </x:c>
      <x:c r="C382" s="13" t="str">
        <x:v>Módulos vigentes habilitados; facturas ordinarias 01/0101; NV 80/nv propia; caja, sucursal y mercancía QA. No envío WhatsApp real por matriz.
Módulo WhatsApp Bot habilitado y ruta identificada; cliente C 1; total 116; document_type_id 01.</x:v>
      </x:c>
      <x:c r="D382" s="13" t="str">
        <x:v>1. Abrir flujo real de WhatsApp Bot y preparar venta ordinaria
2. Elegir tipo 01, cliente, serie autorizada y pago 116
3. Finalizar por acción propia del canal y consultar venta/origen/stock/caja</x:v>
      </x:c>
      <x:c r="E382" s="13" t="str">
        <x:v>Venta única 01, identidad vigente, moneda/IVA/sucursal/serie correctos y efectos reconciliados. Si usa guardado común, factura digital DEMO produce resultado fiscal separado después del commit; registrar si hay otro escritor y el límite encontrado. Si no existe selector/tipo en este canal concreto, sustentar capacidad del código y registrar discrepancia o exclusión; no inventar UI.</x:v>
      </x:c>
      <x:c r="F382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83" ht="68" customHeight="1">
      <x:c r="A383" s="13" t="str">
        <x:v>QA-CAN-024</x:v>
      </x:c>
      <x:c r="B383" s="13" t="str">
        <x:v>WhatsApp Bot: venta Nota de venta 80</x:v>
      </x:c>
      <x:c r="C383" s="13" t="str">
        <x:v>Módulos vigentes habilitados; facturas ordinarias 01/0101; NV 80/nv propia; caja, sucursal y mercancía QA. No envío WhatsApp real por matriz.
Módulo WhatsApp Bot habilitado y ruta identificada; cliente C 1; total 116; document_type_id 80.</x:v>
      </x:c>
      <x:c r="D383" s="13" t="str">
        <x:v>1. Abrir flujo real de WhatsApp Bot y preparar venta ordinaria
2. Elegir tipo 80, cliente, serie autorizada y pago 116
3. Finalizar por acción propia del canal y consultar venta/origen/stock/caja</x:v>
      </x:c>
      <x:c r="E383" s="13" t="str">
        <x:v>Venta única 80, identidad vigente, moneda/IVA/sucursal/serie correctos y efectos reconciliados. Documento comercial no se transmite como Factura HKA; persistencia/pagos/estado propios. Si no existe selector/tipo en este canal concreto, sustentar capacidad del código y registrar discrepancia o exclusión; no inventar UI.</x:v>
      </x:c>
      <x:c r="F383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84" ht="68" customHeight="1">
      <x:c r="A384" s="13" t="str">
        <x:v>QA-CAN-025</x:v>
      </x:c>
      <x:c r="B384" s="13" t="str">
        <x:v>POS cambio de moneda</x:v>
      </x:c>
      <x:c r="C384" s="13" t="str">
        <x:v>Módulos vigentes habilitados; facturas ordinarias 01/0101; NV 80/nv propia; caja, sucursal y mercancía QA. No envío WhatsApp real por matriz.
POS con P-G y VES/USD activos</x:v>
      </x:c>
      <x:c r="D384" s="13" t="str">
        <x:v>1. Alternar moneda varias veces
2. Cobrar en moneda elegida
3. Leer tasa/símbolo/payload/caja</x:v>
      </x:c>
      <x:c r="E384" s="13" t="str">
        <x:v>Sólo VES/USD; monto correcto sin conversiones acumuladas; cada entrada monetaria conserva su moneda.</x:v>
      </x:c>
      <x:c r="F384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85" ht="68" customHeight="1">
      <x:c r="A385" s="13" t="str">
        <x:v>QA-CAN-026</x:v>
      </x:c>
      <x:c r="B385" s="13" t="str">
        <x:v>POS efectivo sin denominaciones</x:v>
      </x:c>
      <x:c r="C385" s="13" t="str">
        <x:v>Módulos vigentes habilitados; facturas ordinarias 01/0101; NV 80/nv propia; caja, sucursal y mercancía QA. No envío WhatsApp real por matriz.
POS pago efectivo</x:v>
      </x:c>
      <x:c r="D385" s="13" t="str">
        <x:v>1. Abrir pantalla pago
2. Buscar accesos rápidos billetes
3. Ingresar manualmente entrega/vuelto</x:v>
      </x:c>
      <x:c r="E385" s="13" t="str">
        <x:v>Denominaciones ocultas según contrato; entrada manual/cálculo vuelto/otros medios activos.</x:v>
      </x:c>
      <x:c r="F385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86" ht="68" customHeight="1">
      <x:c r="A386" s="13" t="str">
        <x:v>QA-CAN-027</x:v>
      </x:c>
      <x:c r="B386" s="13" t="str">
        <x:v>POS descuento con permiso</x:v>
      </x:c>
      <x:c r="C386" s="13" t="str">
        <x:v>Módulos vigentes habilitados; facturas ordinarias 01/0101; NV 80/nv propia; caja, sucursal y mercancía QA. No envío WhatsApp real por matriz.
Administrador/vendedor restringido</x:v>
      </x:c>
      <x:c r="D386" s="13" t="str">
        <x:v>1. Aplicar descuento con usuario permitido
2. Repetir con usuario restringido
3. Intentar request directo</x:v>
      </x:c>
      <x:c r="E386" s="13" t="str">
        <x:v>Permiso efectivo incluso backend;descuento negativo/excesivo no elude IVA/total.</x:v>
      </x:c>
      <x:c r="F386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87" ht="68" customHeight="1">
      <x:c r="A387" s="13" t="str">
        <x:v>QA-CAN-028</x:v>
      </x:c>
      <x:c r="B387" s="13" t="str">
        <x:v>Garage conserva serie seleccionada</x:v>
      </x:c>
      <x:c r="C387" s="13" t="str">
        <x:v>Módulos vigentes habilitados; facturas ordinarias 01/0101; NV 80/nv propia; caja, sucursal y mercancía QA. No envío WhatsApp real por matriz.
Dos series autorizadas yuna seleccionada</x:v>
      </x:c>
      <x:c r="D387" s="13" t="str">
        <x:v>1. Cambiar cliente
2. Recargar opciones de pago/tipo documental
3. Guardar</x:v>
      </x:c>
      <x:c r="E387" s="13" t="str">
        <x:v>series_id válido sigue igual; sólo selecciona primera serie si la anterior dejó de estar autorizada; no forzar FF 01.</x:v>
      </x:c>
      <x:c r="F387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88" ht="68" customHeight="1">
      <x:c r="A388" s="13" t="str">
        <x:v>QA-CAN-029</x:v>
      </x:c>
      <x:c r="B388" s="13" t="str">
        <x:v>POS sus pe nd id o y recuperado</x:v>
      </x:c>
      <x:c r="C388" s="13" t="str">
        <x:v>Módulos vigentes habilitados; facturas ordinarias 01/0101; NV 80/nv propia; caja, sucursal y mercancía QA. No envío WhatsApp real por matriz.
Opción de suspender/recuperar visible</x:v>
      </x:c>
      <x:c r="D388" s="13" t="str">
        <x:v>1. Suspender venta con líneas
2. Recuperar con mismo usuario
3. Finalizar una vez</x:v>
      </x:c>
      <x:c r="E388" s="13" t="str">
        <x:v>Borrador recuperado sin otra venta/cobro previo; no se consume serie al suspender.</x:v>
      </x:c>
      <x:c r="F388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89" ht="68" customHeight="1">
      <x:c r="A389" s="13" t="str">
        <x:v>QA-CAN-030</x:v>
      </x:c>
      <x:c r="B389" s="13" t="str">
        <x:v>Hotel factura y NV presentación</x:v>
      </x:c>
      <x:c r="C389" s="13" t="str">
        <x:v>Módulos vigentes habilitados; facturas ordinarias 01/0101; NV 80/nv propia; caja, sucursal y mercancía QA. No envío WhatsApp real por matriz.
Consumo habitación con productos/servicios</x:v>
      </x:c>
      <x:c r="D389" s="13" t="str">
        <x:v>1. Liquidar en Factura y NV en fixtures distintos
2. Leer resumen/PDF
3. Comparar total/fiscal</x:v>
      </x:c>
      <x:c r="E389" s="13" t="str">
        <x:v>Factura sigue IVA normal; resumen NVde Hotel muestra Subtotal/Total sin IVA separado, conservando cálculos/datos. Modal Producto Hotel no ofrece sección eespecial retirada.</x:v>
      </x:c>
      <x:c r="F389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90" ht="68" customHeight="1">
      <x:c r="A390" s="13" t="str">
        <x:v>QA-CAN-031</x:v>
      </x:c>
      <x:c r="B390" s="13" t="str">
        <x:v>Restaurante consumos y propina</x:v>
      </x:c>
      <x:c r="C390" s="13" t="str">
        <x:v>Módulos vigentes habilitados; facturas ordinarias 01/0101; NV 80/nv propia; caja, sucursal y mercancía QA. No envío WhatsApp real por matriz.
Mesa/pedido con consumos y servicio configurado</x:v>
      </x:c>
      <x:c r="D390" s="13" t="str">
        <x:v>1. Cerrar en Factura
2. Cerrar otro en NV
3. Separar propina/recargo del precio autorizado</x:v>
      </x:c>
      <x:c r="E390" s="13" t="str">
        <x:v>Comprobante vinculado y total correcto; cierre no duplica consumo/inventario/caja. Probar división/unión de mesas sólo si están disponibles.</x:v>
      </x:c>
      <x:c r="F390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91" ht="68" customHeight="1">
      <x:c r="A391" s="13" t="str">
        <x:v>QA-CAN-032</x:v>
      </x:c>
      <x:c r="B391" s="13" t="str">
        <x:v>Ecommerce precio manipulado</x:v>
      </x:c>
      <x:c r="C391" s="13" t="str">
        <x:v>Módulos vigentes habilitados; facturas ordinarias 01/0101; NV 80/nv propia; caja, sucursal y mercancía QA. No envío WhatsApp real por matriz.
Pedido QAy pasarela en doble/sandbox</x:v>
      </x:c>
      <x:c r="D391" s="13" t="str">
        <x:v>1. Alterar precio/total/descuento/envío en request
2. Finalizar pedido
3. Comparar cálculo servidor/documento</x:v>
      </x:c>
      <x:c r="E391" s="13" t="str">
        <x:v>Servidor valida líneas y recalcula total autorizado; request cliente no decide monto del cobro ni Factura.</x:v>
      </x:c>
      <x:c r="F391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92" ht="68" customHeight="1">
      <x:c r="A392" s="13" t="str">
        <x:v>QA-CAN-033</x:v>
      </x:c>
      <x:c r="B392" s="13" t="str">
        <x:v>Ecommerce pago atribuido e idempotente</x:v>
      </x:c>
      <x:c r="C392" s="13" t="str">
        <x:v>Módulos vigentes habilitados; facturas ordinarias 01/0101; NV 80/nv propia; caja, sucursal y mercancía QA. No envío WhatsApp real por matriz.
Evento de pago sandbox</x:v>
      </x:c>
      <x:c r="D392" s="13" t="str">
        <x:v>1. Enviar evento con otra orden/importe/moneda
2. Enviar legítimo dos veces
3. Leer pedido/pago/factura</x:v>
      </x:c>
      <x:c r="E392" s="13" t="str">
        <x:v>Se vincula transacción al pedido/comercio/importe/moneda correctos una vez; PAID no basta y external_id del cliente no sustituye orden confirmada.</x:v>
      </x:c>
      <x:c r="F392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93" ht="68" customHeight="1">
      <x:c r="A393" s="13" t="str">
        <x:v>QA-CAN-034</x:v>
      </x:c>
      <x:c r="B393" s="13" t="str">
        <x:v>Mi Tienda sin serie de Boleta</x:v>
      </x:c>
      <x:c r="C393" s="13" t="str">
        <x:v>Módulos vigentes habilitados; facturas ordinarias 01/0101; NV 80/nv propia; caja, sucursal y mercancía QA. No envío WhatsApp real por matriz.
Configuración Mi Tienda y serie Factura</x:v>
      </x:c>
      <x:c r="D393" s="13" t="str">
        <x:v>1. Abrir configuración eimportación
2. Procesar factura QA válida
3. Revisar dependencias/campos retirados</x:v>
      </x:c>
      <x:c r="E393" s="13" t="str">
        <x:v>Procesar sólo exige sucursal/serie Factura; no exige series_document_bt_idni Boleta; importación describe Factura.</x:v>
      </x:c>
      <x:c r="F393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94" ht="68" customHeight="1">
      <x:c r="A394" s="13" t="str">
        <x:v>QA-CAN-035</x:v>
      </x:c>
      <x:c r="B394" s="13" t="str">
        <x:v>Servicio técnico alias nv</x:v>
      </x:c>
      <x:c r="C394" s="13" t="str">
        <x:v>Módulos vigentes habilitados; facturas ordinarias 01/0101; NV 80/nv propia; caja, sucursal y mercancía QA. No envío WhatsApp real por matriz.
Orden de servicio con piezas y mano deobra</x:v>
      </x:c>
      <x:c r="D394" s="13" t="str">
        <x:v>1. Generar Factura 01 y NVnv en fixtures
2. Consultar orden/PDF/pagos
3. Verificar stock de piezas</x:v>
      </x:c>
      <x:c r="E394" s="13" t="str">
        <x:v>Alias nv conservado donde se usa; mano de obra no mueve bienes; no se usa 03 por número identidad.</x:v>
      </x:c>
      <x:c r="F394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95" ht="68" customHeight="1">
      <x:c r="A395" s="13" t="str">
        <x:v>QA-CAN-036</x:v>
      </x:c>
      <x:c r="B395" s="13" t="str">
        <x:v>Bot sin mensajes reales</x:v>
      </x:c>
      <x:c r="C395" s="13" t="str">
        <x:v>Módulos vigentes habilitados; facturas ordinarias 01/0101; NV 80/nv propia; caja, sucursal y mercancía QA. No envío WhatsApp real por matriz.
Doble de tool CreateDocument y canal habilitado QA</x:v>
      </x:c>
      <x:c r="D395" s="13" t="str">
        <x:v>1. Crear venta 01/80 por eventos controlados
2. Repetir evento
3. Consultar local_state</x:v>
      </x:c>
      <x:c r="E395" s="13" t="str">
        <x:v>Herramienta valida tipo/cliente/precios, respuesta describe operación local; no se envían mensajes reales ni promete aceptación SUNAT.</x:v>
      </x:c>
      <x:c r="F395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96" ht="68" customHeight="1">
      <x:c r="A396" s="13" t="str">
        <x:v>QA-CAN-037</x:v>
      </x:c>
      <x:c r="B396" s="13" t="str">
        <x:v>API/móvil DTO de documento</x:v>
      </x:c>
      <x:c r="C396" s="13" t="str">
        <x:v>Módulos vigentes habilitados; facturas ordinarias 01/0101; NV 80/nv propia; caja, sucursal y mercancía QA. No envío WhatsApp real por matriz.
Token autorizado y Factura</x:v>
      </x:c>
      <x:c r="D396" s="13" t="str">
        <x:v>1. Consultar create/find/lists/record de la ruta real
2. Leer fiscal_emission / email_delivery / pdf_downloads
3. Descargar ticket autenticado</x:v>
      </x:c>
      <x:c r="E396" s="13" t="str">
        <x:v>DTO saneados y disponibilidad coherente; el proveedor local ticket no permite ruta insegura; contratos Mobile App no se suponen equivalentes aotrasrutas sin comprobarlos.</x:v>
      </x:c>
      <x:c r="F396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97" ht="68" customHeight="1">
      <x:c r="A397" s="13" t="str">
        <x:v>QA-CAN-038</x:v>
      </x:c>
      <x:c r="B397" s="13" t="str">
        <x:v>Offline y sincronización</x:v>
      </x:c>
      <x:c r="C397" s="13" t="str">
        <x:v>Módulos vigentes habilitados; facturas ordinarias 01/0101; NV 80/nv propia; caja, sucursal y mercancía QA. No envío WhatsApp real por matriz.
Módulo Offline vigente y dobles de red</x:v>
      </x:c>
      <x:c r="D397" s="13" t="str">
        <x:v>1. Preparar venta ordinaria sin red según capacidad actual
2. Sincronizar y reintentar
3. Conciliar documentos/stock/pagos</x:v>
      </x:c>
      <x:c r="E397" s="13" t="str">
        <x:v>No se afirma emisión HKA sin red. Sincronización respeta tipos vigentes y no duplica venta; documentar límite si hay escritor local fuera del guardado común.</x:v>
      </x:c>
      <x:c r="F397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98" ht="68" customHeight="1">
      <x:c r="A398" s="13" t="str">
        <x:v>QA-CAN-039</x:v>
      </x:c>
      <x:c r="B398" s="13" t="str">
        <x:v>Suscripciones y ventas periódicas</x:v>
      </x:c>
      <x:c r="C398" s="13" t="str">
        <x:v>Módulos vigentes habilitados; facturas ordinarias 01/0101; NV 80/nv propia; caja, sucursal y mercancía QA. No envío WhatsApp real por matriz.
Módulos Suscription / FullSuscription activos</x:v>
      </x:c>
      <x:c r="D398" s="13" t="str">
        <x:v>1. Generar venta Factura/NV según tipos reales
2. Repetir ciclo por fixture
3. Leer vínculos/pagos</x:v>
      </x:c>
      <x:c r="E398" s="13" t="str">
        <x:v>Período/origen y tipo vigente correctos; no duplicar recepción ni usar tipos retirados. Cada modalidad de suscripción observable exige QA-EXT propio.</x:v>
      </x:c>
      <x:c r="F398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399" ht="68" customHeight="1">
      <x:c r="A399" s="13" t="str">
        <x:v>QA-CAN-040</x:v>
      </x:c>
      <x:c r="B399" s="13" t="str">
        <x:v>Consignación y anticipos de otros módulos</x:v>
      </x:c>
      <x:c r="C399" s="13" t="str">
        <x:v>Módulos vigentes habilitados; facturas ordinarias 01/0101; NV 80/nv propia; caja, sucursal y mercancía QA. No envío WhatsApp real por matriz.
Módulo Consigned /anticipo vigente</x:v>
      </x:c>
      <x:c r="D399" s="13" t="str">
        <x:v>1. Facturar origen autorizado
2. Consultar consignado/vínculo y movimientos
3. Repetir generación</x:v>
      </x:c>
      <x:c r="E399" s="13" t="str">
        <x:v>Movimiento por conversión conciliado y cliente/serie autorizados; no emitir factura física por duplicado ni usar origin o de otro tenant.</x:v>
      </x:c>
      <x:c r="F399" s="13" t="str">
        <x:v>Fuentes: routes/web.php; routes/api.php; modules/Hotel/Routes/web.php; modules/Restaurant/Routes; modules/Ecommerce/Routes; modules/Store/Routes; modules/WhatsAppBot/Services/Tools/CreateDocumentTool.php; .codex/skills/mantener-facturas-notas-venta-sin-boleta/references/contrato.md
Entrada: Ruta real de cada módulo inventariada en QA; /pos y/pos/garage; API</x:v>
      </x:c>
    </x:row>
    <x:row r="400" ht="44" customHeight="1">
      <x:c r="A400" s="13" t="str">
        <x:v>QA-API-001</x:v>
      </x:c>
      <x:c r="B400" s="13" t="str">
        <x:v>Creación externa de Factura</x:v>
      </x:c>
      <x:c r="C400" s="13" t="str">
        <x:v>Token admin/vendedor/inválido; payload externo del transform actual; fixtures 01/07/08; adaptador HKA doble.
Payload según transform actual</x:v>
      </x:c>
      <x:c r="D400" s="13" t="str">
        <x:v>1. Enviar venta 01/0101 VES contado
2. Consultar por ruta find/lists real
3. Comparar respuesta y persistencia</x:v>
      </x:c>
      <x:c r="E400" s="13" t="str">
        <x:v>Contrato externo traducido sin mezclar clave web/API; venta única, resultado fiscal/descargas saneados.</x:v>
      </x:c>
      <x:c r="F400" s="13" t="str">
        <x:v>Fuentes: routes/api.php; app/Http/Controllers/Tenant/Api/DocumentController.php; app/CoreFacturalo/Requests/Api/Transform/DocumentTransform.php
Entrada: POST /api/documents y contratos actuales de consulta/cobro</x:v>
      </x:c>
    </x:row>
    <x:row r="401" ht="44" customHeight="1">
      <x:c r="A401" s="13" t="str">
        <x:v>QA-API-002</x:v>
      </x:c>
      <x:c r="B401" s="13" t="str">
        <x:v>Creación NC/ND por API</x:v>
      </x:c>
      <x:c r="C401" s="13" t="str">
        <x:v>Token admin/vendedor/inválido; payload externo del transform actual; fixtures 01/07/08; adaptador HKA doble.
Factura referencia compatible</x:v>
      </x:c>
      <x:c r="D401" s="13" t="str">
        <x:v>1. Enviar NC 07 y ND 08 con motivos vigentes en fixtures
2. Consultar relación
3. Preparar por servicio autorizado</x:v>
      </x:c>
      <x:c r="E401" s="13" t="str">
        <x:v>Tipos vigentes/referencia/IVA/moneda correctos; envío remoto notas no acreditado por creación API.</x:v>
      </x:c>
      <x:c r="F401" s="13" t="str">
        <x:v>Fuentes: routes/api.php; app/Http/Controllers/Tenant/Api/DocumentController.php; app/CoreFacturalo/Requests/Api/Transform/DocumentTransform.php
Entrada: POST /api/documents y contratos actuales de consulta/cobro</x:v>
      </x:c>
    </x:row>
    <x:row r="402" ht="44" customHeight="1">
      <x:c r="A402" s="13" t="str">
        <x:v>QA-API-003</x:v>
      </x:c>
      <x:c r="B402" s="13" t="str">
        <x:v>Payload incompleto o JSON inválido</x:v>
      </x:c>
      <x:c r="C402" s="13" t="str">
        <x:v>Token admin/vendedor/inválido; payload externo del transform actual; fixtures 01/07/08; adaptador HKA doble.
API autenticada</x:v>
      </x:c>
      <x:c r="D402" s="13" t="str">
        <x:v>1. Omitir cliente tipo artículo fecha serie obligatoria en variantes
2. Enviar JSON malformado
3. Leer códigos respuesta y efectos</x:v>
      </x:c>
      <x:c r="E402" s="13" t="str">
        <x:v>Errores identificables sin stacktrace/secretos y sin efectos parciales; serie vacía configurada no se trata como ausente inválida.</x:v>
      </x:c>
      <x:c r="F402" s="13" t="str">
        <x:v>Fuentes: routes/api.php; app/Http/Controllers/Tenant/Api/DocumentController.php; app/CoreFacturalo/Requests/Api/Transform/DocumentTransform.php
Entrada: POST /api/documents y contratos actuales de consulta/cobro</x:v>
      </x:c>
    </x:row>
    <x:row r="403" ht="44" customHeight="1">
      <x:c r="A403" s="13" t="str">
        <x:v>QA-API-004</x:v>
      </x:c>
      <x:c r="B403" s="13" t="str">
        <x:v>Campos desconocidos y retirados</x:v>
      </x:c>
      <x:c r="C403" s="13" t="str">
        <x:v>Token admin/vendedor/inválido; payload externo del transform actual; fixtures 01/07/08; adaptador HKA doble.
Payload válido con claves retiradas</x:v>
      </x:c>
      <x:c r="D403" s="13" t="str">
        <x:v>1. Añadir XML/SOAP/ISC/bolsas/UBL/retention antiguo
2. Enviar
3. Leer datos guardados</x:v>
      </x:c>
      <x:c r="E403" s="13" t="str">
        <x:v>No restaura contratos retirados ni cambia efectos fiscales; documentar rechazo/descartes conforme al request real.</x:v>
      </x:c>
      <x:c r="F403" s="13" t="str">
        <x:v>Fuentes: routes/api.php; app/Http/Controllers/Tenant/Api/DocumentController.php; app/CoreFacturalo/Requests/Api/Transform/DocumentTransform.php
Entrada: POST /api/documents y contratos actuales de consulta/cobro</x:v>
      </x:c>
    </x:row>
    <x:row r="404" ht="44" customHeight="1">
      <x:c r="A404" s="13" t="str">
        <x:v>QA-API-005</x:v>
      </x:c>
      <x:c r="B404" s="13" t="str">
        <x:v>Token sin alcance o inválido</x:v>
      </x:c>
      <x:c r="C404" s="13" t="str">
        <x:v>Token admin/vendedor/inválido; payload externo del transform actual; fixtures 01/07/08; adaptador HKA doble.
Token vendedor/expirado/otro tenant</x:v>
      </x:c>
      <x:c r="D404" s="13" t="str">
        <x:v>1. Crear/consultar/cobrar/descargar en diferentes rutas
2. Comparar permisos
3. Contar red</x:v>
      </x:c>
      <x:c r="E404" s="13" t="str">
        <x:v>Autorización en server antes de persistencia/proveedor; no se filtran datos por ID conocido.</x:v>
      </x:c>
      <x:c r="F404" s="13" t="str">
        <x:v>Fuentes: routes/api.php; app/Http/Controllers/Tenant/Api/DocumentController.php; app/CoreFacturalo/Requests/Api/Transform/DocumentTransform.php
Entrada: POST /api/documents y contratos actuales de consulta/cobro</x:v>
      </x:c>
    </x:row>
    <x:row r="405" ht="44" customHeight="1">
      <x:c r="A405" s="13" t="str">
        <x:v>QA-API-006</x:v>
      </x:c>
      <x:c r="B405" s="13" t="str">
        <x:v>Repetir misma creación HTTP</x:v>
      </x:c>
      <x:c r="C405" s="13" t="str">
        <x:v>Token admin/vendedor/inválido; payload externo del transform actual; fixtures 01/07/08; adaptador HKA doble.
Mismo payload de venta sin clave de idempotencia de venta confirmada</x:v>
      </x:c>
      <x:c r="D405" s="13" t="str">
        <x:v>1. Enviar una vez
2. Repetir idéntico tras resultado conocido
3. Comparar facturas y efectos</x:v>
      </x:c>
      <x:c r="E405" s="13" t="str">
        <x:v>Se registra capacidad real de idempotencia de creación; si duplica una operación que el canal requiere única, reportar defecto. UUID de pago no acredita idempotencia de Factura.</x:v>
      </x:c>
      <x:c r="F405" s="13" t="str">
        <x:v>Fuentes: routes/api.php; app/Http/Controllers/Tenant/Api/DocumentController.php; app/CoreFacturalo/Requests/Api/Transform/DocumentTransform.php
Entrada: POST /api/documents y contratos actuales de consulta/cobro</x:v>
      </x:c>
    </x:row>
    <x:row r="406" ht="44" customHeight="1">
      <x:c r="A406" s="13" t="str">
        <x:v>QA-API-007</x:v>
      </x:c>
      <x:c r="B406" s="13" t="str">
        <x:v>API rechaza exportación/terceros</x:v>
      </x:c>
      <x:c r="C406" s="13" t="str">
        <x:v>Token admin/vendedor/inválido; payload externo del transform actual; fixtures 01/07/08; adaptador HKA doble.
Payload ordinario y bandera WEB manipulada</x:v>
      </x:c>
      <x:c r="D406" s="13" t="str">
        <x:v>1. Enviar 0201/0202/0203 y third_party_id por separado
2. Enviar fiscal_data 99 directo
3. Leer efectos</x:v>
      </x:c>
      <x:c r="E406" s="13" t="str">
        <x:v>Capacidad reservada web no se habilita por flag; cada intento rechazado sin venta/stock/pago.</x:v>
      </x:c>
      <x:c r="F406" s="13" t="str">
        <x:v>Fuentes: routes/api.php; app/Http/Controllers/Tenant/Api/DocumentController.php; app/CoreFacturalo/Requests/Api/Transform/DocumentTransform.php
Entrada: POST /api/documents y contratos actuales de consulta/cobro</x:v>
      </x:c>
    </x:row>
    <x:row r="407" ht="44" customHeight="1">
      <x:c r="A407" s="13" t="str">
        <x:v>QA-API-008</x:v>
      </x:c>
      <x:c r="B407" s="13" t="str">
        <x:v>Datos sensibles anidados</x:v>
      </x:c>
      <x:c r="C407" s="13" t="str">
        <x:v>Token admin/vendedor/inválido; payload externo del transform actual; fixtures 01/07/08; adaptador HKA doble.
fiscal_data /conditional_data de QA</x:v>
      </x:c>
      <x:c r="D407" s="13" t="str">
        <x:v>1. Enviar claves password/token/jwt/secret anidadas
2. Guardar por endpoint soportado
3. Leer error/persistencia</x:v>
      </x:c>
      <x:c r="E407" s="13" t="str">
        <x:v>No almacena credenciales en snapshots/emisiones/datos fiscales; error saneado.</x:v>
      </x:c>
      <x:c r="F407" s="13" t="str">
        <x:v>Fuentes: routes/api.php; app/Http/Controllers/Tenant/Api/DocumentController.php; app/CoreFacturalo/Requests/Api/Transform/DocumentTransform.php
Entrada: POST /api/documents y contratos actuales de consulta/cobro</x:v>
      </x:c>
    </x:row>
    <x:row r="408" ht="56" customHeight="1">
      <x:c r="A408" s="13" t="str">
        <x:v>QA-IMP-001</x:v>
      </x:c>
      <x:c r="B408" s="13" t="str">
        <x:v>Descargar plantillas actuales</x:v>
      </x:c>
      <x:c r="C408" s="13" t="str">
        <x:v>Archivos generados de las plantillas actuales; tenant QA/token QA; filas válidas y erróneas; HKA en doble.
Permiso de importación/superadmin</x:v>
      </x:c>
      <x:c r="D408" s="13" t="str">
        <x:v>1. Descargar cada formato de documentos/segundo/Excel/masiva
2. Abrir encabezados
3. Mapear columnas tenant/moneda/serie/tipo</x:v>
      </x:c>
      <x:c r="E408" s="13" t="str">
        <x:v>Plantillas y contrato vigentes identificados; no se con fund en con Excel de productos ni inventa columna obligatoria.</x:v>
      </x:c>
      <x:c r="F408" s="13" t="str">
        <x:v>Fuentes: app/Http/Controllers/Tenant/DocumentController.php; app/Services/MassiveInvoiceService.php; app/Http/Controllers/System/MassiveInvoiceController.php; public/formats/documents_second_format.xlsx; public/formats/formato_facturas_masivas.xlsx
Entrada: Importar en Comprobantes; /massive-invoice de superadmin</x:v>
      </x:c>
    </x:row>
    <x:row r="409" ht="56" customHeight="1">
      <x:c r="A409" s="13" t="str">
        <x:v>QA-IMP-002</x:v>
      </x:c>
      <x:c r="B409" s="13" t="str">
        <x:v>Importación documento válido</x:v>
      </x:c>
      <x:c r="C409" s="13" t="str">
        <x:v>Archivos generados de las plantillas actuales; tenant QA/token QA; filas válidas y erróneas; HKA en doble.
Un archivo con una Factura 01 válida</x:v>
      </x:c>
      <x:c r="D409" s="13" t="str">
        <x:v>1. Importar formato actual
2. Consultar documento/número
3. Conciliar cliente/líneas/pagos/stock/emisión</x:v>
      </x:c>
      <x:c r="E409" s="13" t="str">
        <x:v>Venta local íntegra según contrato de importador; resultado real HKA registrado aparte si usa escritorcomún.</x:v>
      </x:c>
      <x:c r="F409" s="13" t="str">
        <x:v>Fuentes: app/Http/Controllers/Tenant/DocumentController.php; app/Services/MassiveInvoiceService.php; app/Http/Controllers/System/MassiveInvoiceController.php; public/formats/documents_second_format.xlsx; public/formats/formato_facturas_masivas.xlsx
Entrada: Importar en Comprobantes; /massive-invoice de superadmin</x:v>
      </x:c>
    </x:row>
    <x:row r="410" ht="56" customHeight="1">
      <x:c r="A410" s="13" t="str">
        <x:v>QA-IMP-003</x:v>
      </x:c>
      <x:c r="B410" s="13" t="str">
        <x:v>Segundo formato válido</x:v>
      </x:c>
      <x:c r="C410" s="13" t="str">
        <x:v>Archivos generados de las plantillas actuales; tenant QA/token QA; filas válidas y erróneas; HKA en doble.
Plantilla de segundo formato del despliegue</x:v>
      </x:c>
      <x:c r="D410" s="13" t="str">
        <x:v>1. Rellenar una Factura 01
2. Importar
3. Comparar campos con plantilla</x:v>
      </x:c>
      <x:c r="E410" s="13" t="str">
        <x:v>Cada formato tiene ejecución propia y mismo contrato doméstico vigente; éxito de un formato no acredita otro.</x:v>
      </x:c>
      <x:c r="F410" s="13" t="str">
        <x:v>Fuentes: app/Http/Controllers/Tenant/DocumentController.php; app/Services/MassiveInvoiceService.php; app/Http/Controllers/System/MassiveInvoiceController.php; public/formats/documents_second_format.xlsx; public/formats/formato_facturas_masivas.xlsx
Entrada: Importar en Comprobantes; /massive-invoice de superadmin</x:v>
      </x:c>
    </x:row>
    <x:row r="411" ht="56" customHeight="1">
      <x:c r="A411" s="13" t="str">
        <x:v>QA-IMP-004</x:v>
      </x:c>
      <x:c r="B411" s="13" t="str">
        <x:v>Importación Excel de comprobantes</x:v>
      </x:c>
      <x:c r="C411" s="13" t="str">
        <x:v>Archivos generados de las plantillas actuales; tenant QA/token QA; filas válidas y erróneas; HKA en doble.
Formato ImportExcel vigente</x:v>
      </x:c>
      <x:c r="D411" s="13" t="str">
        <x:v>1. Cargar archivo con varias líneas de una factura
2. Importar
3. Leer documentos/pagos/stock</x:v>
      </x:c>
      <x:c r="E411" s="13" t="str">
        <x:v>Agrupación de filas respeta identidad documental; no factura cada línea como venta separada.</x:v>
      </x:c>
      <x:c r="F411" s="13" t="str">
        <x:v>Fuentes: app/Http/Controllers/Tenant/DocumentController.php; app/Services/MassiveInvoiceService.php; app/Http/Controllers/System/MassiveInvoiceController.php; public/formats/documents_second_format.xlsx; public/formats/formato_facturas_masivas.xlsx
Entrada: Importar en Comprobantes; /massive-invoice de superadmin</x:v>
      </x:c>
    </x:row>
    <x:row r="412" ht="56" customHeight="1">
      <x:c r="A412" s="13" t="str">
        <x:v>QA-IMP-005</x:v>
      </x:c>
      <x:c r="B412" s="13" t="str">
        <x:v>Fila inválida y archivo mixto</x:v>
      </x:c>
      <x:c r="C412" s="13" t="str">
        <x:v>Archivos generados de las plantillas actuales; tenant QA/token QA; filas válidas y erróneas; HKA en doble.
Archivos con cliente faltante/moneda retirada/tipo 03/serie ajena</x:v>
      </x:c>
      <x:c r="D412" s="13" t="str">
        <x:v>1. Importar cada variante y archivo válido inválido mixto
2. Leer reporte/atomicidad real
3. Contar documentos</x:v>
      </x:c>
      <x:c r="E412" s="13" t="str">
        <x:v>Errores por fila recuperables; atomicidad real documentada sin ventas fantasma; los registros válidos no se cuentan como rechazados ni duplican al corregir.</x:v>
      </x:c>
      <x:c r="F412" s="13" t="str">
        <x:v>Fuentes: app/Http/Controllers/Tenant/DocumentController.php; app/Services/MassiveInvoiceService.php; app/Http/Controllers/System/MassiveInvoiceController.php; public/formats/documents_second_format.xlsx; public/formats/formato_facturas_masivas.xlsx
Entrada: Importar en Comprobantes; /massive-invoice de superadmin</x:v>
      </x:c>
    </x:row>
    <x:row r="413" ht="56" customHeight="1">
      <x:c r="A413" s="13" t="str">
        <x:v>QA-IMP-006</x:v>
      </x:c>
      <x:c r="B413" s="13" t="str">
        <x:v>Reimportación y duplicado</x:v>
      </x:c>
      <x:c r="C413" s="13" t="str">
        <x:v>Archivos generados de las plantillas actuales; tenant QA/token QA; filas válidas y erróneas; HKA en doble.
Archivo que ya importó una Factura</x:v>
      </x:c>
      <x:c r="D413" s="13" t="str">
        <x:v>1. Reimportar
2. Corregir una fila y reintentar
3. Comparar IDs/números/stock</x:v>
      </x:c>
      <x:c r="E413" s="13" t="str">
        <x:v>No se duplica identidad documental ya usa da; filas reprocesadas auditablemente. Si no hay de duplicación de flujo requerido, reportar defecto.</x:v>
      </x:c>
      <x:c r="F413" s="13" t="str">
        <x:v>Fuentes: app/Http/Controllers/Tenant/DocumentController.php; app/Services/MassiveInvoiceService.php; app/Http/Controllers/System/MassiveInvoiceController.php; public/formats/documents_second_format.xlsx; public/formats/formato_facturas_masivas.xlsx
Entrada: Importar en Comprobantes; /massive-invoice de superadmin</x:v>
      </x:c>
    </x:row>
    <x:row r="414" ht="56" customHeight="1">
      <x:c r="A414" s="13" t="str">
        <x:v>QA-IMP-007</x:v>
      </x:c>
      <x:c r="B414" s="13" t="str">
        <x:v>Serie vacía y con guiones en importación</x:v>
      </x:c>
      <x:c r="C414" s="13" t="str">
        <x:v>Archivos generados de las plantillas actuales; tenant QA/token QA; filas válidas y erróneas; HKA en doble.
Plantilla con referencias 25/QA-FF-01-25</x:v>
      </x:c>
      <x:c r="D414" s="13" t="str">
        <x:v>1. Importar ambas en sucursales controladas
2. Consultar por referencia
3. Leer HKA/número original</x:v>
      </x:c>
      <x:c r="E414" s="13" t="str">
        <x:v>Descomposición por último guion y alcance correctos; no persiste marcador ni relleno como nueva serie.</x:v>
      </x:c>
      <x:c r="F414" s="13" t="str">
        <x:v>Fuentes: app/Http/Controllers/Tenant/DocumentController.php; app/Services/MassiveInvoiceService.php; app/Http/Controllers/System/MassiveInvoiceController.php; public/formats/documents_second_format.xlsx; public/formats/formato_facturas_masivas.xlsx
Entrada: Importar en Comprobantes; /massive-invoice de superadmin</x:v>
      </x:c>
    </x:row>
    <x:row r="415" ht="56" customHeight="1">
      <x:c r="A415" s="13" t="str">
        <x:v>QA-IMP-008</x:v>
      </x:c>
      <x:c r="B415" s="13" t="str">
        <x:v>Exportación/terceros importados no habilitados</x:v>
      </x:c>
      <x:c r="C415" s="13" t="str">
        <x:v>Archivos generados de las plantillas actuales; tenant QA/token QA; filas válidas y erróneas; HKA en doble.
Importador no web o sin capacidad explícita</x:v>
      </x:c>
      <x:c r="D415" s="13" t="str">
        <x:v>1. Intentar operación 0201 y tercero desde archivo
2. Leer rechazo
3. Comparar efectos</x:v>
      </x:c>
      <x:c r="E415" s="13" t="str">
        <x:v>No se habilitan flujos reservados web por columnas/flags; alcance real de importador verificado.</x:v>
      </x:c>
      <x:c r="F415" s="13" t="str">
        <x:v>Fuentes: app/Http/Controllers/Tenant/DocumentController.php; app/Services/MassiveInvoiceService.php; app/Http/Controllers/System/MassiveInvoiceController.php; public/formats/documents_second_format.xlsx; public/formats/formato_facturas_masivas.xlsx
Entrada: Importar en Comprobantes; /massive-invoice de superadmin</x:v>
      </x:c>
    </x:row>
    <x:row r="416" ht="56" customHeight="1">
      <x:c r="A416" s="13" t="str">
        <x:v>QA-IMP-009</x:v>
      </x:c>
      <x:c r="B416" s="13" t="str">
        <x:v>Masiva superadmin carga y proceso</x:v>
      </x:c>
      <x:c r="C416" s="13" t="str">
        <x:v>Archivos generados de las plantillas actuales; tenant QA/token QA; filas válidas y erróneas; HKA en doble.
Superadmin QA y token acceso tenant QA</x:v>
      </x:c>
      <x:c r="D416" s="13" t="str">
        <x:v>1. Descargar formato y subir 2 ventas válidas
2. Procesar
3. Consultar registros y exportar</x:v>
      </x:c>
      <x:c r="E416" s="13" t="str">
        <x:v>Filas/ruta de emisión local trazables; estado_emision/mensaje_emision, sin estado_sunat ni enlaces XML/CDR. Guardado local no afirma confirmación HKA.</x:v>
      </x:c>
      <x:c r="F416" s="13" t="str">
        <x:v>Fuentes: app/Http/Controllers/Tenant/DocumentController.php; app/Services/MassiveInvoiceService.php; app/Http/Controllers/System/MassiveInvoiceController.php; public/formats/documents_second_format.xlsx; public/formats/formato_facturas_masivas.xlsx
Entrada: Importar en Comprobantes; /massive-invoice de superadmin</x:v>
      </x:c>
    </x:row>
    <x:row r="417" ht="56" customHeight="1">
      <x:c r="A417" s="13" t="str">
        <x:v>QA-IMP-010</x:v>
      </x:c>
      <x:c r="B417" s="13" t="str">
        <x:v>Masiva errores parciales y acceso</x:v>
      </x:c>
      <x:c r="C417" s="13" t="str">
        <x:v>Archivos generados de las plantillas actuales; tenant QA/token QA; filas válidas y erróneas; HKA en doble.
Lote válido/inválido y usuario sinpermiso</x:v>
      </x:c>
      <x:c r="D417" s="13" t="str">
        <x:v>1. Procesar mixto
2. Reprocesar sólo errores
3. Intentar listado/descarga por sinpermiso</x:v>
      </x:c>
      <x:c r="E417" s="13" t="str">
        <x:v>Éxitos/errores por fila estructurados y acceso correctos; operación no emitida no se presenta aprobada.</x:v>
      </x:c>
      <x:c r="F417" s="13" t="str">
        <x:v>Fuentes: app/Http/Controllers/Tenant/DocumentController.php; app/Services/MassiveInvoiceService.php; app/Http/Controllers/System/MassiveInvoiceController.php; public/formats/documents_second_format.xlsx; public/formats/formato_facturas_masivas.xlsx
Entrada: Importar en Comprobantes; /massive-invoice de superadmin</x:v>
      </x:c>
    </x:row>
    <x:row r="418" ht="56" customHeight="1">
      <x:c r="A418" s="13" t="str">
        <x:v>QA-IMP-011</x:v>
      </x:c>
      <x:c r="B418" s="13" t="str">
        <x:v>Masiva PDF y exportación de resultados</x:v>
      </x:c>
      <x:c r="C418" s="13" t="str">
        <x:v>Archivos generados de las plantillas actuales; tenant QA/token QA; filas válidas y erróneas; HKA en doble.
Lote procesado con PDF disponible</x:v>
      </x:c>
      <x:c r="D418" s="13" t="str">
        <x:v>1. Descargar PDF por identidad
2. Exportar listado
3. Comparar filas/estado/documento</x:v>
      </x:c>
      <x:c r="E418" s="13" t="str">
        <x:v>Resultado correspondeaventaautorizada; sólo original HKA par as digital cuando aplique; no evidencia deprod por archivo existente.</x:v>
      </x:c>
      <x:c r="F418" s="13" t="str">
        <x:v>Fuentes: app/Http/Controllers/Tenant/DocumentController.php; app/Services/MassiveInvoiceService.php; app/Http/Controllers/System/MassiveInvoiceController.php; public/formats/documents_second_format.xlsx; public/formats/formato_facturas_masivas.xlsx
Entrada: Importar en Comprobantes; /massive-invoice de superadmin</x:v>
      </x:c>
    </x:row>
    <x:row r="419" ht="56" customHeight="1">
      <x:c r="A419" s="13" t="str">
        <x:v>QA-IMP-012</x:v>
      </x:c>
      <x:c r="B419" s="13" t="str">
        <x:v>Archivo indebido y volumen</x:v>
      </x:c>
      <x:c r="C419" s="13" t="str">
        <x:v>Archivos generados de las plantillas actuales; tenant QA/token QA; filas válidas y erróneas; HKA en doble.
Uploads de extensión/tamaño erróneo y 100 filas QA</x:v>
      </x:c>
      <x:c r="D419" s="13" t="str">
        <x:v>1. Subir cada variante
2. Medir tiempo/errores
3. Comparar contadores</x:v>
      </x:c>
      <x:c r="E419" s="13" t="str">
        <x:v>Validación según límites reales; volumen 100 es fixture,no máximo asumido; sin lectura de ruta externa ni fallos parciales ocultos.</x:v>
      </x:c>
      <x:c r="F419" s="13" t="str">
        <x:v>Fuentes: app/Http/Controllers/Tenant/DocumentController.php; app/Services/MassiveInvoiceService.php; app/Http/Controllers/System/MassiveInvoiceController.php; public/formats/documents_second_format.xlsx; public/formats/formato_facturas_masivas.xlsx
Entrada: Importar en Comprobantes; /massive-invoice de superadmin</x:v>
      </x:c>
    </x:row>
    <x:row r="420" ht="56" customHeight="1">
      <x:c r="A420" s="13" t="str">
        <x:v>QA-ANU-001</x:v>
      </x:c>
      <x:c r="B420" s="13" t="str">
        <x:v>Anulación local y estado</x:v>
      </x:c>
      <x:c r="C420" s="13" t="str">
        <x:v>Fixtures comercialmente anulables y digitales confirmed; permisos/admin; bases QA desechables. No ejecutar limpieza masiva ajena a corrida.
Factura QA permitida para anular</x:v>
      </x:c>
      <x:c r="D420" s="13" t="str">
        <x:v>1. Usar Anular y registrar motivo
2. Consultar listado detalle/registros
3. Conciliar stock/pagos/saldo</x:v>
      </x:c>
      <x:c r="E420" s="13" t="str">
        <x:v>Estado local y efectos según política se conservan auditables; no se afirma anulación HKA remota que no está implementada.</x:v>
      </x:c>
      <x:c r="F420" s="13" t="str">
        <x:v>Fuentes: app/Http/Controllers/Tenant/VoidedController.php; app/Http/Controllers/Tenant/DocumentController.php; tests/Unit/TestDocumentsDeletionBehaviorTest.php; tests/Unit/TestDocumentsDeletionContractTest.php
Entrada: Acciones reales Anular/Recrear/Registrar; herramientas de datos de prueba del entorno</x:v>
      </x:c>
    </x:row>
    <x:row r="421" ht="56" customHeight="1">
      <x:c r="A421" s="13" t="str">
        <x:v>QA-ANU-002</x:v>
      </x:c>
      <x:c r="B421" s="13" t="str">
        <x:v>Anulado prevalece sobre confirmed</x:v>
      </x:c>
      <x:c r="C421" s="13" t="str">
        <x:v>Fixtures comercialmente anulables y digitales confirmed; permisos/admin; bases QA desechables. No ejecutar limpieza masiva ajena a corrida.
Factura con confirmed previo y fixture anulado</x:v>
      </x:c>
      <x:c r="D421" s="13" t="str">
        <x:v>1. Abrir listado y Opciones
2. Intentar Editar/Cobrar/Correo/PDF fiscal
3. Leer resultados</x:v>
      </x:c>
      <x:c r="E421" s="13" t="str">
        <x:v>Estado/anulación priorizados y acciones fiscales de documento no vigente bloqueadas; no se borra aceptación histórica para disfrazar el estado.</x:v>
      </x:c>
      <x:c r="F421" s="13" t="str">
        <x:v>Fuentes: app/Http/Controllers/Tenant/VoidedController.php; app/Http/Controllers/Tenant/DocumentController.php; tests/Unit/TestDocumentsDeletionBehaviorTest.php; tests/Unit/TestDocumentsDeletionContractTest.php
Entrada: Acciones reales Anular/Recrear/Registrar; herramientas de datos de prueba del entorno</x:v>
      </x:c>
    </x:row>
    <x:row r="422" ht="56" customHeight="1">
      <x:c r="A422" s="13" t="str">
        <x:v>QA-ANU-003</x:v>
      </x:c>
      <x:c r="B422" s="13" t="str">
        <x:v>Restricción por fecha de anulación</x:v>
      </x:c>
      <x:c r="C422" s="13" t="str">
        <x:v>Fixtures comercialmente anulables y digitales confirmed; permisos/admin; bases QA desechables. No ejecutar limpieza masiva ajena a corrida.
Flag restrict_voided_send y plazo de fixture</x:v>
      </x:c>
      <x:c r="D422" s="13" t="str">
        <x:v>1. Anular justo en el límite
2. Intentar un día después
3. Leer respuesta</x:v>
      </x:c>
      <x:c r="E422" s="13" t="str">
        <x:v>Frontera del plazo configurada correcta; error legible y sin operación parcial.</x:v>
      </x:c>
      <x:c r="F422" s="13" t="str">
        <x:v>Fuentes: app/Http/Controllers/Tenant/VoidedController.php; app/Http/Controllers/Tenant/DocumentController.php; tests/Unit/TestDocumentsDeletionBehaviorTest.php; tests/Unit/TestDocumentsDeletionContractTest.php
Entrada: Acciones reales Anular/Recrear/Registrar; herramientas de datos de prueba del entorno</x:v>
      </x:c>
    </x:row>
    <x:row r="423" ht="56" customHeight="1">
      <x:c r="A423" s="13" t="str">
        <x:v>QA-ANU-004</x:v>
      </x:c>
      <x:c r="B423" s="13" t="str">
        <x:v>Solicitud por anular y cancelación local</x:v>
      </x:c>
      <x:c r="C423" s="13" t="str">
        <x:v>Fixtures comercialmente anulables y digitales confirmed; permisos/admin; bases QA desechables. No ejecutar limpieza masiva ajena a corrida.
Flujo voided real vigente</x:v>
      </x:c>
      <x:c r="D423" s="13" t="str">
        <x:v>1. Crear solicitud
2. Consultar estado
3. Eliminar/cancelar solicitud en fixture permitido</x:v>
      </x:c>
      <x:c r="E423" s="13" t="str">
        <x:v>Vínculos y estado comercial coherentes; la acción de local no se presenta como cancelar registro remoto HKA.</x:v>
      </x:c>
      <x:c r="F423" s="13" t="str">
        <x:v>Fuentes: app/Http/Controllers/Tenant/VoidedController.php; app/Http/Controllers/Tenant/DocumentController.php; tests/Unit/TestDocumentsDeletionBehaviorTest.php; tests/Unit/TestDocumentsDeletionContractTest.php
Entrada: Acciones reales Anular/Recrear/Registrar; herramientas de datos de prueba del entorno</x:v>
      </x:c>
    </x:row>
    <x:row r="424" ht="56" customHeight="1">
      <x:c r="A424" s="13" t="str">
        <x:v>QA-ANU-005</x:v>
      </x:c>
      <x:c r="B424" s="13" t="str">
        <x:v>Anulación repetida/concurrente</x:v>
      </x:c>
      <x:c r="C424" s="13" t="str">
        <x:v>Fixtures comercialmente anulables y digitales confirmed; permisos/admin; bases QA desechables. No ejecutar limpieza masiva ajena a corrida.
Factura anulable</x:v>
      </x:c>
      <x:c r="D424" s="13" t="str">
        <x:v>1. Solicitar dos veces y concurrentemente
2. Leer registros
3. Comparar stock y pagos</x:v>
      </x:c>
      <x:c r="E424" s="13" t="str">
        <x:v>No reaplica restitución/recepción ni duplica vínculo de anulación; violación se reporta.</x:v>
      </x:c>
      <x:c r="F424" s="13" t="str">
        <x:v>Fuentes: app/Http/Controllers/Tenant/VoidedController.php; app/Http/Controllers/Tenant/DocumentController.php; tests/Unit/TestDocumentsDeletionBehaviorTest.php; tests/Unit/TestDocumentsDeletionContractTest.php
Entrada: Acciones reales Anular/Recrear/Registrar; herramientas de datos de prueba del entorno</x:v>
      </x:c>
    </x:row>
    <x:row r="425" ht="56" customHeight="1">
      <x:c r="A425" s="13" t="str">
        <x:v>QA-ANU-006</x:v>
      </x:c>
      <x:c r="B425" s="13" t="str">
        <x:v>Recrear o registrar estado</x:v>
      </x:c>
      <x:c r="C425" s="13" t="str">
        <x:v>Fixtures comercialmente anulables y digitales confirmed; permisos/admin; bases QA desechables. No ejecutar limpieza masiva ajena a corrida.
Botones btn_recreate_document/registered sólo en fixture elegible</x:v>
      </x:c>
      <x:c r="D425" s="13" t="str">
        <x:v>1. Ejecutar cada acción permitida
2. Leer identidad/nueva venta/vínculos
3. Comprobar HKA y comercio</x:v>
      </x:c>
      <x:c r="E425" s="13" t="str">
        <x:v>No se duplica factura confirmada ni se usa registro local para fingir confirmed; alcance y permiso reales documentados.</x:v>
      </x:c>
      <x:c r="F425" s="13" t="str">
        <x:v>Fuentes: app/Http/Controllers/Tenant/VoidedController.php; app/Http/Controllers/Tenant/DocumentController.php; tests/Unit/TestDocumentsDeletionBehaviorTest.php; tests/Unit/TestDocumentsDeletionContractTest.php
Entrada: Acciones reales Anular/Recrear/Registrar; herramientas de datos de prueba del entorno</x:v>
      </x:c>
    </x:row>
    <x:row r="426" ht="56" customHeight="1">
      <x:c r="A426" s="13" t="str">
        <x:v>QA-ANU-007</x:v>
      </x:c>
      <x:c r="B426" s="13" t="str">
        <x:v>Eliminar documento con relaciones</x:v>
      </x:c>
      <x:c r="C426" s="13" t="str">
        <x:v>Fixtures comercialmente anulables y digitales confirmed; permisos/admin; bases QA desechables. No ejecutar limpieza masiva ajena a corrida.
Factura con pagos/notas/control o referencias</x:v>
      </x:c>
      <x:c r="D426" s="13" t="str">
        <x:v>1. Intentar borrado a través de ruta existente
2. Leer rechazo/atomicidad
3. Consultar relaciones y stock</x:v>
      </x:c>
      <x:c r="E426" s="13" t="str">
        <x:v>No queda eliminación parcial ni referencia huérfana. Operación con control no se borra para evadir trazabilidad fiscal.</x:v>
      </x:c>
      <x:c r="F426" s="13" t="str">
        <x:v>Fuentes: app/Http/Controllers/Tenant/VoidedController.php; app/Http/Controllers/Tenant/DocumentController.php; tests/Unit/TestDocumentsDeletionBehaviorTest.php; tests/Unit/TestDocumentsDeletionContractTest.php
Entrada: Acciones reales Anular/Recrear/Registrar; herramientas de datos de prueba del entorno</x:v>
      </x:c>
    </x:row>
    <x:row r="427" ht="56" customHeight="1">
      <x:c r="A427" s="13" t="str">
        <x:v>QA-ANU-008</x:v>
      </x:c>
      <x:c r="B427" s="13" t="str">
        <x:v>Herramienta de eliminación de datos DEMO</x:v>
      </x:c>
      <x:c r="C427" s="13" t="str">
        <x:v>Fixtures comercialmente anulables y digitales confirmed; permisos/admin; bases QA desechables. No ejecutar limpieza masiva ajena a corrida.
Tenant QA desechable exclusivo y contrato DeleteTestDocuments</x:v>
      </x:c>
      <x:c r="D427" s="13" t="str">
        <x:v>1. Leer alcance real y contar documentos/relaciones afectados antes de ejecutar
2. Comprobar usuario administrador y confirmación literal ELIMINAR
3. Ejecutar al final de la corrida y verificar relaciones/caja/stock</x:v>
      </x:c>
      <x:c r="E427" s="13" t="str">
        <x:v>Purga cumple su alcance DEMO y transacción; conserva evidencia antes de borrar y no afecta tenants operativos. No se usa como anulación remota ni elimina el bloqueo de ambiente tras operar.</x:v>
      </x:c>
      <x:c r="F427" s="13" t="str">
        <x:v>Fuentes: app/Http/Controllers/Tenant/VoidedController.php; app/Http/Controllers/Tenant/DocumentController.php; tests/Unit/TestDocumentsDeletionBehaviorTest.php; tests/Unit/TestDocumentsDeletionContractTest.php
Entrada: Acciones reales Anular/Recrear/Registrar; herramientas de datos de prueba del entorno</x:v>
      </x:c>
    </x:row>
    <x:row r="428" ht="56" customHeight="1">
      <x:c r="A428" s="13" t="str">
        <x:v>QA-ANU-009</x:v>
      </x:c>
      <x:c r="B428" s="13" t="str">
        <x:v>Permisos de anular/recrear/eliminar</x:v>
      </x:c>
      <x:c r="C428" s="13" t="str">
        <x:v>Fixtures comercialmente anulables y digitales confirmed; permisos/admin; bases QA desechables. No ejecutar limpieza masiva ajena a corrida.
Vendedor con/sinpermiso y otro tenant/sucursal</x:v>
      </x:c>
      <x:c r="D428" s="13" t="str">
        <x:v>1. Intentar UI y request directo para cada acción
2. Comparar efectos
3. Leer respuesta</x:v>
      </x:c>
      <x:c r="E428" s="13" t="str">
        <x:v>Servidor autoriza tenant/sucursal/capacidad antes de mutar. Un menú oculto no prueba seguridad.</x:v>
      </x:c>
      <x:c r="F428" s="13" t="str">
        <x:v>Fuentes: app/Http/Controllers/Tenant/VoidedController.php; app/Http/Controllers/Tenant/DocumentController.php; tests/Unit/TestDocumentsDeletionBehaviorTest.php; tests/Unit/TestDocumentsDeletionContractTest.php
Entrada: Acciones reales Anular/Recrear/Registrar; herramientas de datos de prueba del entorno</x:v>
      </x:c>
    </x:row>
    <x:row r="429" ht="44" customHeight="1">
      <x:c r="A429" s="13" t="str">
        <x:v>QA-FIN-001</x:v>
      </x:c>
      <x:c r="B429" s="13" t="str">
        <x:v>Conciliar venta, cobro y saldo</x:v>
      </x:c>
      <x:c r="C429" s="13" t="str">
        <x:v>Libro independiente: venta 116 VES; pago 30; retención IVA 12; fondo 10; saldo 64; fixture USD+IGTF.
Fixture 116/30/12/10</x:v>
      </x:c>
      <x:c r="D429" s="13" t="str">
        <x:v>1. Leer listado/detalle/Pagos/Finanzas
2. Comparar control independiente
3. Exportar PDF/Excel</x:v>
      </x:c>
      <x:c r="E429" s="13" t="str">
        <x:v>Venta 116, efectivo 30, retención 12, fondo 10 y saldo 64 en todas las vistas; no se confunde aplicado con recibido.</x:v>
      </x:c>
      <x:c r="F429" s="13" t="str">
        <x:v>Fuentes: modules/Finance/Routes/web.php; modules/Report/Routes/web.php; modules/Dashboard; resources/views/pdf/partials/document_fiscal_totals.blade.php
Entrada: Caja; Finanzas → cuentas por cobrar/pagos/global/balance; Reportes/Dashboard</x:v>
      </x:c>
    </x:row>
    <x:row r="430" ht="44" customHeight="1">
      <x:c r="A430" s="13" t="str">
        <x:v>QA-FIN-002</x:v>
      </x:c>
      <x:c r="B430" s="13" t="str">
        <x:v>Cierre de caja y bancos</x:v>
      </x:c>
      <x:c r="C430" s="13" t="str">
        <x:v>Libro independiente: venta 116 VES; pago 30; retención IVA 12; fondo 10; saldo 64; fixture USD+IGTF.
Pagos en efectivo/banco/monedas distintas</x:v>
      </x:c>
      <x:c r="D430" s="13" t="str">
        <x:v>1. Leer resumen caja,banco,movimientos
2. Cerrar caja QA
3. Exportar ticket/A4/Excel</x:v>
      </x:c>
      <x:c r="E430" s="13" t="str">
        <x:v>Totales por destino/moneda y recepción neta; no cuenta Facturaa crédito como efectivo ni suma USD/VES nominalmente.</x:v>
      </x:c>
      <x:c r="F430" s="13" t="str">
        <x:v>Fuentes: modules/Finance/Routes/web.php; modules/Report/Routes/web.php; modules/Dashboard; resources/views/pdf/partials/document_fiscal_totals.blade.php
Entrada: Caja; Finanzas → cuentas por cobrar/pagos/global/balance; Reportes/Dashboard</x:v>
      </x:c>
    </x:row>
    <x:row r="431" ht="44" customHeight="1">
      <x:c r="A431" s="13" t="str">
        <x:v>QA-FIN-003</x:v>
      </x:c>
      <x:c r="B431" s="13" t="str">
        <x:v>Recibos IGTF no duplican ingreso</x:v>
      </x:c>
      <x:c r="C431" s="13" t="str">
        <x:v>Libro independiente: venta 116 VES; pago 30; retención IVA 12; fondo 10; saldo 64; fixture USD+IGTF.
Pago USD 20+IGTF 0.60 y recibo derivado</x:v>
      </x:c>
      <x:c r="D431" s="13" t="str">
        <x:v>1. Leer movimientos/caja/global-payments/dashboard
2. Contar transacciones efectivas
3. Comparar total</x:v>
      </x:c>
      <x:c r="E431" s="13" t="str">
        <x:v>Recepción 20.60 USD una vez; principal/IGTF desglosados y derivado excluido de nueva entrada.</x:v>
      </x:c>
      <x:c r="F431" s="13" t="str">
        <x:v>Fuentes: modules/Finance/Routes/web.php; modules/Report/Routes/web.php; modules/Dashboard; resources/views/pdf/partials/document_fiscal_totals.blade.php
Entrada: Caja; Finanzas → cuentas por cobrar/pagos/global/balance; Reportes/Dashboard</x:v>
      </x:c>
    </x:row>
    <x:row r="432" ht="44" customHeight="1">
      <x:c r="A432" s="13" t="str">
        <x:v>QA-FIN-004</x:v>
      </x:c>
      <x:c r="B432" s="13" t="str">
        <x:v>Reversión cambia reportes</x:v>
      </x:c>
      <x:c r="C432" s="13" t="str">
        <x:v>Libro independiente: venta 116 VES; pago 30; retención IVA 12; fondo 10; saldo 64; fixture USD+IGTF.
Pago 30 VES revertido en fixture</x:v>
      </x:c>
      <x:c r="D432" s="13" t="str">
        <x:v>1. Exportar antes/después
2. Comparar saldo/caja/bancos
3. Leer historia pago</x:v>
      </x:c>
      <x:c r="E432" s="13" t="str">
        <x:v>Pago permanece auditado pero excluido de saldo/ingreso activo; reportes no siguen mostrándolo como cobro vigente.</x:v>
      </x:c>
      <x:c r="F432" s="13" t="str">
        <x:v>Fuentes: modules/Finance/Routes/web.php; modules/Report/Routes/web.php; modules/Dashboard; resources/views/pdf/partials/document_fiscal_totals.blade.php
Entrada: Caja; Finanzas → cuentas por cobrar/pagos/global/balance; Reportes/Dashboard</x:v>
      </x:c>
    </x:row>
    <x:row r="433" ht="44" customHeight="1">
      <x:c r="A433" s="13" t="str">
        <x:v>QA-FIN-005</x:v>
      </x:c>
      <x:c r="B433" s="13" t="str">
        <x:v>Facturas crédito y vencimientos</x:v>
      </x:c>
      <x:c r="C433" s="13" t="str">
        <x:v>Libro independiente: venta 116 VES; pago 30; retención IVA 12; fondo 10; saldo 64; fixture USD+IGTF.
Cuotas 58/58 y fecha actual controlada</x:v>
      </x:c>
      <x:c r="D433" s="13" t="str">
        <x:v>1. Consultar pendientes/vencidos
2. Cobrar parcial
3. Leer evolución cuotas/saldo</x:v>
      </x:c>
      <x:c r="E433" s="13" t="str">
        <x:v>Importes y fecha corte Caracas correctos; pago/retención/fondo aplicados sin duplicación y sin presumir cuota pagada por crear Factura.</x:v>
      </x:c>
      <x:c r="F433" s="13" t="str">
        <x:v>Fuentes: modules/Finance/Routes/web.php; modules/Report/Routes/web.php; modules/Dashboard; resources/views/pdf/partials/document_fiscal_totals.blade.php
Entrada: Caja; Finanzas → cuentas por cobrar/pagos/global/balance; Reportes/Dashboard</x:v>
      </x:c>
    </x:row>
    <x:row r="434" ht="44" customHeight="1">
      <x:c r="A434" s="13" t="str">
        <x:v>QA-FIN-006</x:v>
      </x:c>
      <x:c r="B434" s="13" t="str">
        <x:v>Filtrar sucursal, usuario y moneda</x:v>
      </x:c>
      <x:c r="C434" s="13" t="str">
        <x:v>Libro independiente: venta 116 VES; pago 30; retención IVA 12; fondo 10; saldo 64; fixture USD+IGTF.
Fixtures S 1/S 2,U 1/U 2,VES/USD</x:v>
      </x:c>
      <x:c r="D434" s="13" t="str">
        <x:v>1. Aplicar cada filtro y combinaciones
2. Exportar
3. Comparar listado/total/conteos</x:v>
      </x:c>
      <x:c r="E434" s="13" t="str">
        <x:v>Exportación y pantalla misma población; usuario no obtiene otra sucursal sinpermiso; equivalentes identificados.</x:v>
      </x:c>
      <x:c r="F434" s="13" t="str">
        <x:v>Fuentes: modules/Finance/Routes/web.php; modules/Report/Routes/web.php; modules/Dashboard; resources/views/pdf/partials/document_fiscal_totals.blade.php
Entrada: Caja; Finanzas → cuentas por cobrar/pagos/global/balance; Reportes/Dashboard</x:v>
      </x:c>
    </x:row>
    <x:row r="435" ht="44" customHeight="1">
      <x:c r="A435" s="13" t="str">
        <x:v>QA-FIN-007</x:v>
      </x:c>
      <x:c r="B435" s="13" t="str">
        <x:v>Todos los reportes de ventas</x:v>
      </x:c>
      <x:c r="C435" s="13" t="str">
        <x:v>Libro independiente: venta 116 VES; pago 30; retención IVA 12; fondo 10; saldo 64; fixture USD+IGTF.
Menú Reportes relacionado con facturación inventariado</x:v>
      </x:c>
      <x:c r="D435" s="13" t="str">
        <x:v>1. Crear QA-EXT por reporte y formato disponible
2. Usar control independiente de corrida
3. Validar filtros/tipos/estados/símbolos</x:v>
      </x:c>
      <x:c r="E435" s="13" t="str">
        <x:v>Ningún reporte se omite por probar otro; no presenta Boleta, impuestos retirados ni aceptación SUNAT. Reporte externo con encabezado contractual IGV se documenta.</x:v>
      </x:c>
      <x:c r="F435" s="13" t="str">
        <x:v>Fuentes: modules/Finance/Routes/web.php; modules/Report/Routes/web.php; modules/Dashboard; resources/views/pdf/partials/document_fiscal_totals.blade.php
Entrada: Caja; Finanzas → cuentas por cobrar/pagos/global/balance; Reportes/Dashboard</x:v>
      </x:c>
    </x:row>
    <x:row r="436" ht="44" customHeight="1">
      <x:c r="A436" s="13" t="str">
        <x:v>QA-FIN-008</x:v>
      </x:c>
      <x:c r="B436" s="13" t="str">
        <x:v>Histórico con tasa actual distinta</x:v>
      </x:c>
      <x:c r="C436" s="13" t="str">
        <x:v>Libro independiente: venta 116 VES; pago 30; retención IVA 12; fondo 10; saldo 64; fixture USD+IGTF.
Factura USD y pago tasa propia congelados</x:v>
      </x:c>
      <x:c r="D436" s="13" t="str">
        <x:v>1. Cambiar catálogo tasa en QA
2. Reimprimir/exportar
3. Comparar equivalentes guardados</x:v>
      </x:c>
      <x:c r="E436" s="13" t="str">
        <x:v>Histórico usa tasas documento/pago congeladas, no catálogo vigente; conversión se muestra con moneda/fuente trazable.</x:v>
      </x:c>
      <x:c r="F436" s="13" t="str">
        <x:v>Fuentes: modules/Finance/Routes/web.php; modules/Report/Routes/web.php; modules/Dashboard; resources/views/pdf/partials/document_fiscal_totals.blade.php
Entrada: Caja; Finanzas → cuentas por cobrar/pagos/global/balance; Reportes/Dashboard</x:v>
      </x:c>
    </x:row>
    <x:row r="437" ht="44" customHeight="1">
      <x:c r="A437" s="13" t="str">
        <x:v>QA-FIN-009</x:v>
      </x:c>
      <x:c r="B437" s="13" t="str">
        <x:v>Estados anulados y notas en reportes</x:v>
      </x:c>
      <x:c r="C437" s="13" t="str">
        <x:v>Libro independiente: venta 116 VES; pago 30; retención IVA 12; fondo 10; saldo 64; fixture USD+IGTF.
Factura original/NC/ND/anulado fixtures</x:v>
      </x:c>
      <x:c r="D437" s="13" t="str">
        <x:v>1. Leer reporte de ventas,saldos y Kardex
2. Exportar
3. Conciliar ajustes contra referencia</x:v>
      </x:c>
      <x:c r="E437" s="13" t="str">
        <x:v>Tratamiento correcto del estado/ajuste y política de cada reporte, sin contar nota como otra Factura ordinaria ni devolución física por ajustes monetarios.</x:v>
      </x:c>
      <x:c r="F437" s="13" t="str">
        <x:v>Fuentes: modules/Finance/Routes/web.php; modules/Report/Routes/web.php; modules/Dashboard; resources/views/pdf/partials/document_fiscal_totals.blade.php
Entrada: Caja; Finanzas → cuentas por cobrar/pagos/global/balance; Reportes/Dashboard</x:v>
      </x:c>
    </x:row>
    <x:row r="438" ht="44" customHeight="1">
      <x:c r="A438" s="13" t="str">
        <x:v>QA-FIN-010</x:v>
      </x:c>
      <x:c r="B438" s="13" t="str">
        <x:v>Límites de fechas y zona horaria</x:v>
      </x:c>
      <x:c r="C438" s="13" t="str">
        <x:v>Libro independiente: venta 116 VES; pago 30; retención IVA 12; fondo 10; saldo 64; fixture USD+IGTF.
Movimientos QA antes/después medianoche Caracas</x:v>
      </x:c>
      <x:c r="D438" s="13" t="str">
        <x:v>1. Filtrar día/mes extremos
2. Exportar
3. Leer fechas en respuesta/DB</x:v>
      </x:c>
      <x:c r="E438" s="13" t="str">
        <x:v>Cortecorrespondeazona Caracas y fecha contractual; no se usa UTC sin convertir para excluir movimientos locales.</x:v>
      </x:c>
      <x:c r="F438" s="13" t="str">
        <x:v>Fuentes: modules/Finance/Routes/web.php; modules/Report/Routes/web.php; modules/Dashboard; resources/views/pdf/partials/document_fiscal_totals.blade.php
Entrada: Caja; Finanzas → cuentas por cobrar/pagos/global/balance; Reportes/Dashboard</x:v>
      </x:c>
    </x:row>
    <x:row r="439" ht="56" customHeight="1">
      <x:c r="A439" s="13" t="str">
        <x:v>QA-SEG-001</x:v>
      </x:c>
      <x:c r="B439" s="13" t="str">
        <x:v>Dos tenants con IDs iguales</x:v>
      </x:c>
      <x:c r="C439" s="13" t="str">
        <x:v>QA-A/QA-B con ID scoincidentes; S 1/S 2; visitante,vendedor,administrador,integrador. Pruebas controladas en QA.
Documento ID 25 en A/B con datos distintos</x:v>
      </x:c>
      <x:c r="D439" s="13" t="str">
        <x:v>1. Acceder con usuario A
2. Cambiar hostname/ID/external_id a B
3. Repetir PDF/cobro/consulta</x:v>
      </x:c>
      <x:c r="E439" s="13" t="str">
        <x:v>No accede Bni muta B; ninguna autenticación HKA ajena. Medir base/HTTP, no sólo código 403.</x:v>
      </x:c>
      <x:c r="F439" s="13" t="str">
        <x:v>Fuentes: app/Http/Controllers/Tenant/DocumentFiscalController.php; app/Http/Controllers/Tenant/DocumentPdfController.php; .codex/skills/mantener-seguridad-pro9/SKILL.md; informes/auditoria_seguridad_pro9.md
Entrada: Todas las rutas de creación/consulta/edición/cobro/retención/envío/descarga</x:v>
      </x:c>
    </x:row>
    <x:row r="440" ht="56" customHeight="1">
      <x:c r="A440" s="13" t="str">
        <x:v>QA-SEG-002</x:v>
      </x:c>
      <x:c r="B440" s="13" t="str">
        <x:v>Sucursal ajena</x:v>
      </x:c>
      <x:c r="C440" s="13" t="str">
        <x:v>QA-A/QA-B con ID scoincidentes; S 1/S 2; visitante,vendedor,administrador,integrador. Pruebas controladas en QA.
Vendedor S 1 y documento S 2</x:v>
      </x:c>
      <x:c r="D440" s="13" t="str">
        <x:v>1. Consultar/editar/cobrar/retener/enviar/descargar S 2
2. Repetir AJAX
3. Comparar red y datos</x:v>
      </x:c>
      <x:c r="E440" s="13" t="str">
        <x:v>Alcance vigente se aplica en cada endpoint; administrador tiene alcance permitido. Rechazo antes de HKA/persistencia.</x:v>
      </x:c>
      <x:c r="F440" s="13" t="str">
        <x:v>Fuentes: app/Http/Controllers/Tenant/DocumentFiscalController.php; app/Http/Controllers/Tenant/DocumentPdfController.php; .codex/skills/mantener-seguridad-pro9/SKILL.md; informes/auditoria_seguridad_pro9.md
Entrada: Todas las rutas de creación/consulta/edición/cobro/retención/envío/descarga</x:v>
      </x:c>
    </x:row>
    <x:row r="441" ht="56" customHeight="1">
      <x:c r="A441" s="13" t="str">
        <x:v>QA-SEG-003</x:v>
      </x:c>
      <x:c r="B441" s="13" t="str">
        <x:v>Visitante y sesión expirada</x:v>
      </x:c>
      <x:c r="C441" s="13" t="str">
        <x:v>QA-A/QA-B con ID scoincidentes; S 1/S 2; visitante,vendedor,administrador,integrador. Pruebas controladas en QA.
Documentos QA existentes</x:v>
      </x:c>
      <x:c r="D441" s="13" t="str">
        <x:v>1. Abrir rutas web/API privadas sin sesión/token
2. Expirar sesión con borrador
3. Intentar mutación</x:v>
      </x:c>
      <x:c r="E441" s="13" t="str">
        <x:v>Sin escrituras ni autenticar HKA; sesión expirada permite recuperación controlada del borrador sin duplicar venta.</x:v>
      </x:c>
      <x:c r="F441" s="13" t="str">
        <x:v>Fuentes: app/Http/Controllers/Tenant/DocumentFiscalController.php; app/Http/Controllers/Tenant/DocumentPdfController.php; .codex/skills/mantener-seguridad-pro9/SKILL.md; informes/auditoria_seguridad_pro9.md
Entrada: Todas las rutas de creación/consulta/edición/cobro/retención/envío/descarga</x:v>
      </x:c>
    </x:row>
    <x:row r="442" ht="56" customHeight="1">
      <x:c r="A442" s="13" t="str">
        <x:v>QA-SEG-004</x:v>
      </x:c>
      <x:c r="B442" s="13" t="str">
        <x:v>CSRF y verbos de HKA</x:v>
      </x:c>
      <x:c r="C442" s="13" t="str">
        <x:v>QA-A/QA-B con ID scoincidentes; S 1/S 2; visitante,vendedor,administrador,integrador. Pruebas controladas en QA.
Sesión QA y doble HKA</x:v>
      </x:c>
      <x:c r="D442" s="13" t="str">
        <x:v>1. Enviar POST sin sesión/token CSRF válido
2. Intentar GET send/query donde mutación POST
3. Medir red</x:v>
      </x:c>
      <x:c r="E442" s="13" t="str">
        <x:v>Mutaciones web requieren contrato CSRF/autenticación; no se ejecutan por GET accidental.</x:v>
      </x:c>
      <x:c r="F442" s="13" t="str">
        <x:v>Fuentes: app/Http/Controllers/Tenant/DocumentFiscalController.php; app/Http/Controllers/Tenant/DocumentPdfController.php; .codex/skills/mantener-seguridad-pro9/SKILL.md; informes/auditoria_seguridad_pro9.md
Entrada: Todas las rutas de creación/consulta/edición/cobro/retención/envío/descarga</x:v>
      </x:c>
    </x:row>
    <x:row r="443" ht="56" customHeight="1">
      <x:c r="A443" s="13" t="str">
        <x:v>QA-SEG-005</x:v>
      </x:c>
      <x:c r="B443" s="13" t="str">
        <x:v>Integrador y permisos de usuario</x:v>
      </x:c>
      <x:c r="C443" s="13" t="str">
        <x:v>QA-A/QA-B con ID scoincidentes; S 1/S 2; visitante,vendedor,administrador,integrador. Pruebas controladas en QA.
Usuario de tipo integrador y vendedor restringido</x:v>
      </x:c>
      <x:c r="D443" s="13" t="str">
        <x:v>1. Abrir creación/listado
2. Intentar acciones directas fuera de alcance
3. Leer resultado</x:v>
      </x:c>
      <x:c r="E443" s="13" t="str">
        <x:v>Integrador respeta su capacidad; restricciones actuales no se ve nc en por URL directa o atributos type/establishment en payload.</x:v>
      </x:c>
      <x:c r="F443" s="13" t="str">
        <x:v>Fuentes: app/Http/Controllers/Tenant/DocumentFiscalController.php; app/Http/Controllers/Tenant/DocumentPdfController.php; .codex/skills/mantener-seguridad-pro9/SKILL.md; informes/auditoria_seguridad_pro9.md
Entrada: Todas las rutas de creación/consulta/edición/cobro/retención/envío/descarga</x:v>
      </x:c>
    </x:row>
    <x:row r="444" ht="56" customHeight="1">
      <x:c r="A444" s="13" t="str">
        <x:v>QA-SEG-006</x:v>
      </x:c>
      <x:c r="B444" s="13" t="str">
        <x:v>Enlace público digital con UUID</x:v>
      </x:c>
      <x:c r="C444" s="13" t="str">
        <x:v>QA-A/QA-B con ID scoincidentes; S 1/S 2; visitante,vendedor,administrador,integrador. Pruebas controladas en QA.
PDF HKA guardado o ausente</x:v>
      </x:c>
      <x:c r="D444" s="13" t="str">
        <x:v>1. Abrir enlace público A4/A5 legítimo
2. Probar UUID ajeno/inexistente
3. Contar HTTP HKA</x:v>
      </x:c>
      <x:c r="E444" s="13" t="str">
        <x:v>Enlace público sólo entrega copia HKA validada/disponible según capacidad real; nunca autentica y descarga HKA sin sesión autorizada.</x:v>
      </x:c>
      <x:c r="F444" s="13" t="str">
        <x:v>Fuentes: app/Http/Controllers/Tenant/DocumentFiscalController.php; app/Http/Controllers/Tenant/DocumentPdfController.php; .codex/skills/mantener-seguridad-pro9/SKILL.md; informes/auditoria_seguridad_pro9.md
Entrada: Todas las rutas de creación/consulta/edición/cobro/retención/envío/descarga</x:v>
      </x:c>
    </x:row>
    <x:row r="445" ht="56" customHeight="1">
      <x:c r="A445" s="13" t="str">
        <x:v>QA-SEG-007</x:v>
      </x:c>
      <x:c r="B445" s="13" t="str">
        <x:v>Nombre de archivo no es acceso</x:v>
      </x:c>
      <x:c r="C445" s="13" t="str">
        <x:v>QA-A/QA-B con ID scoincidentes; S 1/S 2; visitante,vendedor,administrador,integrador. Pruebas controladas en QA.
Nombre visible duplicado en S 1/S 2</x:v>
      </x:c>
      <x:c r="D445" s="13" t="str">
        <x:v>1. Intentar descarga por archivo/ID de otra sucursal
2. Comparar bytes devueltos
3. Leer autorización</x:v>
      </x:c>
      <x:c r="E445" s="13" t="str">
        <x:v>Servicio resuelve documento/contexto antes de nombre; filename visible no cambia alcance.</x:v>
      </x:c>
      <x:c r="F445" s="13" t="str">
        <x:v>Fuentes: app/Http/Controllers/Tenant/DocumentFiscalController.php; app/Http/Controllers/Tenant/DocumentPdfController.php; .codex/skills/mantener-seguridad-pro9/SKILL.md; informes/auditoria_seguridad_pro9.md
Entrada: Todas las rutas de creación/consulta/edición/cobro/retención/envío/descarga</x:v>
      </x:c>
    </x:row>
    <x:row r="446" ht="56" customHeight="1">
      <x:c r="A446" s="13" t="str">
        <x:v>QA-SEG-008</x:v>
      </x:c>
      <x:c r="B446" s="13" t="str">
        <x:v>XSS en textos y diagnósticos</x:v>
      </x:c>
      <x:c r="C446" s="13" t="str">
        <x:v>QA-A/QA-B con ID scoincidentes; S 1/S 2; visitante,vendedor,administrador,integrador. Pruebas controladas en QA.
Textos QA con etiquetas inocuas demarcación</x:v>
      </x:c>
      <x:c r="D446" s="13" t="str">
        <x:v>1. Guardar nombre/observación/desc/diagnóstico simulados
2. Abrir listado/detalle/PDF
3. Observar DOM</x:v>
      </x:c>
      <x:c r="E446" s="13" t="str">
        <x:v>Texto escapado/sanitizado según campo; sin ejecución script o HTML en motivos. No afecta otros usuarios reales.</x:v>
      </x:c>
      <x:c r="F446" s="13" t="str">
        <x:v>Fuentes: app/Http/Controllers/Tenant/DocumentFiscalController.php; app/Http/Controllers/Tenant/DocumentPdfController.php; .codex/skills/mantener-seguridad-pro9/SKILL.md; informes/auditoria_seguridad_pro9.md
Entrada: Todas las rutas de creación/consulta/edición/cobro/retención/envío/descarga</x:v>
      </x:c>
    </x:row>
    <x:row r="447" ht="56" customHeight="1">
      <x:c r="A447" s="13" t="str">
        <x:v>QA-SEG-009</x:v>
      </x:c>
      <x:c r="B447" s="13" t="str">
        <x:v>Archivos y URLs no autorizadas</x:v>
      </x:c>
      <x:c r="C447" s="13" t="str">
        <x:v>QA-A/QA-B con ID scoincidentes; S 1/S 2; visitante,vendedor,administrador,integrador. Pruebas controladas en QA.
Uploads/adjuntos del flujo</x:v>
      </x:c>
      <x:c r="D447" s="13" t="str">
        <x:v>1. Enviar referencia externa/ruta absoluta/../
2. Repetir archivo ajeno
3. Medir lectura de red/disco controlada</x:v>
      </x:c>
      <x:c r="E447" s="13" t="str">
        <x:v>No se lee URL/ruta libre ni archivo de otro tenant; validación antes de abrir recurso prohibido.</x:v>
      </x:c>
      <x:c r="F447" s="13" t="str">
        <x:v>Fuentes: app/Http/Controllers/Tenant/DocumentFiscalController.php; app/Http/Controllers/Tenant/DocumentPdfController.php; .codex/skills/mantener-seguridad-pro9/SKILL.md; informes/auditoria_seguridad_pro9.md
Entrada: Todas las rutas de creación/consulta/edición/cobro/retención/envío/descarga</x:v>
      </x:c>
    </x:row>
    <x:row r="448" ht="56" customHeight="1">
      <x:c r="A448" s="13" t="str">
        <x:v>QA-SEG-010</x:v>
      </x:c>
      <x:c r="B448" s="13" t="str">
        <x:v>Datos sanitizados en informes/logs</x:v>
      </x:c>
      <x:c r="C448" s="13" t="str">
        <x:v>QA-A/QA-B con ID scoincidentes; S 1/S 2; visitante,vendedor,administrador,integrador. Pruebas controladas en QA.
Fixture token secreto distingible</x:v>
      </x:c>
      <x:c r="D448" s="13" t="str">
        <x:v>1. Recorrer respuestas/logs/capturas propuestas
2. Buscar secreto literal localmente sin publicarlo
3. Sanear evidencias</x:v>
      </x:c>
      <x:c r="E448" s="13" t="str">
        <x:v>Informe no expone JWT/clave/credenciales/datos ajenos; diagnósticos funcionales conservados.</x:v>
      </x:c>
      <x:c r="F448" s="13" t="str">
        <x:v>Fuentes: app/Http/Controllers/Tenant/DocumentFiscalController.php; app/Http/Controllers/Tenant/DocumentPdfController.php; .codex/skills/mantener-seguridad-pro9/SKILL.md; informes/auditoria_seguridad_pro9.md
Entrada: Todas las rutas de creación/consulta/edición/cobro/retención/envío/descarga</x:v>
      </x:c>
    </x:row>
    <x:row r="449" ht="56" customHeight="1">
      <x:c r="A449" s="13" t="str">
        <x:v>QA-SEG-011</x:v>
      </x:c>
      <x:c r="B449" s="13" t="str">
        <x:v>Carrera de autorización antes/después PDF</x:v>
      </x:c>
      <x:c r="C449" s="13" t="str">
        <x:v>QA-A/QA-B con ID scoincidentes; S 1/S 2; visitante,vendedor,administrador,integrador. Pruebas controladas en QA.
Usuario autorizado al iniciar y contexto invalidado en doble</x:v>
      </x:c>
      <x:c r="D449" s="13" t="str">
        <x:v>1. Retrasar descarga HTTP
2. Invalidar contexto/operación según fixture autorizado
3. Entregar PDF</x:v>
      </x:c>
      <x:c r="E449" s="13" t="str">
        <x:v>Servicio revalida contexto vigente antes y después de HTTP; no entrega archivo de operación invalidada.</x:v>
      </x:c>
      <x:c r="F449" s="13" t="str">
        <x:v>Fuentes: app/Http/Controllers/Tenant/DocumentFiscalController.php; app/Http/Controllers/Tenant/DocumentPdfController.php; .codex/skills/mantener-seguridad-pro9/SKILL.md; informes/auditoria_seguridad_pro9.md
Entrada: Todas las rutas de creación/consulta/edición/cobro/retención/envío/descarga</x:v>
      </x:c>
    </x:row>
    <x:row r="450" ht="56" customHeight="1">
      <x:c r="A450" s="13" t="str">
        <x:v>QA-SEG-012</x:v>
      </x:c>
      <x:c r="B450" s="13" t="str">
        <x:v>Permisos de precios,descuentos y pagos</x:v>
      </x:c>
      <x:c r="C450" s="13" t="str">
        <x:v>QA-A/QA-B con ID scoincidentes; S 1/S 2; visitante,vendedor,administrador,integrador. Pruebas controladas en QA.
Vendedor con restricciones</x:v>
      </x:c>
      <x:c r="D450" s="13" t="str">
        <x:v>1. Enviar precio/descuento/created_payment/delete_payment manipulado
2. Consultar resultado
3. Comparar configuración efectiva</x:v>
      </x:c>
      <x:c r="E450" s="13" t="str">
        <x:v>Backend impone permisos vigentes; ausencia de guardia se reporta como defecto, no se admite por éxito de UI.</x:v>
      </x:c>
      <x:c r="F450" s="13" t="str">
        <x:v>Fuentes: app/Http/Controllers/Tenant/DocumentFiscalController.php; app/Http/Controllers/Tenant/DocumentPdfController.php; .codex/skills/mantener-seguridad-pro9/SKILL.md; informes/auditoria_seguridad_pro9.md
Entrada: Todas las rutas de creación/consulta/edición/cobro/retención/envío/descarga</x:v>
      </x:c>
    </x:row>
    <x:row r="451" ht="44" customHeight="1">
      <x:c r="A451" s="13" t="str">
        <x:v>QA-ROB-001</x:v>
      </x:c>
      <x:c r="B451" s="13" t="str">
        <x:v>Interrupción y recuperación de aplicación</x:v>
      </x:c>
      <x:c r="C451" s="13" t="str">
        <x:v>Volúmenes 1/20/100/200 QA, reloj controlado, dos procesos, assets actuales y registro completo.
Factura uncertain / pending y pago con UUID</x:v>
      </x:c>
      <x:c r="D451" s="13" t="str">
        <x:v>1. Reiniciar sólo proceso QA en fixture
2. Reabrir venta y consultar
3. Reintentar pago con misma clave</x:v>
      </x:c>
      <x:c r="E451" s="13" t="str">
        <x:v>Identidad y estado recuperables; no otra venta/pago/emisión por reinicio.</x:v>
      </x:c>
      <x:c r="F451" s="13" t="str">
        <x:v>Fuentes: tests/Unit/FiscalEmissionSchemaTest.php; tests/Support/fiscal_payment_concurrency_worker.php; tests/js; flujo completo de facturación
Entrada: Corrida integral QA yejecuciones independientes con proveedor simulado</x:v>
      </x:c>
    </x:row>
    <x:row r="452" ht="44" customHeight="1">
      <x:c r="A452" s="13" t="str">
        <x:v>QA-ROB-002</x:v>
      </x:c>
      <x:c r="B452" s="13" t="str">
        <x:v>Volumen y tiempos de listado</x:v>
      </x:c>
      <x:c r="C452" s="13" t="str">
        <x:v>Volúmenes 1/20/100/200 QA, reloj controlado, dos procesos, assets actuales y registro completo.
100/200 documentos QA, caché fría/caliente</x:v>
      </x:c>
      <x:c r="D452" s="13" t="str">
        <x:v>1. Medir carga/paginación/filtros y detalle
2. Contar consultas/calls HTTP
3. Comparar resultados</x:v>
      </x:c>
      <x:c r="E452" s="13" t="str">
        <x:v>Sin error/omisiones/mezcla datos; métricas p50/p95 consignadas frente al umbral acordado. No inventar SLA ni declararlo aprobado sin umbral.</x:v>
      </x:c>
      <x:c r="F452" s="13" t="str">
        <x:v>Fuentes: tests/Unit/FiscalEmissionSchemaTest.php; tests/Support/fiscal_payment_concurrency_worker.php; tests/js; flujo completo de facturación
Entrada: Corrida integral QA yejecuciones independientes con proveedor simulado</x:v>
      </x:c>
    </x:row>
    <x:row r="453" ht="44" customHeight="1">
      <x:c r="A453" s="13" t="str">
        <x:v>QA-ROB-003</x:v>
      </x:c>
      <x:c r="B453" s="13" t="str">
        <x:v>Documento extenso</x:v>
      </x:c>
      <x:c r="C453" s="13" t="str">
        <x:v>Volúmenes 1/20/100/200 QA, reloj controlado, dos procesos, assets actuales y registro completo.
200 líneas QA y descripciones largas</x:v>
      </x:c>
      <x:c r="D453" s="13" t="str">
        <x:v>1. Guardar con doble
2. Generar PDF multipágina
3. Conciliar todos importes y stock</x:v>
      </x:c>
      <x:c r="E453" s="13" t="str">
        <x:v>No se pierden líneas/decimales; cada página legible y totales únicos; si límite real menor, probar frontera registrada.</x:v>
      </x:c>
      <x:c r="F453" s="13" t="str">
        <x:v>Fuentes: tests/Unit/FiscalEmissionSchemaTest.php; tests/Support/fiscal_payment_concurrency_worker.php; tests/js; flujo completo de facturación
Entrada: Corrida integral QA yejecuciones independientes con proveedor simulado</x:v>
      </x:c>
    </x:row>
    <x:row r="454" ht="44" customHeight="1">
      <x:c r="A454" s="13" t="str">
        <x:v>QA-ROB-004</x:v>
      </x:c>
      <x:c r="B454" s="13" t="str">
        <x:v>Pruebas automatizadas aisladas</x:v>
      </x:c>
      <x:c r="C454" s="13" t="str">
        <x:v>Volúmenes 1/20/100/200 QA, reloj controlado, dos procesos, assets actuales y registro completo.
DB temporal/colas/mail/red seguros</x:v>
      </x:c>
      <x:c r="D454" s="13" t="str">
        <x:v>1. Seleccionar suites del anexo por caso
2. Ejecutar comandos verificados existentes
3. Guardar log resumido/versión/resultado</x:v>
      </x:c>
      <x:c r="E454" s="13" t="str">
        <x:v>Resultado automatizado está etiquetado por capas; test fuente/método no acreditan HTTP/navegador/DEMO real.</x:v>
      </x:c>
      <x:c r="F454" s="13" t="str">
        <x:v>Fuentes: tests/Unit/FiscalEmissionSchemaTest.php; tests/Support/fiscal_payment_concurrency_worker.php; tests/js; flujo completo de facturación
Entrada: Corrida integral QA yejecuciones independientes con proveedor simulado</x:v>
      </x:c>
    </x:row>
    <x:row r="455" ht="44" customHeight="1">
      <x:c r="A455" s="13" t="str">
        <x:v>QA-ROB-005</x:v>
      </x:c>
      <x:c r="B455" s="13" t="str">
        <x:v>Retest de defectos y regresión</x:v>
      </x:c>
      <x:c r="C455" s="13" t="str">
        <x:v>Volúmenes 1/20/100/200 QA, reloj controlado, dos procesos, assets actuales y registro completo.
Defecto corregido en commit nuevo</x:v>
      </x:c>
      <x:c r="D455" s="13" t="str">
        <x:v>1. Repetir el mismo caso/datos o clon documentado
2. Conservar resultado anterior
3. Ejecutar dependencias afectadas</x:v>
      </x:c>
      <x:c r="E455" s="13" t="str">
        <x:v>Historial Reprobó conservado y retest identificado; corrección aceptada con evidencia nueva, sin borrar fracaso previo.</x:v>
      </x:c>
      <x:c r="F455" s="13" t="str">
        <x:v>Fuentes: tests/Unit/FiscalEmissionSchemaTest.php; tests/Support/fiscal_payment_concurrency_worker.php; tests/js; flujo completo de facturación
Entrada: Corrida integral QA yejecuciones independientes con proveedor simulado</x:v>
      </x:c>
    </x:row>
    <x:row r="456" ht="44" customHeight="1">
      <x:c r="A456" s="13" t="str">
        <x:v>QA-ROB-006</x:v>
      </x:c>
      <x:c r="B456" s="13" t="str">
        <x:v>Informe final y conteos</x:v>
      </x:c>
      <x:c r="C456" s="13" t="str">
        <x:v>Volúmenes 1/20/100/200 QA, reloj controlado, dos procesos, assets actuales y registro completo.
Fin de corrida con resultados actualizados</x:v>
      </x:c>
      <x:c r="D456" s="13" t="str">
        <x:v>1. Validar filas pasadas/fallidas/bloqueadas/no aplica
2. Reconciliar conteos y matrices/opciones
3. Completar todas las secciones del informe</x:v>
      </x:c>
      <x:c r="E456" s="13" t="str">
        <x:v>Informe autónomo, estructurado, con evidencias/defectos/limitaciones/conclusión; cada resultado ejecutado dice Aprobó o Reprobó. No se declara sistema aprobado con P0 fallido o pendiente.</x:v>
      </x:c>
      <x:c r="F456" s="13" t="str">
        <x:v>Fuentes: tests/Unit/FiscalEmissionSchemaTest.php; tests/Support/fiscal_payment_concurrency_worker.php; tests/js; flujo completo de facturación
Entrada: Corrida integral QA yejecuciones independientes con proveedor simulado</x:v>
      </x:c>
    </x:row>
    <x:row r="457" ht="68" customHeight="1">
      <x:c r="A457" s="13" t="str">
        <x:v>QA-MAT-001</x:v>
      </x:c>
      <x:c r="B457" s="13" t="str">
        <x:v>Comprobantes web / 01 / identidad 0 Doc.sin.rif</x:v>
      </x:c>
      <x:c r="C457" s="13" t="str">
        <x:v>Un fixture por identidad doméstica activa, comprador autorizado, factura ordinaria 01/0101 o NV 80/nv. HKA en doble durante matriz comercial.
Cliente QA-0 activo; Comprobantes web habilitado; total 116; tipo 01; modo digital/demo del tenant.</x:v>
      </x:c>
      <x:c r="D457" s="13" t="str">
        <x:v>1. Abrir Comprobantes web; buscar y seleccionar cliente de identidad 0
2. Crear venta 01 ordinaria con P-G, serie autorizada y pago 116
3. Consultar número, cliente, moneda, total, saldo, pagos, inventario y estado fiscal</x:v>
      </x:c>
      <x:c r="E457" s="13" t="str">
        <x:v>No existe restricción comercial por identidad 0 contra tipo 01 ni por monto. Venta única y presentación sin prefijo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57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58" ht="68" customHeight="1">
      <x:c r="A458" s="13" t="str">
        <x:v>QA-MAT-002</x:v>
      </x:c>
      <x:c r="B458" s="13" t="str">
        <x:v>Comprobantes web / 01 / identidad 1 Venezolano</x:v>
      </x:c>
      <x:c r="C458" s="13" t="str">
        <x:v>Un fixture por identidad doméstica activa, comprador autorizado, factura ordinaria 01/0101 o NV 80/nv. HKA en doble durante matriz comercial.
Cliente QA-1 activo; Comprobantes web habilitado; total 116; tipo 01; modo digital/demo del tenant.</x:v>
      </x:c>
      <x:c r="D458" s="13" t="str">
        <x:v>1. Abrir Comprobantes web; buscar y seleccionar cliente de identidad 1
2. Crear venta 01 ordinaria con P-G, serie autorizada y pago 116
3. Consultar número, cliente, moneda, total, saldo, pagos, inventario y estado fiscal</x:v>
      </x:c>
      <x:c r="E458" s="13" t="str">
        <x:v>No existe restricción comercial por identidad 1 contra tipo 01 ni por monto. Venta única y presentación V-número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58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59" ht="68" customHeight="1">
      <x:c r="A459" s="13" t="str">
        <x:v>QA-MAT-003</x:v>
      </x:c>
      <x:c r="B459" s="13" t="str">
        <x:v>Comprobantes web / 01 / identidad 6 Juridico</x:v>
      </x:c>
      <x:c r="C459" s="13" t="str">
        <x:v>Un fixture por identidad doméstica activa, comprador autorizado, factura ordinaria 01/0101 o NV 80/nv. HKA en doble durante matriz comercial.
Cliente QA-6 activo; Comprobantes web habilitado; total 116; tipo 01; modo digital/demo del tenant.</x:v>
      </x:c>
      <x:c r="D459" s="13" t="str">
        <x:v>1. Abrir Comprobantes web; buscar y seleccionar cliente de identidad 6
2. Crear venta 01 ordinaria con P-G, serie autorizada y pago 116
3. Consultar número, cliente, moneda, total, saldo, pagos, inventario y estado fiscal</x:v>
      </x:c>
      <x:c r="E459" s="13" t="str">
        <x:v>No existe restricción comercial por identidad 6 contra tipo 01 ni por monto. Venta única y presentación J-número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59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60" ht="68" customHeight="1">
      <x:c r="A460" s="13" t="str">
        <x:v>QA-MAT-004</x:v>
      </x:c>
      <x:c r="B460" s="13" t="str">
        <x:v>Comprobantes web / 01 / identidad 7 Pasaporte</x:v>
      </x:c>
      <x:c r="C460" s="13" t="str">
        <x:v>Un fixture por identidad doméstica activa, comprador autorizado, factura ordinaria 01/0101 o NV 80/nv. HKA en doble durante matriz comercial.
Cliente QA-7 activo; Comprobantes web habilitado; total 116; tipo 01; modo digital/demo del tenant.</x:v>
      </x:c>
      <x:c r="D460" s="13" t="str">
        <x:v>1. Abrir Comprobantes web; buscar y seleccionar cliente de identidad 7
2. Crear venta 01 ordinaria con P-G, serie autorizada y pago 116
3. Consultar número, cliente, moneda, total, saldo, pagos, inventario y estado fiscal</x:v>
      </x:c>
      <x:c r="E460" s="13" t="str">
        <x:v>No existe restricción comercial por identidad 7 contra tipo 01 ni por monto. Venta única y presentación P-número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60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61" ht="68" customHeight="1">
      <x:c r="A461" s="13" t="str">
        <x:v>QA-MAT-005</x:v>
      </x:c>
      <x:c r="B461" s="13" t="str">
        <x:v>Comprobantes web / 01 / identidad E Extranjero</x:v>
      </x:c>
      <x:c r="C461" s="13" t="str">
        <x:v>Un fixture por identidad doméstica activa, comprador autorizado, factura ordinaria 01/0101 o NV 80/nv. HKA en doble durante matriz comercial.
Cliente QA-E activo; Comprobantes web habilitado; total 116; tipo 01; modo digital/demo del tenant.</x:v>
      </x:c>
      <x:c r="D461" s="13" t="str">
        <x:v>1. Abrir Comprobantes web; buscar y seleccionar cliente de identidad E
2. Crear venta 01 ordinaria con P-G, serie autorizada y pago 116
3. Consultar número, cliente, moneda, total, saldo, pagos, inventario y estado fiscal</x:v>
      </x:c>
      <x:c r="E461" s="13" t="str">
        <x:v>No existe restricción comercial por identidad E contra tipo 01 ni por monto. Venta única y presentación E-número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61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62" ht="68" customHeight="1">
      <x:c r="A462" s="13" t="str">
        <x:v>QA-MAT-006</x:v>
      </x:c>
      <x:c r="B462" s="13" t="str">
        <x:v>Comprobantes web / 01 / identidad C Comuna</x:v>
      </x:c>
      <x:c r="C462" s="13" t="str">
        <x:v>Un fixture por identidad doméstica activa, comprador autorizado, factura ordinaria 01/0101 o NV 80/nv. HKA en doble durante matriz comercial.
Cliente QA-C activo; Comprobantes web habilitado; total 116; tipo 01; modo digital/demo del tenant.</x:v>
      </x:c>
      <x:c r="D462" s="13" t="str">
        <x:v>1. Abrir Comprobantes web; buscar y seleccionar cliente de identidad C
2. Crear venta 01 ordinaria con P-G, serie autorizada y pago 116
3. Consultar número, cliente, moneda, total, saldo, pagos, inventario y estado fiscal</x:v>
      </x:c>
      <x:c r="E462" s="13" t="str">
        <x:v>No existe restricción comercial por identidad C contra tipo 01 ni por monto. Venta única y presentación C-número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62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63" ht="68" customHeight="1">
      <x:c r="A463" s="13" t="str">
        <x:v>QA-MAT-007</x:v>
      </x:c>
      <x:c r="B463" s="13" t="str">
        <x:v>Comprobantes web / 01 / identidad G Gubernamental</x:v>
      </x:c>
      <x:c r="C463" s="13" t="str">
        <x:v>Un fixture por identidad doméstica activa, comprador autorizado, factura ordinaria 01/0101 o NV 80/nv. HKA en doble durante matriz comercial.
Cliente QA-G activo; Comprobantes web habilitado; total 116; tipo 01; modo digital/demo del tenant.</x:v>
      </x:c>
      <x:c r="D463" s="13" t="str">
        <x:v>1. Abrir Comprobantes web; buscar y seleccionar cliente de identidad G
2. Crear venta 01 ordinaria con P-G, serie autorizada y pago 116
3. Consultar número, cliente, moneda, total, saldo, pagos, inventario y estado fiscal</x:v>
      </x:c>
      <x:c r="E463" s="13" t="str">
        <x:v>No existe restricción comercial por identidad G contra tipo 01 ni por monto. Venta única y presentación G-número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63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64" ht="68" customHeight="1">
      <x:c r="A464" s="13" t="str">
        <x:v>QA-MAT-008</x:v>
      </x:c>
      <x:c r="B464" s="13" t="str">
        <x:v>Comprobantes web / 01 / identidad R Firma Personal</x:v>
      </x:c>
      <x:c r="C464" s="13" t="str">
        <x:v>Un fixture por identidad doméstica activa, comprador autorizado, factura ordinaria 01/0101 o NV 80/nv. HKA en doble durante matriz comercial.
Cliente QA-R activo; Comprobantes web habilitado; total 116; tipo 01; modo digital/demo del tenant.</x:v>
      </x:c>
      <x:c r="D464" s="13" t="str">
        <x:v>1. Abrir Comprobantes web; buscar y seleccionar cliente de identidad R
2. Crear venta 01 ordinaria con P-G, serie autorizada y pago 116
3. Consultar número, cliente, moneda, total, saldo, pagos, inventario y estado fiscal</x:v>
      </x:c>
      <x:c r="E464" s="13" t="str">
        <x:v>No existe restricción comercial por identidad R contra tipo 01 ni por monto. Venta única y presentación R-número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64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65" ht="68" customHeight="1">
      <x:c r="A465" s="13" t="str">
        <x:v>QA-MAT-009</x:v>
      </x:c>
      <x:c r="B465" s="13" t="str">
        <x:v>Comprobantes web / 80 / identidad 0 Doc.sin.rif</x:v>
      </x:c>
      <x:c r="C465" s="13" t="str">
        <x:v>Un fixture por identidad doméstica activa, comprador autorizado, factura ordinaria 01/0101 o NV 80/nv. HKA en doble durante matriz comercial.
Cliente QA-0 activo; Comprobantes web habilitado; total 116; tipo 80; modo digital/demo del tenant.</x:v>
      </x:c>
      <x:c r="D465" s="13" t="str">
        <x:v>1. Abrir Comprobantes web; buscar y seleccionar cliente de identidad 0
2. Crear venta 80 ordinaria con P-G, serie autorizada y pago 116
3. Consultar número, cliente, moneda, total, saldo, pagos, inventario y estado fiscal</x:v>
      </x:c>
      <x:c r="E465" s="13" t="str">
        <x:v>No existe restricción comercial por identidad 0 contra tipo 80 ni por monto. Venta única y presentación sin prefijo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65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66" ht="68" customHeight="1">
      <x:c r="A466" s="13" t="str">
        <x:v>QA-MAT-010</x:v>
      </x:c>
      <x:c r="B466" s="13" t="str">
        <x:v>Comprobantes web / 80 / identidad 1 Venezolano</x:v>
      </x:c>
      <x:c r="C466" s="13" t="str">
        <x:v>Un fixture por identidad doméstica activa, comprador autorizado, factura ordinaria 01/0101 o NV 80/nv. HKA en doble durante matriz comercial.
Cliente QA-1 activo; Comprobantes web habilitado; total 116; tipo 80; modo digital/demo del tenant.</x:v>
      </x:c>
      <x:c r="D466" s="13" t="str">
        <x:v>1. Abrir Comprobantes web; buscar y seleccionar cliente de identidad 1
2. Crear venta 80 ordinaria con P-G, serie autorizada y pago 116
3. Consultar número, cliente, moneda, total, saldo, pagos, inventario y estado fiscal</x:v>
      </x:c>
      <x:c r="E466" s="13" t="str">
        <x:v>No existe restricción comercial por identidad 1 contra tipo 80 ni por monto. Venta única y presentación V-número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66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67" ht="68" customHeight="1">
      <x:c r="A467" s="13" t="str">
        <x:v>QA-MAT-011</x:v>
      </x:c>
      <x:c r="B467" s="13" t="str">
        <x:v>Comprobantes web / 80 / identidad 6 Juridico</x:v>
      </x:c>
      <x:c r="C467" s="13" t="str">
        <x:v>Un fixture por identidad doméstica activa, comprador autorizado, factura ordinaria 01/0101 o NV 80/nv. HKA en doble durante matriz comercial.
Cliente QA-6 activo; Comprobantes web habilitado; total 116; tipo 80; modo digital/demo del tenant.</x:v>
      </x:c>
      <x:c r="D467" s="13" t="str">
        <x:v>1. Abrir Comprobantes web; buscar y seleccionar cliente de identidad 6
2. Crear venta 80 ordinaria con P-G, serie autorizada y pago 116
3. Consultar número, cliente, moneda, total, saldo, pagos, inventario y estado fiscal</x:v>
      </x:c>
      <x:c r="E467" s="13" t="str">
        <x:v>No existe restricción comercial por identidad 6 contra tipo 80 ni por monto. Venta única y presentación J-número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67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68" ht="68" customHeight="1">
      <x:c r="A468" s="13" t="str">
        <x:v>QA-MAT-012</x:v>
      </x:c>
      <x:c r="B468" s="13" t="str">
        <x:v>Comprobantes web / 80 / identidad 7 Pasaporte</x:v>
      </x:c>
      <x:c r="C468" s="13" t="str">
        <x:v>Un fixture por identidad doméstica activa, comprador autorizado, factura ordinaria 01/0101 o NV 80/nv. HKA en doble durante matriz comercial.
Cliente QA-7 activo; Comprobantes web habilitado; total 116; tipo 80; modo digital/demo del tenant.</x:v>
      </x:c>
      <x:c r="D468" s="13" t="str">
        <x:v>1. Abrir Comprobantes web; buscar y seleccionar cliente de identidad 7
2. Crear venta 80 ordinaria con P-G, serie autorizada y pago 116
3. Consultar número, cliente, moneda, total, saldo, pagos, inventario y estado fiscal</x:v>
      </x:c>
      <x:c r="E468" s="13" t="str">
        <x:v>No existe restricción comercial por identidad 7 contra tipo 80 ni por monto. Venta única y presentación P-número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68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69" ht="68" customHeight="1">
      <x:c r="A469" s="13" t="str">
        <x:v>QA-MAT-013</x:v>
      </x:c>
      <x:c r="B469" s="13" t="str">
        <x:v>Comprobantes web / 80 / identidad E Extranjero</x:v>
      </x:c>
      <x:c r="C469" s="13" t="str">
        <x:v>Un fixture por identidad doméstica activa, comprador autorizado, factura ordinaria 01/0101 o NV 80/nv. HKA en doble durante matriz comercial.
Cliente QA-E activo; Comprobantes web habilitado; total 116; tipo 80; modo digital/demo del tenant.</x:v>
      </x:c>
      <x:c r="D469" s="13" t="str">
        <x:v>1. Abrir Comprobantes web; buscar y seleccionar cliente de identidad E
2. Crear venta 80 ordinaria con P-G, serie autorizada y pago 116
3. Consultar número, cliente, moneda, total, saldo, pagos, inventario y estado fiscal</x:v>
      </x:c>
      <x:c r="E469" s="13" t="str">
        <x:v>No existe restricción comercial por identidad E contra tipo 80 ni por monto. Venta única y presentación E-número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69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70" ht="68" customHeight="1">
      <x:c r="A470" s="13" t="str">
        <x:v>QA-MAT-014</x:v>
      </x:c>
      <x:c r="B470" s="13" t="str">
        <x:v>Comprobantes web / 80 / identidad C Comuna</x:v>
      </x:c>
      <x:c r="C470" s="13" t="str">
        <x:v>Un fixture por identidad doméstica activa, comprador autorizado, factura ordinaria 01/0101 o NV 80/nv. HKA en doble durante matriz comercial.
Cliente QA-C activo; Comprobantes web habilitado; total 116; tipo 80; modo digital/demo del tenant.</x:v>
      </x:c>
      <x:c r="D470" s="13" t="str">
        <x:v>1. Abrir Comprobantes web; buscar y seleccionar cliente de identidad C
2. Crear venta 80 ordinaria con P-G, serie autorizada y pago 116
3. Consultar número, cliente, moneda, total, saldo, pagos, inventario y estado fiscal</x:v>
      </x:c>
      <x:c r="E470" s="13" t="str">
        <x:v>No existe restricción comercial por identidad C contra tipo 80 ni por monto. Venta única y presentación C-número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70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71" ht="68" customHeight="1">
      <x:c r="A471" s="13" t="str">
        <x:v>QA-MAT-015</x:v>
      </x:c>
      <x:c r="B471" s="13" t="str">
        <x:v>Comprobantes web / 80 / identidad G Gubernamental</x:v>
      </x:c>
      <x:c r="C471" s="13" t="str">
        <x:v>Un fixture por identidad doméstica activa, comprador autorizado, factura ordinaria 01/0101 o NV 80/nv. HKA en doble durante matriz comercial.
Cliente QA-G activo; Comprobantes web habilitado; total 116; tipo 80; modo digital/demo del tenant.</x:v>
      </x:c>
      <x:c r="D471" s="13" t="str">
        <x:v>1. Abrir Comprobantes web; buscar y seleccionar cliente de identidad G
2. Crear venta 80 ordinaria con P-G, serie autorizada y pago 116
3. Consultar número, cliente, moneda, total, saldo, pagos, inventario y estado fiscal</x:v>
      </x:c>
      <x:c r="E471" s="13" t="str">
        <x:v>No existe restricción comercial por identidad G contra tipo 80 ni por monto. Venta única y presentación G-número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71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72" ht="68" customHeight="1">
      <x:c r="A472" s="13" t="str">
        <x:v>QA-MAT-016</x:v>
      </x:c>
      <x:c r="B472" s="13" t="str">
        <x:v>Comprobantes web / 80 / identidad R Firma Personal</x:v>
      </x:c>
      <x:c r="C472" s="13" t="str">
        <x:v>Un fixture por identidad doméstica activa, comprador autorizado, factura ordinaria 01/0101 o NV 80/nv. HKA en doble durante matriz comercial.
Cliente QA-R activo; Comprobantes web habilitado; total 116; tipo 80; modo digital/demo del tenant.</x:v>
      </x:c>
      <x:c r="D472" s="13" t="str">
        <x:v>1. Abrir Comprobantes web; buscar y seleccionar cliente de identidad R
2. Crear venta 80 ordinaria con P-G, serie autorizada y pago 116
3. Consultar número, cliente, moneda, total, saldo, pagos, inventario y estado fiscal</x:v>
      </x:c>
      <x:c r="E472" s="13" t="str">
        <x:v>No existe restricción comercial por identidad R contra tipo 80 ni por monto. Venta única y presentación R-número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72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73" ht="68" customHeight="1">
      <x:c r="A473" s="13" t="str">
        <x:v>QA-MAT-017</x:v>
      </x:c>
      <x:c r="B473" s="13" t="str">
        <x:v>POS / 01 / identidad 0 Doc.sin.rif</x:v>
      </x:c>
      <x:c r="C473" s="13" t="str">
        <x:v>Un fixture por identidad doméstica activa, comprador autorizado, factura ordinaria 01/0101 o NV 80/nv. HKA en doble durante matriz comercial.
Cliente QA-0 activo; POS habilitado; total 116; tipo 01; modo digital/demo del tenant.</x:v>
      </x:c>
      <x:c r="D473" s="13" t="str">
        <x:v>1. Abrir POS; buscar y seleccionar cliente de identidad 0
2. Crear venta 01 ordinaria con P-G, serie autorizada y pago 116
3. Consultar número, cliente, moneda, total, saldo, pagos, inventario y estado fiscal</x:v>
      </x:c>
      <x:c r="E473" s="13" t="str">
        <x:v>No existe restricción comercial por identidad 0 contra tipo 01 ni por monto. Venta única y presentación sin prefijo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73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74" ht="68" customHeight="1">
      <x:c r="A474" s="13" t="str">
        <x:v>QA-MAT-018</x:v>
      </x:c>
      <x:c r="B474" s="13" t="str">
        <x:v>POS / 01 / identidad 1 Venezolano</x:v>
      </x:c>
      <x:c r="C474" s="13" t="str">
        <x:v>Un fixture por identidad doméstica activa, comprador autorizado, factura ordinaria 01/0101 o NV 80/nv. HKA en doble durante matriz comercial.
Cliente QA-1 activo; POS habilitado; total 116; tipo 01; modo digital/demo del tenant.</x:v>
      </x:c>
      <x:c r="D474" s="13" t="str">
        <x:v>1. Abrir POS; buscar y seleccionar cliente de identidad 1
2. Crear venta 01 ordinaria con P-G, serie autorizada y pago 116
3. Consultar número, cliente, moneda, total, saldo, pagos, inventario y estado fiscal</x:v>
      </x:c>
      <x:c r="E474" s="13" t="str">
        <x:v>No existe restricción comercial por identidad 1 contra tipo 01 ni por monto. Venta única y presentación V-número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74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75" ht="68" customHeight="1">
      <x:c r="A475" s="13" t="str">
        <x:v>QA-MAT-019</x:v>
      </x:c>
      <x:c r="B475" s="13" t="str">
        <x:v>POS / 01 / identidad 6 Juridico</x:v>
      </x:c>
      <x:c r="C475" s="13" t="str">
        <x:v>Un fixture por identidad doméstica activa, comprador autorizado, factura ordinaria 01/0101 o NV 80/nv. HKA en doble durante matriz comercial.
Cliente QA-6 activo; POS habilitado; total 116; tipo 01; modo digital/demo del tenant.</x:v>
      </x:c>
      <x:c r="D475" s="13" t="str">
        <x:v>1. Abrir POS; buscar y seleccionar cliente de identidad 6
2. Crear venta 01 ordinaria con P-G, serie autorizada y pago 116
3. Consultar número, cliente, moneda, total, saldo, pagos, inventario y estado fiscal</x:v>
      </x:c>
      <x:c r="E475" s="13" t="str">
        <x:v>No existe restricción comercial por identidad 6 contra tipo 01 ni por monto. Venta única y presentación J-número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75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76" ht="68" customHeight="1">
      <x:c r="A476" s="13" t="str">
        <x:v>QA-MAT-020</x:v>
      </x:c>
      <x:c r="B476" s="13" t="str">
        <x:v>POS / 01 / identidad 7 Pasaporte</x:v>
      </x:c>
      <x:c r="C476" s="13" t="str">
        <x:v>Un fixture por identidad doméstica activa, comprador autorizado, factura ordinaria 01/0101 o NV 80/nv. HKA en doble durante matriz comercial.
Cliente QA-7 activo; POS habilitado; total 116; tipo 01; modo digital/demo del tenant.</x:v>
      </x:c>
      <x:c r="D476" s="13" t="str">
        <x:v>1. Abrir POS; buscar y seleccionar cliente de identidad 7
2. Crear venta 01 ordinaria con P-G, serie autorizada y pago 116
3. Consultar número, cliente, moneda, total, saldo, pagos, inventario y estado fiscal</x:v>
      </x:c>
      <x:c r="E476" s="13" t="str">
        <x:v>No existe restricción comercial por identidad 7 contra tipo 01 ni por monto. Venta única y presentación P-número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76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77" ht="68" customHeight="1">
      <x:c r="A477" s="13" t="str">
        <x:v>QA-MAT-021</x:v>
      </x:c>
      <x:c r="B477" s="13" t="str">
        <x:v>POS / 01 / identidad E Extranjero</x:v>
      </x:c>
      <x:c r="C477" s="13" t="str">
        <x:v>Un fixture por identidad doméstica activa, comprador autorizado, factura ordinaria 01/0101 o NV 80/nv. HKA en doble durante matriz comercial.
Cliente QA-E activo; POS habilitado; total 116; tipo 01; modo digital/demo del tenant.</x:v>
      </x:c>
      <x:c r="D477" s="13" t="str">
        <x:v>1. Abrir POS; buscar y seleccionar cliente de identidad E
2. Crear venta 01 ordinaria con P-G, serie autorizada y pago 116
3. Consultar número, cliente, moneda, total, saldo, pagos, inventario y estado fiscal</x:v>
      </x:c>
      <x:c r="E477" s="13" t="str">
        <x:v>No existe restricción comercial por identidad E contra tipo 01 ni por monto. Venta única y presentación E-número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77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78" ht="68" customHeight="1">
      <x:c r="A478" s="13" t="str">
        <x:v>QA-MAT-022</x:v>
      </x:c>
      <x:c r="B478" s="13" t="str">
        <x:v>POS / 01 / identidad C Comuna</x:v>
      </x:c>
      <x:c r="C478" s="13" t="str">
        <x:v>Un fixture por identidad doméstica activa, comprador autorizado, factura ordinaria 01/0101 o NV 80/nv. HKA en doble durante matriz comercial.
Cliente QA-C activo; POS habilitado; total 116; tipo 01; modo digital/demo del tenant.</x:v>
      </x:c>
      <x:c r="D478" s="13" t="str">
        <x:v>1. Abrir POS; buscar y seleccionar cliente de identidad C
2. Crear venta 01 ordinaria con P-G, serie autorizada y pago 116
3. Consultar número, cliente, moneda, total, saldo, pagos, inventario y estado fiscal</x:v>
      </x:c>
      <x:c r="E478" s="13" t="str">
        <x:v>No existe restricción comercial por identidad C contra tipo 01 ni por monto. Venta única y presentación C-número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78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79" ht="68" customHeight="1">
      <x:c r="A479" s="13" t="str">
        <x:v>QA-MAT-023</x:v>
      </x:c>
      <x:c r="B479" s="13" t="str">
        <x:v>POS / 01 / identidad G Gubernamental</x:v>
      </x:c>
      <x:c r="C479" s="13" t="str">
        <x:v>Un fixture por identidad doméstica activa, comprador autorizado, factura ordinaria 01/0101 o NV 80/nv. HKA en doble durante matriz comercial.
Cliente QA-G activo; POS habilitado; total 116; tipo 01; modo digital/demo del tenant.</x:v>
      </x:c>
      <x:c r="D479" s="13" t="str">
        <x:v>1. Abrir POS; buscar y seleccionar cliente de identidad G
2. Crear venta 01 ordinaria con P-G, serie autorizada y pago 116
3. Consultar número, cliente, moneda, total, saldo, pagos, inventario y estado fiscal</x:v>
      </x:c>
      <x:c r="E479" s="13" t="str">
        <x:v>No existe restricción comercial por identidad G contra tipo 01 ni por monto. Venta única y presentación G-número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79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80" ht="68" customHeight="1">
      <x:c r="A480" s="13" t="str">
        <x:v>QA-MAT-024</x:v>
      </x:c>
      <x:c r="B480" s="13" t="str">
        <x:v>POS / 01 / identidad R Firma Personal</x:v>
      </x:c>
      <x:c r="C480" s="13" t="str">
        <x:v>Un fixture por identidad doméstica activa, comprador autorizado, factura ordinaria 01/0101 o NV 80/nv. HKA en doble durante matriz comercial.
Cliente QA-R activo; POS habilitado; total 116; tipo 01; modo digital/demo del tenant.</x:v>
      </x:c>
      <x:c r="D480" s="13" t="str">
        <x:v>1. Abrir POS; buscar y seleccionar cliente de identidad R
2. Crear venta 01 ordinaria con P-G, serie autorizada y pago 116
3. Consultar número, cliente, moneda, total, saldo, pagos, inventario y estado fiscal</x:v>
      </x:c>
      <x:c r="E480" s="13" t="str">
        <x:v>No existe restricción comercial por identidad R contra tipo 01 ni por monto. Venta única y presentación R-número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80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81" ht="68" customHeight="1">
      <x:c r="A481" s="13" t="str">
        <x:v>QA-MAT-025</x:v>
      </x:c>
      <x:c r="B481" s="13" t="str">
        <x:v>POS / 80 / identidad 0 Doc.sin.rif</x:v>
      </x:c>
      <x:c r="C481" s="13" t="str">
        <x:v>Un fixture por identidad doméstica activa, comprador autorizado, factura ordinaria 01/0101 o NV 80/nv. HKA en doble durante matriz comercial.
Cliente QA-0 activo; POS habilitado; total 116; tipo 80; modo digital/demo del tenant.</x:v>
      </x:c>
      <x:c r="D481" s="13" t="str">
        <x:v>1. Abrir POS; buscar y seleccionar cliente de identidad 0
2. Crear venta 80 ordinaria con P-G, serie autorizada y pago 116
3. Consultar número, cliente, moneda, total, saldo, pagos, inventario y estado fiscal</x:v>
      </x:c>
      <x:c r="E481" s="13" t="str">
        <x:v>No existe restricción comercial por identidad 0 contra tipo 80 ni por monto. Venta única y presentación sin prefijo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81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82" ht="68" customHeight="1">
      <x:c r="A482" s="13" t="str">
        <x:v>QA-MAT-026</x:v>
      </x:c>
      <x:c r="B482" s="13" t="str">
        <x:v>POS / 80 / identidad 1 Venezolano</x:v>
      </x:c>
      <x:c r="C482" s="13" t="str">
        <x:v>Un fixture por identidad doméstica activa, comprador autorizado, factura ordinaria 01/0101 o NV 80/nv. HKA en doble durante matriz comercial.
Cliente QA-1 activo; POS habilitado; total 116; tipo 80; modo digital/demo del tenant.</x:v>
      </x:c>
      <x:c r="D482" s="13" t="str">
        <x:v>1. Abrir POS; buscar y seleccionar cliente de identidad 1
2. Crear venta 80 ordinaria con P-G, serie autorizada y pago 116
3. Consultar número, cliente, moneda, total, saldo, pagos, inventario y estado fiscal</x:v>
      </x:c>
      <x:c r="E482" s="13" t="str">
        <x:v>No existe restricción comercial por identidad 1 contra tipo 80 ni por monto. Venta única y presentación V-número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82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83" ht="68" customHeight="1">
      <x:c r="A483" s="13" t="str">
        <x:v>QA-MAT-027</x:v>
      </x:c>
      <x:c r="B483" s="13" t="str">
        <x:v>POS / 80 / identidad 6 Juridico</x:v>
      </x:c>
      <x:c r="C483" s="13" t="str">
        <x:v>Un fixture por identidad doméstica activa, comprador autorizado, factura ordinaria 01/0101 o NV 80/nv. HKA en doble durante matriz comercial.
Cliente QA-6 activo; POS habilitado; total 116; tipo 80; modo digital/demo del tenant.</x:v>
      </x:c>
      <x:c r="D483" s="13" t="str">
        <x:v>1. Abrir POS; buscar y seleccionar cliente de identidad 6
2. Crear venta 80 ordinaria con P-G, serie autorizada y pago 116
3. Consultar número, cliente, moneda, total, saldo, pagos, inventario y estado fiscal</x:v>
      </x:c>
      <x:c r="E483" s="13" t="str">
        <x:v>No existe restricción comercial por identidad 6 contra tipo 80 ni por monto. Venta única y presentación J-número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83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84" ht="68" customHeight="1">
      <x:c r="A484" s="13" t="str">
        <x:v>QA-MAT-028</x:v>
      </x:c>
      <x:c r="B484" s="13" t="str">
        <x:v>POS / 80 / identidad 7 Pasaporte</x:v>
      </x:c>
      <x:c r="C484" s="13" t="str">
        <x:v>Un fixture por identidad doméstica activa, comprador autorizado, factura ordinaria 01/0101 o NV 80/nv. HKA en doble durante matriz comercial.
Cliente QA-7 activo; POS habilitado; total 116; tipo 80; modo digital/demo del tenant.</x:v>
      </x:c>
      <x:c r="D484" s="13" t="str">
        <x:v>1. Abrir POS; buscar y seleccionar cliente de identidad 7
2. Crear venta 80 ordinaria con P-G, serie autorizada y pago 116
3. Consultar número, cliente, moneda, total, saldo, pagos, inventario y estado fiscal</x:v>
      </x:c>
      <x:c r="E484" s="13" t="str">
        <x:v>No existe restricción comercial por identidad 7 contra tipo 80 ni por monto. Venta única y presentación P-número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84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85" ht="68" customHeight="1">
      <x:c r="A485" s="13" t="str">
        <x:v>QA-MAT-029</x:v>
      </x:c>
      <x:c r="B485" s="13" t="str">
        <x:v>POS / 80 / identidad E Extranjero</x:v>
      </x:c>
      <x:c r="C485" s="13" t="str">
        <x:v>Un fixture por identidad doméstica activa, comprador autorizado, factura ordinaria 01/0101 o NV 80/nv. HKA en doble durante matriz comercial.
Cliente QA-E activo; POS habilitado; total 116; tipo 80; modo digital/demo del tenant.</x:v>
      </x:c>
      <x:c r="D485" s="13" t="str">
        <x:v>1. Abrir POS; buscar y seleccionar cliente de identidad E
2. Crear venta 80 ordinaria con P-G, serie autorizada y pago 116
3. Consultar número, cliente, moneda, total, saldo, pagos, inventario y estado fiscal</x:v>
      </x:c>
      <x:c r="E485" s="13" t="str">
        <x:v>No existe restricción comercial por identidad E contra tipo 80 ni por monto. Venta única y presentación E-número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85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86" ht="68" customHeight="1">
      <x:c r="A486" s="13" t="str">
        <x:v>QA-MAT-030</x:v>
      </x:c>
      <x:c r="B486" s="13" t="str">
        <x:v>POS / 80 / identidad C Comuna</x:v>
      </x:c>
      <x:c r="C486" s="13" t="str">
        <x:v>Un fixture por identidad doméstica activa, comprador autorizado, factura ordinaria 01/0101 o NV 80/nv. HKA en doble durante matriz comercial.
Cliente QA-C activo; POS habilitado; total 116; tipo 80; modo digital/demo del tenant.</x:v>
      </x:c>
      <x:c r="D486" s="13" t="str">
        <x:v>1. Abrir POS; buscar y seleccionar cliente de identidad C
2. Crear venta 80 ordinaria con P-G, serie autorizada y pago 116
3. Consultar número, cliente, moneda, total, saldo, pagos, inventario y estado fiscal</x:v>
      </x:c>
      <x:c r="E486" s="13" t="str">
        <x:v>No existe restricción comercial por identidad C contra tipo 80 ni por monto. Venta única y presentación C-número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86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87" ht="68" customHeight="1">
      <x:c r="A487" s="13" t="str">
        <x:v>QA-MAT-031</x:v>
      </x:c>
      <x:c r="B487" s="13" t="str">
        <x:v>POS / 80 / identidad G Gubernamental</x:v>
      </x:c>
      <x:c r="C487" s="13" t="str">
        <x:v>Un fixture por identidad doméstica activa, comprador autorizado, factura ordinaria 01/0101 o NV 80/nv. HKA en doble durante matriz comercial.
Cliente QA-G activo; POS habilitado; total 116; tipo 80; modo digital/demo del tenant.</x:v>
      </x:c>
      <x:c r="D487" s="13" t="str">
        <x:v>1. Abrir POS; buscar y seleccionar cliente de identidad G
2. Crear venta 80 ordinaria con P-G, serie autorizada y pago 116
3. Consultar número, cliente, moneda, total, saldo, pagos, inventario y estado fiscal</x:v>
      </x:c>
      <x:c r="E487" s="13" t="str">
        <x:v>No existe restricción comercial por identidad G contra tipo 80 ni por monto. Venta única y presentación G-número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87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88" ht="68" customHeight="1">
      <x:c r="A488" s="13" t="str">
        <x:v>QA-MAT-032</x:v>
      </x:c>
      <x:c r="B488" s="13" t="str">
        <x:v>POS / 80 / identidad R Firma Personal</x:v>
      </x:c>
      <x:c r="C488" s="13" t="str">
        <x:v>Un fixture por identidad doméstica activa, comprador autorizado, factura ordinaria 01/0101 o NV 80/nv. HKA en doble durante matriz comercial.
Cliente QA-R activo; POS habilitado; total 116; tipo 80; modo digital/demo del tenant.</x:v>
      </x:c>
      <x:c r="D488" s="13" t="str">
        <x:v>1. Abrir POS; buscar y seleccionar cliente de identidad R
2. Crear venta 80 ordinaria con P-G, serie autorizada y pago 116
3. Consultar número, cliente, moneda, total, saldo, pagos, inventario y estado fiscal</x:v>
      </x:c>
      <x:c r="E488" s="13" t="str">
        <x:v>No existe restricción comercial por identidad R contra tipo 80 ni por monto. Venta única y presentación R-número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88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89" ht="68" customHeight="1">
      <x:c r="A489" s="13" t="str">
        <x:v>QA-MAT-033</x:v>
      </x:c>
      <x:c r="B489" s="13" t="str">
        <x:v>Vende Ya / Garage / 01 / identidad 0 Doc.sin.rif</x:v>
      </x:c>
      <x:c r="C489" s="13" t="str">
        <x:v>Un fixture por identidad doméstica activa, comprador autorizado, factura ordinaria 01/0101 o NV 80/nv. HKA en doble durante matriz comercial.
Cliente QA-0 activo; Vende Ya / Garage habilitado; total 116; tipo 01; modo digital/demo del tenant.</x:v>
      </x:c>
      <x:c r="D489" s="13" t="str">
        <x:v>1. Abrir Vende Ya / Garage; buscar y seleccionar cliente de identidad 0
2. Crear venta 01 ordinaria con P-G, serie autorizada y pago 116
3. Consultar número, cliente, moneda, total, saldo, pagos, inventario y estado fiscal</x:v>
      </x:c>
      <x:c r="E489" s="13" t="str">
        <x:v>No existe restricción comercial por identidad 0 contra tipo 01 ni por monto. Venta única y presentación sin prefijo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89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90" ht="68" customHeight="1">
      <x:c r="A490" s="13" t="str">
        <x:v>QA-MAT-034</x:v>
      </x:c>
      <x:c r="B490" s="13" t="str">
        <x:v>Vende Ya / Garage / 01 / identidad 1 Venezolano</x:v>
      </x:c>
      <x:c r="C490" s="13" t="str">
        <x:v>Un fixture por identidad doméstica activa, comprador autorizado, factura ordinaria 01/0101 o NV 80/nv. HKA en doble durante matriz comercial.
Cliente QA-1 activo; Vende Ya / Garage habilitado; total 116; tipo 01; modo digital/demo del tenant.</x:v>
      </x:c>
      <x:c r="D490" s="13" t="str">
        <x:v>1. Abrir Vende Ya / Garage; buscar y seleccionar cliente de identidad 1
2. Crear venta 01 ordinaria con P-G, serie autorizada y pago 116
3. Consultar número, cliente, moneda, total, saldo, pagos, inventario y estado fiscal</x:v>
      </x:c>
      <x:c r="E490" s="13" t="str">
        <x:v>No existe restricción comercial por identidad 1 contra tipo 01 ni por monto. Venta única y presentación V-número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90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91" ht="68" customHeight="1">
      <x:c r="A491" s="13" t="str">
        <x:v>QA-MAT-035</x:v>
      </x:c>
      <x:c r="B491" s="13" t="str">
        <x:v>Vende Ya / Garage / 01 / identidad 6 Juridico</x:v>
      </x:c>
      <x:c r="C491" s="13" t="str">
        <x:v>Un fixture por identidad doméstica activa, comprador autorizado, factura ordinaria 01/0101 o NV 80/nv. HKA en doble durante matriz comercial.
Cliente QA-6 activo; Vende Ya / Garage habilitado; total 116; tipo 01; modo digital/demo del tenant.</x:v>
      </x:c>
      <x:c r="D491" s="13" t="str">
        <x:v>1. Abrir Vende Ya / Garage; buscar y seleccionar cliente de identidad 6
2. Crear venta 01 ordinaria con P-G, serie autorizada y pago 116
3. Consultar número, cliente, moneda, total, saldo, pagos, inventario y estado fiscal</x:v>
      </x:c>
      <x:c r="E491" s="13" t="str">
        <x:v>No existe restricción comercial por identidad 6 contra tipo 01 ni por monto. Venta única y presentación J-número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91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92" ht="68" customHeight="1">
      <x:c r="A492" s="13" t="str">
        <x:v>QA-MAT-036</x:v>
      </x:c>
      <x:c r="B492" s="13" t="str">
        <x:v>Vende Ya / Garage / 01 / identidad 7 Pasaporte</x:v>
      </x:c>
      <x:c r="C492" s="13" t="str">
        <x:v>Un fixture por identidad doméstica activa, comprador autorizado, factura ordinaria 01/0101 o NV 80/nv. HKA en doble durante matriz comercial.
Cliente QA-7 activo; Vende Ya / Garage habilitado; total 116; tipo 01; modo digital/demo del tenant.</x:v>
      </x:c>
      <x:c r="D492" s="13" t="str">
        <x:v>1. Abrir Vende Ya / Garage; buscar y seleccionar cliente de identidad 7
2. Crear venta 01 ordinaria con P-G, serie autorizada y pago 116
3. Consultar número, cliente, moneda, total, saldo, pagos, inventario y estado fiscal</x:v>
      </x:c>
      <x:c r="E492" s="13" t="str">
        <x:v>No existe restricción comercial por identidad 7 contra tipo 01 ni por monto. Venta única y presentación P-número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92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93" ht="68" customHeight="1">
      <x:c r="A493" s="13" t="str">
        <x:v>QA-MAT-037</x:v>
      </x:c>
      <x:c r="B493" s="13" t="str">
        <x:v>Vende Ya / Garage / 01 / identidad E Extranjero</x:v>
      </x:c>
      <x:c r="C493" s="13" t="str">
        <x:v>Un fixture por identidad doméstica activa, comprador autorizado, factura ordinaria 01/0101 o NV 80/nv. HKA en doble durante matriz comercial.
Cliente QA-E activo; Vende Ya / Garage habilitado; total 116; tipo 01; modo digital/demo del tenant.</x:v>
      </x:c>
      <x:c r="D493" s="13" t="str">
        <x:v>1. Abrir Vende Ya / Garage; buscar y seleccionar cliente de identidad E
2. Crear venta 01 ordinaria con P-G, serie autorizada y pago 116
3. Consultar número, cliente, moneda, total, saldo, pagos, inventario y estado fiscal</x:v>
      </x:c>
      <x:c r="E493" s="13" t="str">
        <x:v>No existe restricción comercial por identidad E contra tipo 01 ni por monto. Venta única y presentación E-número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93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94" ht="68" customHeight="1">
      <x:c r="A494" s="13" t="str">
        <x:v>QA-MAT-038</x:v>
      </x:c>
      <x:c r="B494" s="13" t="str">
        <x:v>Vende Ya / Garage / 01 / identidad C Comuna</x:v>
      </x:c>
      <x:c r="C494" s="13" t="str">
        <x:v>Un fixture por identidad doméstica activa, comprador autorizado, factura ordinaria 01/0101 o NV 80/nv. HKA en doble durante matriz comercial.
Cliente QA-C activo; Vende Ya / Garage habilitado; total 116; tipo 01; modo digital/demo del tenant.</x:v>
      </x:c>
      <x:c r="D494" s="13" t="str">
        <x:v>1. Abrir Vende Ya / Garage; buscar y seleccionar cliente de identidad C
2. Crear venta 01 ordinaria con P-G, serie autorizada y pago 116
3. Consultar número, cliente, moneda, total, saldo, pagos, inventario y estado fiscal</x:v>
      </x:c>
      <x:c r="E494" s="13" t="str">
        <x:v>No existe restricción comercial por identidad C contra tipo 01 ni por monto. Venta única y presentación C-número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94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95" ht="68" customHeight="1">
      <x:c r="A495" s="13" t="str">
        <x:v>QA-MAT-039</x:v>
      </x:c>
      <x:c r="B495" s="13" t="str">
        <x:v>Vende Ya / Garage / 01 / identidad G Gubernamental</x:v>
      </x:c>
      <x:c r="C495" s="13" t="str">
        <x:v>Un fixture por identidad doméstica activa, comprador autorizado, factura ordinaria 01/0101 o NV 80/nv. HKA en doble durante matriz comercial.
Cliente QA-G activo; Vende Ya / Garage habilitado; total 116; tipo 01; modo digital/demo del tenant.</x:v>
      </x:c>
      <x:c r="D495" s="13" t="str">
        <x:v>1. Abrir Vende Ya / Garage; buscar y seleccionar cliente de identidad G
2. Crear venta 01 ordinaria con P-G, serie autorizada y pago 116
3. Consultar número, cliente, moneda, total, saldo, pagos, inventario y estado fiscal</x:v>
      </x:c>
      <x:c r="E495" s="13" t="str">
        <x:v>No existe restricción comercial por identidad G contra tipo 01 ni por monto. Venta única y presentación G-número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95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96" ht="68" customHeight="1">
      <x:c r="A496" s="13" t="str">
        <x:v>QA-MAT-040</x:v>
      </x:c>
      <x:c r="B496" s="13" t="str">
        <x:v>Vende Ya / Garage / 01 / identidad R Firma Personal</x:v>
      </x:c>
      <x:c r="C496" s="13" t="str">
        <x:v>Un fixture por identidad doméstica activa, comprador autorizado, factura ordinaria 01/0101 o NV 80/nv. HKA en doble durante matriz comercial.
Cliente QA-R activo; Vende Ya / Garage habilitado; total 116; tipo 01; modo digital/demo del tenant.</x:v>
      </x:c>
      <x:c r="D496" s="13" t="str">
        <x:v>1. Abrir Vende Ya / Garage; buscar y seleccionar cliente de identidad R
2. Crear venta 01 ordinaria con P-G, serie autorizada y pago 116
3. Consultar número, cliente, moneda, total, saldo, pagos, inventario y estado fiscal</x:v>
      </x:c>
      <x:c r="E496" s="13" t="str">
        <x:v>No existe restricción comercial por identidad R contra tipo 01 ni por monto. Venta única y presentación R-número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96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97" ht="68" customHeight="1">
      <x:c r="A497" s="13" t="str">
        <x:v>QA-MAT-041</x:v>
      </x:c>
      <x:c r="B497" s="13" t="str">
        <x:v>Vende Ya / Garage / 80 / identidad 0 Doc.sin.rif</x:v>
      </x:c>
      <x:c r="C497" s="13" t="str">
        <x:v>Un fixture por identidad doméstica activa, comprador autorizado, factura ordinaria 01/0101 o NV 80/nv. HKA en doble durante matriz comercial.
Cliente QA-0 activo; Vende Ya / Garage habilitado; total 116; tipo 80; modo digital/demo del tenant.</x:v>
      </x:c>
      <x:c r="D497" s="13" t="str">
        <x:v>1. Abrir Vende Ya / Garage; buscar y seleccionar cliente de identidad 0
2. Crear venta 80 ordinaria con P-G, serie autorizada y pago 116
3. Consultar número, cliente, moneda, total, saldo, pagos, inventario y estado fiscal</x:v>
      </x:c>
      <x:c r="E497" s="13" t="str">
        <x:v>No existe restricción comercial por identidad 0 contra tipo 80 ni por monto. Venta única y presentación sin prefijo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97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98" ht="68" customHeight="1">
      <x:c r="A498" s="13" t="str">
        <x:v>QA-MAT-042</x:v>
      </x:c>
      <x:c r="B498" s="13" t="str">
        <x:v>Vende Ya / Garage / 80 / identidad 1 Venezolano</x:v>
      </x:c>
      <x:c r="C498" s="13" t="str">
        <x:v>Un fixture por identidad doméstica activa, comprador autorizado, factura ordinaria 01/0101 o NV 80/nv. HKA en doble durante matriz comercial.
Cliente QA-1 activo; Vende Ya / Garage habilitado; total 116; tipo 80; modo digital/demo del tenant.</x:v>
      </x:c>
      <x:c r="D498" s="13" t="str">
        <x:v>1. Abrir Vende Ya / Garage; buscar y seleccionar cliente de identidad 1
2. Crear venta 80 ordinaria con P-G, serie autorizada y pago 116
3. Consultar número, cliente, moneda, total, saldo, pagos, inventario y estado fiscal</x:v>
      </x:c>
      <x:c r="E498" s="13" t="str">
        <x:v>No existe restricción comercial por identidad 1 contra tipo 80 ni por monto. Venta única y presentación V-número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98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499" ht="68" customHeight="1">
      <x:c r="A499" s="13" t="str">
        <x:v>QA-MAT-043</x:v>
      </x:c>
      <x:c r="B499" s="13" t="str">
        <x:v>Vende Ya / Garage / 80 / identidad 6 Juridico</x:v>
      </x:c>
      <x:c r="C499" s="13" t="str">
        <x:v>Un fixture por identidad doméstica activa, comprador autorizado, factura ordinaria 01/0101 o NV 80/nv. HKA en doble durante matriz comercial.
Cliente QA-6 activo; Vende Ya / Garage habilitado; total 116; tipo 80; modo digital/demo del tenant.</x:v>
      </x:c>
      <x:c r="D499" s="13" t="str">
        <x:v>1. Abrir Vende Ya / Garage; buscar y seleccionar cliente de identidad 6
2. Crear venta 80 ordinaria con P-G, serie autorizada y pago 116
3. Consultar número, cliente, moneda, total, saldo, pagos, inventario y estado fiscal</x:v>
      </x:c>
      <x:c r="E499" s="13" t="str">
        <x:v>No existe restricción comercial por identidad 6 contra tipo 80 ni por monto. Venta única y presentación J-número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499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00" ht="68" customHeight="1">
      <x:c r="A500" s="13" t="str">
        <x:v>QA-MAT-044</x:v>
      </x:c>
      <x:c r="B500" s="13" t="str">
        <x:v>Vende Ya / Garage / 80 / identidad 7 Pasaporte</x:v>
      </x:c>
      <x:c r="C500" s="13" t="str">
        <x:v>Un fixture por identidad doméstica activa, comprador autorizado, factura ordinaria 01/0101 o NV 80/nv. HKA en doble durante matriz comercial.
Cliente QA-7 activo; Vende Ya / Garage habilitado; total 116; tipo 80; modo digital/demo del tenant.</x:v>
      </x:c>
      <x:c r="D500" s="13" t="str">
        <x:v>1. Abrir Vende Ya / Garage; buscar y seleccionar cliente de identidad 7
2. Crear venta 80 ordinaria con P-G, serie autorizada y pago 116
3. Consultar número, cliente, moneda, total, saldo, pagos, inventario y estado fiscal</x:v>
      </x:c>
      <x:c r="E500" s="13" t="str">
        <x:v>No existe restricción comercial por identidad 7 contra tipo 80 ni por monto. Venta única y presentación P-número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00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01" ht="68" customHeight="1">
      <x:c r="A501" s="13" t="str">
        <x:v>QA-MAT-045</x:v>
      </x:c>
      <x:c r="B501" s="13" t="str">
        <x:v>Vende Ya / Garage / 80 / identidad E Extranjero</x:v>
      </x:c>
      <x:c r="C501" s="13" t="str">
        <x:v>Un fixture por identidad doméstica activa, comprador autorizado, factura ordinaria 01/0101 o NV 80/nv. HKA en doble durante matriz comercial.
Cliente QA-E activo; Vende Ya / Garage habilitado; total 116; tipo 80; modo digital/demo del tenant.</x:v>
      </x:c>
      <x:c r="D501" s="13" t="str">
        <x:v>1. Abrir Vende Ya / Garage; buscar y seleccionar cliente de identidad E
2. Crear venta 80 ordinaria con P-G, serie autorizada y pago 116
3. Consultar número, cliente, moneda, total, saldo, pagos, inventario y estado fiscal</x:v>
      </x:c>
      <x:c r="E501" s="13" t="str">
        <x:v>No existe restricción comercial por identidad E contra tipo 80 ni por monto. Venta única y presentación E-número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01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02" ht="68" customHeight="1">
      <x:c r="A502" s="13" t="str">
        <x:v>QA-MAT-046</x:v>
      </x:c>
      <x:c r="B502" s="13" t="str">
        <x:v>Vende Ya / Garage / 80 / identidad C Comuna</x:v>
      </x:c>
      <x:c r="C502" s="13" t="str">
        <x:v>Un fixture por identidad doméstica activa, comprador autorizado, factura ordinaria 01/0101 o NV 80/nv. HKA en doble durante matriz comercial.
Cliente QA-C activo; Vende Ya / Garage habilitado; total 116; tipo 80; modo digital/demo del tenant.</x:v>
      </x:c>
      <x:c r="D502" s="13" t="str">
        <x:v>1. Abrir Vende Ya / Garage; buscar y seleccionar cliente de identidad C
2. Crear venta 80 ordinaria con P-G, serie autorizada y pago 116
3. Consultar número, cliente, moneda, total, saldo, pagos, inventario y estado fiscal</x:v>
      </x:c>
      <x:c r="E502" s="13" t="str">
        <x:v>No existe restricción comercial por identidad C contra tipo 80 ni por monto. Venta única y presentación C-número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02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03" ht="68" customHeight="1">
      <x:c r="A503" s="13" t="str">
        <x:v>QA-MAT-047</x:v>
      </x:c>
      <x:c r="B503" s="13" t="str">
        <x:v>Vende Ya / Garage / 80 / identidad G Gubernamental</x:v>
      </x:c>
      <x:c r="C503" s="13" t="str">
        <x:v>Un fixture por identidad doméstica activa, comprador autorizado, factura ordinaria 01/0101 o NV 80/nv. HKA en doble durante matriz comercial.
Cliente QA-G activo; Vende Ya / Garage habilitado; total 116; tipo 80; modo digital/demo del tenant.</x:v>
      </x:c>
      <x:c r="D503" s="13" t="str">
        <x:v>1. Abrir Vende Ya / Garage; buscar y seleccionar cliente de identidad G
2. Crear venta 80 ordinaria con P-G, serie autorizada y pago 116
3. Consultar número, cliente, moneda, total, saldo, pagos, inventario y estado fiscal</x:v>
      </x:c>
      <x:c r="E503" s="13" t="str">
        <x:v>No existe restricción comercial por identidad G contra tipo 80 ni por monto. Venta única y presentación G-número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03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04" ht="68" customHeight="1">
      <x:c r="A504" s="13" t="str">
        <x:v>QA-MAT-048</x:v>
      </x:c>
      <x:c r="B504" s="13" t="str">
        <x:v>Vende Ya / Garage / 80 / identidad R Firma Personal</x:v>
      </x:c>
      <x:c r="C504" s="13" t="str">
        <x:v>Un fixture por identidad doméstica activa, comprador autorizado, factura ordinaria 01/0101 o NV 80/nv. HKA en doble durante matriz comercial.
Cliente QA-R activo; Vende Ya / Garage habilitado; total 116; tipo 80; modo digital/demo del tenant.</x:v>
      </x:c>
      <x:c r="D504" s="13" t="str">
        <x:v>1. Abrir Vende Ya / Garage; buscar y seleccionar cliente de identidad R
2. Crear venta 80 ordinaria con P-G, serie autorizada y pago 116
3. Consultar número, cliente, moneda, total, saldo, pagos, inventario y estado fiscal</x:v>
      </x:c>
      <x:c r="E504" s="13" t="str">
        <x:v>No existe restricción comercial por identidad R contra tipo 80 ni por monto. Venta única y presentación R-número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04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05" ht="68" customHeight="1">
      <x:c r="A505" s="13" t="str">
        <x:v>QA-MAT-049</x:v>
      </x:c>
      <x:c r="B505" s="13" t="str">
        <x:v>Venta rápida / 01 / identidad 0 Doc.sin.rif</x:v>
      </x:c>
      <x:c r="C505" s="13" t="str">
        <x:v>Un fixture por identidad doméstica activa, comprador autorizado, factura ordinaria 01/0101 o NV 80/nv. HKA en doble durante matriz comercial.
Cliente QA-0 activo; Venta rápida habilitado; total 116; tipo 01; modo digital/demo del tenant.</x:v>
      </x:c>
      <x:c r="D505" s="13" t="str">
        <x:v>1. Abrir Venta rápida; buscar y seleccionar cliente de identidad 0
2. Crear venta 01 ordinaria con P-G, serie autorizada y pago 116
3. Consultar número, cliente, moneda, total, saldo, pagos, inventario y estado fiscal</x:v>
      </x:c>
      <x:c r="E505" s="13" t="str">
        <x:v>No existe restricción comercial por identidad 0 contra tipo 01 ni por monto. Venta única y presentación sin prefijo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05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06" ht="68" customHeight="1">
      <x:c r="A506" s="13" t="str">
        <x:v>QA-MAT-050</x:v>
      </x:c>
      <x:c r="B506" s="13" t="str">
        <x:v>Venta rápida / 01 / identidad 1 Venezolano</x:v>
      </x:c>
      <x:c r="C506" s="13" t="str">
        <x:v>Un fixture por identidad doméstica activa, comprador autorizado, factura ordinaria 01/0101 o NV 80/nv. HKA en doble durante matriz comercial.
Cliente QA-1 activo; Venta rápida habilitado; total 116; tipo 01; modo digital/demo del tenant.</x:v>
      </x:c>
      <x:c r="D506" s="13" t="str">
        <x:v>1. Abrir Venta rápida; buscar y seleccionar cliente de identidad 1
2. Crear venta 01 ordinaria con P-G, serie autorizada y pago 116
3. Consultar número, cliente, moneda, total, saldo, pagos, inventario y estado fiscal</x:v>
      </x:c>
      <x:c r="E506" s="13" t="str">
        <x:v>No existe restricción comercial por identidad 1 contra tipo 01 ni por monto. Venta única y presentación V-número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06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07" ht="68" customHeight="1">
      <x:c r="A507" s="13" t="str">
        <x:v>QA-MAT-051</x:v>
      </x:c>
      <x:c r="B507" s="13" t="str">
        <x:v>Venta rápida / 01 / identidad 6 Juridico</x:v>
      </x:c>
      <x:c r="C507" s="13" t="str">
        <x:v>Un fixture por identidad doméstica activa, comprador autorizado, factura ordinaria 01/0101 o NV 80/nv. HKA en doble durante matriz comercial.
Cliente QA-6 activo; Venta rápida habilitado; total 116; tipo 01; modo digital/demo del tenant.</x:v>
      </x:c>
      <x:c r="D507" s="13" t="str">
        <x:v>1. Abrir Venta rápida; buscar y seleccionar cliente de identidad 6
2. Crear venta 01 ordinaria con P-G, serie autorizada y pago 116
3. Consultar número, cliente, moneda, total, saldo, pagos, inventario y estado fiscal</x:v>
      </x:c>
      <x:c r="E507" s="13" t="str">
        <x:v>No existe restricción comercial por identidad 6 contra tipo 01 ni por monto. Venta única y presentación J-número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07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08" ht="68" customHeight="1">
      <x:c r="A508" s="13" t="str">
        <x:v>QA-MAT-052</x:v>
      </x:c>
      <x:c r="B508" s="13" t="str">
        <x:v>Venta rápida / 01 / identidad 7 Pasaporte</x:v>
      </x:c>
      <x:c r="C508" s="13" t="str">
        <x:v>Un fixture por identidad doméstica activa, comprador autorizado, factura ordinaria 01/0101 o NV 80/nv. HKA en doble durante matriz comercial.
Cliente QA-7 activo; Venta rápida habilitado; total 116; tipo 01; modo digital/demo del tenant.</x:v>
      </x:c>
      <x:c r="D508" s="13" t="str">
        <x:v>1. Abrir Venta rápida; buscar y seleccionar cliente de identidad 7
2. Crear venta 01 ordinaria con P-G, serie autorizada y pago 116
3. Consultar número, cliente, moneda, total, saldo, pagos, inventario y estado fiscal</x:v>
      </x:c>
      <x:c r="E508" s="13" t="str">
        <x:v>No existe restricción comercial por identidad 7 contra tipo 01 ni por monto. Venta única y presentación P-número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08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09" ht="68" customHeight="1">
      <x:c r="A509" s="13" t="str">
        <x:v>QA-MAT-053</x:v>
      </x:c>
      <x:c r="B509" s="13" t="str">
        <x:v>Venta rápida / 01 / identidad E Extranjero</x:v>
      </x:c>
      <x:c r="C509" s="13" t="str">
        <x:v>Un fixture por identidad doméstica activa, comprador autorizado, factura ordinaria 01/0101 o NV 80/nv. HKA en doble durante matriz comercial.
Cliente QA-E activo; Venta rápida habilitado; total 116; tipo 01; modo digital/demo del tenant.</x:v>
      </x:c>
      <x:c r="D509" s="13" t="str">
        <x:v>1. Abrir Venta rápida; buscar y seleccionar cliente de identidad E
2. Crear venta 01 ordinaria con P-G, serie autorizada y pago 116
3. Consultar número, cliente, moneda, total, saldo, pagos, inventario y estado fiscal</x:v>
      </x:c>
      <x:c r="E509" s="13" t="str">
        <x:v>No existe restricción comercial por identidad E contra tipo 01 ni por monto. Venta única y presentación E-número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09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10" ht="68" customHeight="1">
      <x:c r="A510" s="13" t="str">
        <x:v>QA-MAT-054</x:v>
      </x:c>
      <x:c r="B510" s="13" t="str">
        <x:v>Venta rápida / 01 / identidad C Comuna</x:v>
      </x:c>
      <x:c r="C510" s="13" t="str">
        <x:v>Un fixture por identidad doméstica activa, comprador autorizado, factura ordinaria 01/0101 o NV 80/nv. HKA en doble durante matriz comercial.
Cliente QA-C activo; Venta rápida habilitado; total 116; tipo 01; modo digital/demo del tenant.</x:v>
      </x:c>
      <x:c r="D510" s="13" t="str">
        <x:v>1. Abrir Venta rápida; buscar y seleccionar cliente de identidad C
2. Crear venta 01 ordinaria con P-G, serie autorizada y pago 116
3. Consultar número, cliente, moneda, total, saldo, pagos, inventario y estado fiscal</x:v>
      </x:c>
      <x:c r="E510" s="13" t="str">
        <x:v>No existe restricción comercial por identidad C contra tipo 01 ni por monto. Venta única y presentación C-número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10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11" ht="68" customHeight="1">
      <x:c r="A511" s="13" t="str">
        <x:v>QA-MAT-055</x:v>
      </x:c>
      <x:c r="B511" s="13" t="str">
        <x:v>Venta rápida / 01 / identidad G Gubernamental</x:v>
      </x:c>
      <x:c r="C511" s="13" t="str">
        <x:v>Un fixture por identidad doméstica activa, comprador autorizado, factura ordinaria 01/0101 o NV 80/nv. HKA en doble durante matriz comercial.
Cliente QA-G activo; Venta rápida habilitado; total 116; tipo 01; modo digital/demo del tenant.</x:v>
      </x:c>
      <x:c r="D511" s="13" t="str">
        <x:v>1. Abrir Venta rápida; buscar y seleccionar cliente de identidad G
2. Crear venta 01 ordinaria con P-G, serie autorizada y pago 116
3. Consultar número, cliente, moneda, total, saldo, pagos, inventario y estado fiscal</x:v>
      </x:c>
      <x:c r="E511" s="13" t="str">
        <x:v>No existe restricción comercial por identidad G contra tipo 01 ni por monto. Venta única y presentación G-número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11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12" ht="68" customHeight="1">
      <x:c r="A512" s="13" t="str">
        <x:v>QA-MAT-056</x:v>
      </x:c>
      <x:c r="B512" s="13" t="str">
        <x:v>Venta rápida / 01 / identidad R Firma Personal</x:v>
      </x:c>
      <x:c r="C512" s="13" t="str">
        <x:v>Un fixture por identidad doméstica activa, comprador autorizado, factura ordinaria 01/0101 o NV 80/nv. HKA en doble durante matriz comercial.
Cliente QA-R activo; Venta rápida habilitado; total 116; tipo 01; modo digital/demo del tenant.</x:v>
      </x:c>
      <x:c r="D512" s="13" t="str">
        <x:v>1. Abrir Venta rápida; buscar y seleccionar cliente de identidad R
2. Crear venta 01 ordinaria con P-G, serie autorizada y pago 116
3. Consultar número, cliente, moneda, total, saldo, pagos, inventario y estado fiscal</x:v>
      </x:c>
      <x:c r="E512" s="13" t="str">
        <x:v>No existe restricción comercial por identidad R contra tipo 01 ni por monto. Venta única y presentación R-número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12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13" ht="68" customHeight="1">
      <x:c r="A513" s="13" t="str">
        <x:v>QA-MAT-057</x:v>
      </x:c>
      <x:c r="B513" s="13" t="str">
        <x:v>Venta rápida / 80 / identidad 0 Doc.sin.rif</x:v>
      </x:c>
      <x:c r="C513" s="13" t="str">
        <x:v>Un fixture por identidad doméstica activa, comprador autorizado, factura ordinaria 01/0101 o NV 80/nv. HKA en doble durante matriz comercial.
Cliente QA-0 activo; Venta rápida habilitado; total 116; tipo 80; modo digital/demo del tenant.</x:v>
      </x:c>
      <x:c r="D513" s="13" t="str">
        <x:v>1. Abrir Venta rápida; buscar y seleccionar cliente de identidad 0
2. Crear venta 80 ordinaria con P-G, serie autorizada y pago 116
3. Consultar número, cliente, moneda, total, saldo, pagos, inventario y estado fiscal</x:v>
      </x:c>
      <x:c r="E513" s="13" t="str">
        <x:v>No existe restricción comercial por identidad 0 contra tipo 80 ni por monto. Venta única y presentación sin prefijo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13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14" ht="68" customHeight="1">
      <x:c r="A514" s="13" t="str">
        <x:v>QA-MAT-058</x:v>
      </x:c>
      <x:c r="B514" s="13" t="str">
        <x:v>Venta rápida / 80 / identidad 1 Venezolano</x:v>
      </x:c>
      <x:c r="C514" s="13" t="str">
        <x:v>Un fixture por identidad doméstica activa, comprador autorizado, factura ordinaria 01/0101 o NV 80/nv. HKA en doble durante matriz comercial.
Cliente QA-1 activo; Venta rápida habilitado; total 116; tipo 80; modo digital/demo del tenant.</x:v>
      </x:c>
      <x:c r="D514" s="13" t="str">
        <x:v>1. Abrir Venta rápida; buscar y seleccionar cliente de identidad 1
2. Crear venta 80 ordinaria con P-G, serie autorizada y pago 116
3. Consultar número, cliente, moneda, total, saldo, pagos, inventario y estado fiscal</x:v>
      </x:c>
      <x:c r="E514" s="13" t="str">
        <x:v>No existe restricción comercial por identidad 1 contra tipo 80 ni por monto. Venta única y presentación V-número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14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15" ht="68" customHeight="1">
      <x:c r="A515" s="13" t="str">
        <x:v>QA-MAT-059</x:v>
      </x:c>
      <x:c r="B515" s="13" t="str">
        <x:v>Venta rápida / 80 / identidad 6 Juridico</x:v>
      </x:c>
      <x:c r="C515" s="13" t="str">
        <x:v>Un fixture por identidad doméstica activa, comprador autorizado, factura ordinaria 01/0101 o NV 80/nv. HKA en doble durante matriz comercial.
Cliente QA-6 activo; Venta rápida habilitado; total 116; tipo 80; modo digital/demo del tenant.</x:v>
      </x:c>
      <x:c r="D515" s="13" t="str">
        <x:v>1. Abrir Venta rápida; buscar y seleccionar cliente de identidad 6
2. Crear venta 80 ordinaria con P-G, serie autorizada y pago 116
3. Consultar número, cliente, moneda, total, saldo, pagos, inventario y estado fiscal</x:v>
      </x:c>
      <x:c r="E515" s="13" t="str">
        <x:v>No existe restricción comercial por identidad 6 contra tipo 80 ni por monto. Venta única y presentación J-número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15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16" ht="68" customHeight="1">
      <x:c r="A516" s="13" t="str">
        <x:v>QA-MAT-060</x:v>
      </x:c>
      <x:c r="B516" s="13" t="str">
        <x:v>Venta rápida / 80 / identidad 7 Pasaporte</x:v>
      </x:c>
      <x:c r="C516" s="13" t="str">
        <x:v>Un fixture por identidad doméstica activa, comprador autorizado, factura ordinaria 01/0101 o NV 80/nv. HKA en doble durante matriz comercial.
Cliente QA-7 activo; Venta rápida habilitado; total 116; tipo 80; modo digital/demo del tenant.</x:v>
      </x:c>
      <x:c r="D516" s="13" t="str">
        <x:v>1. Abrir Venta rápida; buscar y seleccionar cliente de identidad 7
2. Crear venta 80 ordinaria con P-G, serie autorizada y pago 116
3. Consultar número, cliente, moneda, total, saldo, pagos, inventario y estado fiscal</x:v>
      </x:c>
      <x:c r="E516" s="13" t="str">
        <x:v>No existe restricción comercial por identidad 7 contra tipo 80 ni por monto. Venta única y presentación P-número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16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17" ht="68" customHeight="1">
      <x:c r="A517" s="13" t="str">
        <x:v>QA-MAT-061</x:v>
      </x:c>
      <x:c r="B517" s="13" t="str">
        <x:v>Venta rápida / 80 / identidad E Extranjero</x:v>
      </x:c>
      <x:c r="C517" s="13" t="str">
        <x:v>Un fixture por identidad doméstica activa, comprador autorizado, factura ordinaria 01/0101 o NV 80/nv. HKA en doble durante matriz comercial.
Cliente QA-E activo; Venta rápida habilitado; total 116; tipo 80; modo digital/demo del tenant.</x:v>
      </x:c>
      <x:c r="D517" s="13" t="str">
        <x:v>1. Abrir Venta rápida; buscar y seleccionar cliente de identidad E
2. Crear venta 80 ordinaria con P-G, serie autorizada y pago 116
3. Consultar número, cliente, moneda, total, saldo, pagos, inventario y estado fiscal</x:v>
      </x:c>
      <x:c r="E517" s="13" t="str">
        <x:v>No existe restricción comercial por identidad E contra tipo 80 ni por monto. Venta única y presentación E-número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17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18" ht="68" customHeight="1">
      <x:c r="A518" s="13" t="str">
        <x:v>QA-MAT-062</x:v>
      </x:c>
      <x:c r="B518" s="13" t="str">
        <x:v>Venta rápida / 80 / identidad C Comuna</x:v>
      </x:c>
      <x:c r="C518" s="13" t="str">
        <x:v>Un fixture por identidad doméstica activa, comprador autorizado, factura ordinaria 01/0101 o NV 80/nv. HKA en doble durante matriz comercial.
Cliente QA-C activo; Venta rápida habilitado; total 116; tipo 80; modo digital/demo del tenant.</x:v>
      </x:c>
      <x:c r="D518" s="13" t="str">
        <x:v>1. Abrir Venta rápida; buscar y seleccionar cliente de identidad C
2. Crear venta 80 ordinaria con P-G, serie autorizada y pago 116
3. Consultar número, cliente, moneda, total, saldo, pagos, inventario y estado fiscal</x:v>
      </x:c>
      <x:c r="E518" s="13" t="str">
        <x:v>No existe restricción comercial por identidad C contra tipo 80 ni por monto. Venta única y presentación C-número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18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19" ht="68" customHeight="1">
      <x:c r="A519" s="13" t="str">
        <x:v>QA-MAT-063</x:v>
      </x:c>
      <x:c r="B519" s="13" t="str">
        <x:v>Venta rápida / 80 / identidad G Gubernamental</x:v>
      </x:c>
      <x:c r="C519" s="13" t="str">
        <x:v>Un fixture por identidad doméstica activa, comprador autorizado, factura ordinaria 01/0101 o NV 80/nv. HKA en doble durante matriz comercial.
Cliente QA-G activo; Venta rápida habilitado; total 116; tipo 80; modo digital/demo del tenant.</x:v>
      </x:c>
      <x:c r="D519" s="13" t="str">
        <x:v>1. Abrir Venta rápida; buscar y seleccionar cliente de identidad G
2. Crear venta 80 ordinaria con P-G, serie autorizada y pago 116
3. Consultar número, cliente, moneda, total, saldo, pagos, inventario y estado fiscal</x:v>
      </x:c>
      <x:c r="E519" s="13" t="str">
        <x:v>No existe restricción comercial por identidad G contra tipo 80 ni por monto. Venta única y presentación G-número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19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20" ht="68" customHeight="1">
      <x:c r="A520" s="13" t="str">
        <x:v>QA-MAT-064</x:v>
      </x:c>
      <x:c r="B520" s="13" t="str">
        <x:v>Venta rápida / 80 / identidad R Firma Personal</x:v>
      </x:c>
      <x:c r="C520" s="13" t="str">
        <x:v>Un fixture por identidad doméstica activa, comprador autorizado, factura ordinaria 01/0101 o NV 80/nv. HKA en doble durante matriz comercial.
Cliente QA-R activo; Venta rápida habilitado; total 116; tipo 80; modo digital/demo del tenant.</x:v>
      </x:c>
      <x:c r="D520" s="13" t="str">
        <x:v>1. Abrir Venta rápida; buscar y seleccionar cliente de identidad R
2. Crear venta 80 ordinaria con P-G, serie autorizada y pago 116
3. Consultar número, cliente, moneda, total, saldo, pagos, inventario y estado fiscal</x:v>
      </x:c>
      <x:c r="E520" s="13" t="str">
        <x:v>No existe restricción comercial por identidad R contra tipo 80 ni por monto. Venta única y presentación R-número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20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21" ht="68" customHeight="1">
      <x:c r="A521" s="13" t="str">
        <x:v>QA-MAT-065</x:v>
      </x:c>
      <x:c r="B521" s="13" t="str">
        <x:v>API de venta / 01 / identidad 0 Doc.sin.rif</x:v>
      </x:c>
      <x:c r="C521" s="13" t="str">
        <x:v>Un fixture por identidad doméstica activa, comprador autorizado, factura ordinaria 01/0101 o NV 80/nv. HKA en doble durante matriz comercial.
Cliente QA-0 activo; API de venta habilitado; total 116; tipo 01; modo digital/demo del tenant.</x:v>
      </x:c>
      <x:c r="D521" s="13" t="str">
        <x:v>1. Abrir API de venta; buscar y seleccionar cliente de identidad 0
2. Crear venta 01 ordinaria con P-G, serie autorizada y pago 116
3. Consultar número, cliente, moneda, total, saldo, pagos, inventario y estado fiscal</x:v>
      </x:c>
      <x:c r="E521" s="13" t="str">
        <x:v>No existe restricción comercial por identidad 0 contra tipo 01 ni por monto. Venta única y presentación sin prefijo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21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22" ht="68" customHeight="1">
      <x:c r="A522" s="13" t="str">
        <x:v>QA-MAT-066</x:v>
      </x:c>
      <x:c r="B522" s="13" t="str">
        <x:v>API de venta / 01 / identidad 1 Venezolano</x:v>
      </x:c>
      <x:c r="C522" s="13" t="str">
        <x:v>Un fixture por identidad doméstica activa, comprador autorizado, factura ordinaria 01/0101 o NV 80/nv. HKA en doble durante matriz comercial.
Cliente QA-1 activo; API de venta habilitado; total 116; tipo 01; modo digital/demo del tenant.</x:v>
      </x:c>
      <x:c r="D522" s="13" t="str">
        <x:v>1. Abrir API de venta; buscar y seleccionar cliente de identidad 1
2. Crear venta 01 ordinaria con P-G, serie autorizada y pago 116
3. Consultar número, cliente, moneda, total, saldo, pagos, inventario y estado fiscal</x:v>
      </x:c>
      <x:c r="E522" s="13" t="str">
        <x:v>No existe restricción comercial por identidad 1 contra tipo 01 ni por monto. Venta única y presentación V-número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22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23" ht="68" customHeight="1">
      <x:c r="A523" s="13" t="str">
        <x:v>QA-MAT-067</x:v>
      </x:c>
      <x:c r="B523" s="13" t="str">
        <x:v>API de venta / 01 / identidad 6 Juridico</x:v>
      </x:c>
      <x:c r="C523" s="13" t="str">
        <x:v>Un fixture por identidad doméstica activa, comprador autorizado, factura ordinaria 01/0101 o NV 80/nv. HKA en doble durante matriz comercial.
Cliente QA-6 activo; API de venta habilitado; total 116; tipo 01; modo digital/demo del tenant.</x:v>
      </x:c>
      <x:c r="D523" s="13" t="str">
        <x:v>1. Abrir API de venta; buscar y seleccionar cliente de identidad 6
2. Crear venta 01 ordinaria con P-G, serie autorizada y pago 116
3. Consultar número, cliente, moneda, total, saldo, pagos, inventario y estado fiscal</x:v>
      </x:c>
      <x:c r="E523" s="13" t="str">
        <x:v>No existe restricción comercial por identidad 6 contra tipo 01 ni por monto. Venta única y presentación J-número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23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24" ht="68" customHeight="1">
      <x:c r="A524" s="13" t="str">
        <x:v>QA-MAT-068</x:v>
      </x:c>
      <x:c r="B524" s="13" t="str">
        <x:v>API de venta / 01 / identidad 7 Pasaporte</x:v>
      </x:c>
      <x:c r="C524" s="13" t="str">
        <x:v>Un fixture por identidad doméstica activa, comprador autorizado, factura ordinaria 01/0101 o NV 80/nv. HKA en doble durante matriz comercial.
Cliente QA-7 activo; API de venta habilitado; total 116; tipo 01; modo digital/demo del tenant.</x:v>
      </x:c>
      <x:c r="D524" s="13" t="str">
        <x:v>1. Abrir API de venta; buscar y seleccionar cliente de identidad 7
2. Crear venta 01 ordinaria con P-G, serie autorizada y pago 116
3. Consultar número, cliente, moneda, total, saldo, pagos, inventario y estado fiscal</x:v>
      </x:c>
      <x:c r="E524" s="13" t="str">
        <x:v>No existe restricción comercial por identidad 7 contra tipo 01 ni por monto. Venta única y presentación P-número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24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25" ht="68" customHeight="1">
      <x:c r="A525" s="13" t="str">
        <x:v>QA-MAT-069</x:v>
      </x:c>
      <x:c r="B525" s="13" t="str">
        <x:v>API de venta / 01 / identidad E Extranjero</x:v>
      </x:c>
      <x:c r="C525" s="13" t="str">
        <x:v>Un fixture por identidad doméstica activa, comprador autorizado, factura ordinaria 01/0101 o NV 80/nv. HKA en doble durante matriz comercial.
Cliente QA-E activo; API de venta habilitado; total 116; tipo 01; modo digital/demo del tenant.</x:v>
      </x:c>
      <x:c r="D525" s="13" t="str">
        <x:v>1. Abrir API de venta; buscar y seleccionar cliente de identidad E
2. Crear venta 01 ordinaria con P-G, serie autorizada y pago 116
3. Consultar número, cliente, moneda, total, saldo, pagos, inventario y estado fiscal</x:v>
      </x:c>
      <x:c r="E525" s="13" t="str">
        <x:v>No existe restricción comercial por identidad E contra tipo 01 ni por monto. Venta única y presentación E-número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25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26" ht="68" customHeight="1">
      <x:c r="A526" s="13" t="str">
        <x:v>QA-MAT-070</x:v>
      </x:c>
      <x:c r="B526" s="13" t="str">
        <x:v>API de venta / 01 / identidad C Comuna</x:v>
      </x:c>
      <x:c r="C526" s="13" t="str">
        <x:v>Un fixture por identidad doméstica activa, comprador autorizado, factura ordinaria 01/0101 o NV 80/nv. HKA en doble durante matriz comercial.
Cliente QA-C activo; API de venta habilitado; total 116; tipo 01; modo digital/demo del tenant.</x:v>
      </x:c>
      <x:c r="D526" s="13" t="str">
        <x:v>1. Abrir API de venta; buscar y seleccionar cliente de identidad C
2. Crear venta 01 ordinaria con P-G, serie autorizada y pago 116
3. Consultar número, cliente, moneda, total, saldo, pagos, inventario y estado fiscal</x:v>
      </x:c>
      <x:c r="E526" s="13" t="str">
        <x:v>No existe restricción comercial por identidad C contra tipo 01 ni por monto. Venta única y presentación C-número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26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27" ht="68" customHeight="1">
      <x:c r="A527" s="13" t="str">
        <x:v>QA-MAT-071</x:v>
      </x:c>
      <x:c r="B527" s="13" t="str">
        <x:v>API de venta / 01 / identidad G Gubernamental</x:v>
      </x:c>
      <x:c r="C527" s="13" t="str">
        <x:v>Un fixture por identidad doméstica activa, comprador autorizado, factura ordinaria 01/0101 o NV 80/nv. HKA en doble durante matriz comercial.
Cliente QA-G activo; API de venta habilitado; total 116; tipo 01; modo digital/demo del tenant.</x:v>
      </x:c>
      <x:c r="D527" s="13" t="str">
        <x:v>1. Abrir API de venta; buscar y seleccionar cliente de identidad G
2. Crear venta 01 ordinaria con P-G, serie autorizada y pago 116
3. Consultar número, cliente, moneda, total, saldo, pagos, inventario y estado fiscal</x:v>
      </x:c>
      <x:c r="E527" s="13" t="str">
        <x:v>No existe restricción comercial por identidad G contra tipo 01 ni por monto. Venta única y presentación G-número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27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28" ht="68" customHeight="1">
      <x:c r="A528" s="13" t="str">
        <x:v>QA-MAT-072</x:v>
      </x:c>
      <x:c r="B528" s="13" t="str">
        <x:v>API de venta / 01 / identidad R Firma Personal</x:v>
      </x:c>
      <x:c r="C528" s="13" t="str">
        <x:v>Un fixture por identidad doméstica activa, comprador autorizado, factura ordinaria 01/0101 o NV 80/nv. HKA en doble durante matriz comercial.
Cliente QA-R activo; API de venta habilitado; total 116; tipo 01; modo digital/demo del tenant.</x:v>
      </x:c>
      <x:c r="D528" s="13" t="str">
        <x:v>1. Abrir API de venta; buscar y seleccionar cliente de identidad R
2. Crear venta 01 ordinaria con P-G, serie autorizada y pago 116
3. Consultar número, cliente, moneda, total, saldo, pagos, inventario y estado fiscal</x:v>
      </x:c>
      <x:c r="E528" s="13" t="str">
        <x:v>No existe restricción comercial por identidad R contra tipo 01 ni por monto. Venta única y presentación R-número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28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29" ht="68" customHeight="1">
      <x:c r="A529" s="13" t="str">
        <x:v>QA-MAT-073</x:v>
      </x:c>
      <x:c r="B529" s="13" t="str">
        <x:v>API de venta / 80 / identidad 0 Doc.sin.rif</x:v>
      </x:c>
      <x:c r="C529" s="13" t="str">
        <x:v>Un fixture por identidad doméstica activa, comprador autorizado, factura ordinaria 01/0101 o NV 80/nv. HKA en doble durante matriz comercial.
Cliente QA-0 activo; API de venta habilitado; total 116; tipo 80; modo digital/demo del tenant.</x:v>
      </x:c>
      <x:c r="D529" s="13" t="str">
        <x:v>1. Abrir API de venta; buscar y seleccionar cliente de identidad 0
2. Crear venta 80 ordinaria con P-G, serie autorizada y pago 116
3. Consultar número, cliente, moneda, total, saldo, pagos, inventario y estado fiscal</x:v>
      </x:c>
      <x:c r="E529" s="13" t="str">
        <x:v>No existe restricción comercial por identidad 0 contra tipo 80 ni por monto. Venta única y presentación sin prefijo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29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30" ht="68" customHeight="1">
      <x:c r="A530" s="13" t="str">
        <x:v>QA-MAT-074</x:v>
      </x:c>
      <x:c r="B530" s="13" t="str">
        <x:v>API de venta / 80 / identidad 1 Venezolano</x:v>
      </x:c>
      <x:c r="C530" s="13" t="str">
        <x:v>Un fixture por identidad doméstica activa, comprador autorizado, factura ordinaria 01/0101 o NV 80/nv. HKA en doble durante matriz comercial.
Cliente QA-1 activo; API de venta habilitado; total 116; tipo 80; modo digital/demo del tenant.</x:v>
      </x:c>
      <x:c r="D530" s="13" t="str">
        <x:v>1. Abrir API de venta; buscar y seleccionar cliente de identidad 1
2. Crear venta 80 ordinaria con P-G, serie autorizada y pago 116
3. Consultar número, cliente, moneda, total, saldo, pagos, inventario y estado fiscal</x:v>
      </x:c>
      <x:c r="E530" s="13" t="str">
        <x:v>No existe restricción comercial por identidad 1 contra tipo 80 ni por monto. Venta única y presentación V-número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30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31" ht="68" customHeight="1">
      <x:c r="A531" s="13" t="str">
        <x:v>QA-MAT-075</x:v>
      </x:c>
      <x:c r="B531" s="13" t="str">
        <x:v>API de venta / 80 / identidad 6 Juridico</x:v>
      </x:c>
      <x:c r="C531" s="13" t="str">
        <x:v>Un fixture por identidad doméstica activa, comprador autorizado, factura ordinaria 01/0101 o NV 80/nv. HKA en doble durante matriz comercial.
Cliente QA-6 activo; API de venta habilitado; total 116; tipo 80; modo digital/demo del tenant.</x:v>
      </x:c>
      <x:c r="D531" s="13" t="str">
        <x:v>1. Abrir API de venta; buscar y seleccionar cliente de identidad 6
2. Crear venta 80 ordinaria con P-G, serie autorizada y pago 116
3. Consultar número, cliente, moneda, total, saldo, pagos, inventario y estado fiscal</x:v>
      </x:c>
      <x:c r="E531" s="13" t="str">
        <x:v>No existe restricción comercial por identidad 6 contra tipo 80 ni por monto. Venta única y presentación J-número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31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32" ht="68" customHeight="1">
      <x:c r="A532" s="13" t="str">
        <x:v>QA-MAT-076</x:v>
      </x:c>
      <x:c r="B532" s="13" t="str">
        <x:v>API de venta / 80 / identidad 7 Pasaporte</x:v>
      </x:c>
      <x:c r="C532" s="13" t="str">
        <x:v>Un fixture por identidad doméstica activa, comprador autorizado, factura ordinaria 01/0101 o NV 80/nv. HKA en doble durante matriz comercial.
Cliente QA-7 activo; API de venta habilitado; total 116; tipo 80; modo digital/demo del tenant.</x:v>
      </x:c>
      <x:c r="D532" s="13" t="str">
        <x:v>1. Abrir API de venta; buscar y seleccionar cliente de identidad 7
2. Crear venta 80 ordinaria con P-G, serie autorizada y pago 116
3. Consultar número, cliente, moneda, total, saldo, pagos, inventario y estado fiscal</x:v>
      </x:c>
      <x:c r="E532" s="13" t="str">
        <x:v>No existe restricción comercial por identidad 7 contra tipo 80 ni por monto. Venta única y presentación P-número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32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33" ht="68" customHeight="1">
      <x:c r="A533" s="13" t="str">
        <x:v>QA-MAT-077</x:v>
      </x:c>
      <x:c r="B533" s="13" t="str">
        <x:v>API de venta / 80 / identidad E Extranjero</x:v>
      </x:c>
      <x:c r="C533" s="13" t="str">
        <x:v>Un fixture por identidad doméstica activa, comprador autorizado, factura ordinaria 01/0101 o NV 80/nv. HKA en doble durante matriz comercial.
Cliente QA-E activo; API de venta habilitado; total 116; tipo 80; modo digital/demo del tenant.</x:v>
      </x:c>
      <x:c r="D533" s="13" t="str">
        <x:v>1. Abrir API de venta; buscar y seleccionar cliente de identidad E
2. Crear venta 80 ordinaria con P-G, serie autorizada y pago 116
3. Consultar número, cliente, moneda, total, saldo, pagos, inventario y estado fiscal</x:v>
      </x:c>
      <x:c r="E533" s="13" t="str">
        <x:v>No existe restricción comercial por identidad E contra tipo 80 ni por monto. Venta única y presentación E-número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33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34" ht="68" customHeight="1">
      <x:c r="A534" s="13" t="str">
        <x:v>QA-MAT-078</x:v>
      </x:c>
      <x:c r="B534" s="13" t="str">
        <x:v>API de venta / 80 / identidad C Comuna</x:v>
      </x:c>
      <x:c r="C534" s="13" t="str">
        <x:v>Un fixture por identidad doméstica activa, comprador autorizado, factura ordinaria 01/0101 o NV 80/nv. HKA en doble durante matriz comercial.
Cliente QA-C activo; API de venta habilitado; total 116; tipo 80; modo digital/demo del tenant.</x:v>
      </x:c>
      <x:c r="D534" s="13" t="str">
        <x:v>1. Abrir API de venta; buscar y seleccionar cliente de identidad C
2. Crear venta 80 ordinaria con P-G, serie autorizada y pago 116
3. Consultar número, cliente, moneda, total, saldo, pagos, inventario y estado fiscal</x:v>
      </x:c>
      <x:c r="E534" s="13" t="str">
        <x:v>No existe restricción comercial por identidad C contra tipo 80 ni por monto. Venta única y presentación C-número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34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35" ht="68" customHeight="1">
      <x:c r="A535" s="13" t="str">
        <x:v>QA-MAT-079</x:v>
      </x:c>
      <x:c r="B535" s="13" t="str">
        <x:v>API de venta / 80 / identidad G Gubernamental</x:v>
      </x:c>
      <x:c r="C535" s="13" t="str">
        <x:v>Un fixture por identidad doméstica activa, comprador autorizado, factura ordinaria 01/0101 o NV 80/nv. HKA en doble durante matriz comercial.
Cliente QA-G activo; API de venta habilitado; total 116; tipo 80; modo digital/demo del tenant.</x:v>
      </x:c>
      <x:c r="D535" s="13" t="str">
        <x:v>1. Abrir API de venta; buscar y seleccionar cliente de identidad G
2. Crear venta 80 ordinaria con P-G, serie autorizada y pago 116
3. Consultar número, cliente, moneda, total, saldo, pagos, inventario y estado fiscal</x:v>
      </x:c>
      <x:c r="E535" s="13" t="str">
        <x:v>No existe restricción comercial por identidad G contra tipo 80 ni por monto. Venta única y presentación G-número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35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36" ht="68" customHeight="1">
      <x:c r="A536" s="13" t="str">
        <x:v>QA-MAT-080</x:v>
      </x:c>
      <x:c r="B536" s="13" t="str">
        <x:v>API de venta / 80 / identidad R Firma Personal</x:v>
      </x:c>
      <x:c r="C536" s="13" t="str">
        <x:v>Un fixture por identidad doméstica activa, comprador autorizado, factura ordinaria 01/0101 o NV 80/nv. HKA en doble durante matriz comercial.
Cliente QA-R activo; API de venta habilitado; total 116; tipo 80; modo digital/demo del tenant.</x:v>
      </x:c>
      <x:c r="D536" s="13" t="str">
        <x:v>1. Abrir API de venta; buscar y seleccionar cliente de identidad R
2. Crear venta 80 ordinaria con P-G, serie autorizada y pago 116
3. Consultar número, cliente, moneda, total, saldo, pagos, inventario y estado fiscal</x:v>
      </x:c>
      <x:c r="E536" s="13" t="str">
        <x:v>No existe restricción comercial por identidad R contra tipo 80 ni por monto. Venta única y presentación R-número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36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37" ht="68" customHeight="1">
      <x:c r="A537" s="13" t="str">
        <x:v>QA-MAT-081</x:v>
      </x:c>
      <x:c r="B537" s="13" t="str">
        <x:v>Hotel / 01 / identidad 0 Doc.sin.rif</x:v>
      </x:c>
      <x:c r="C537" s="13" t="str">
        <x:v>Un fixture por identidad doméstica activa, comprador autorizado, factura ordinaria 01/0101 o NV 80/nv. HKA en doble durante matriz comercial.
Cliente QA-0 activo; Hotel habilitado; total 116; tipo 01; modo digital/demo del tenant.</x:v>
      </x:c>
      <x:c r="D537" s="13" t="str">
        <x:v>1. Abrir Hotel; buscar y seleccionar cliente de identidad 0
2. Crear venta 01 ordinaria con P-G, serie autorizada y pago 116
3. Consultar número, cliente, moneda, total, saldo, pagos, inventario y estado fiscal</x:v>
      </x:c>
      <x:c r="E537" s="13" t="str">
        <x:v>No existe restricción comercial por identidad 0 contra tipo 01 ni por monto. Venta única y presentación sin prefijo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37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38" ht="68" customHeight="1">
      <x:c r="A538" s="13" t="str">
        <x:v>QA-MAT-082</x:v>
      </x:c>
      <x:c r="B538" s="13" t="str">
        <x:v>Hotel / 01 / identidad 1 Venezolano</x:v>
      </x:c>
      <x:c r="C538" s="13" t="str">
        <x:v>Un fixture por identidad doméstica activa, comprador autorizado, factura ordinaria 01/0101 o NV 80/nv. HKA en doble durante matriz comercial.
Cliente QA-1 activo; Hotel habilitado; total 116; tipo 01; modo digital/demo del tenant.</x:v>
      </x:c>
      <x:c r="D538" s="13" t="str">
        <x:v>1. Abrir Hotel; buscar y seleccionar cliente de identidad 1
2. Crear venta 01 ordinaria con P-G, serie autorizada y pago 116
3. Consultar número, cliente, moneda, total, saldo, pagos, inventario y estado fiscal</x:v>
      </x:c>
      <x:c r="E538" s="13" t="str">
        <x:v>No existe restricción comercial por identidad 1 contra tipo 01 ni por monto. Venta única y presentación V-número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38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39" ht="68" customHeight="1">
      <x:c r="A539" s="13" t="str">
        <x:v>QA-MAT-083</x:v>
      </x:c>
      <x:c r="B539" s="13" t="str">
        <x:v>Hotel / 01 / identidad 6 Juridico</x:v>
      </x:c>
      <x:c r="C539" s="13" t="str">
        <x:v>Un fixture por identidad doméstica activa, comprador autorizado, factura ordinaria 01/0101 o NV 80/nv. HKA en doble durante matriz comercial.
Cliente QA-6 activo; Hotel habilitado; total 116; tipo 01; modo digital/demo del tenant.</x:v>
      </x:c>
      <x:c r="D539" s="13" t="str">
        <x:v>1. Abrir Hotel; buscar y seleccionar cliente de identidad 6
2. Crear venta 01 ordinaria con P-G, serie autorizada y pago 116
3. Consultar número, cliente, moneda, total, saldo, pagos, inventario y estado fiscal</x:v>
      </x:c>
      <x:c r="E539" s="13" t="str">
        <x:v>No existe restricción comercial por identidad 6 contra tipo 01 ni por monto. Venta única y presentación J-número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39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40" ht="68" customHeight="1">
      <x:c r="A540" s="13" t="str">
        <x:v>QA-MAT-084</x:v>
      </x:c>
      <x:c r="B540" s="13" t="str">
        <x:v>Hotel / 01 / identidad 7 Pasaporte</x:v>
      </x:c>
      <x:c r="C540" s="13" t="str">
        <x:v>Un fixture por identidad doméstica activa, comprador autorizado, factura ordinaria 01/0101 o NV 80/nv. HKA en doble durante matriz comercial.
Cliente QA-7 activo; Hotel habilitado; total 116; tipo 01; modo digital/demo del tenant.</x:v>
      </x:c>
      <x:c r="D540" s="13" t="str">
        <x:v>1. Abrir Hotel; buscar y seleccionar cliente de identidad 7
2. Crear venta 01 ordinaria con P-G, serie autorizada y pago 116
3. Consultar número, cliente, moneda, total, saldo, pagos, inventario y estado fiscal</x:v>
      </x:c>
      <x:c r="E540" s="13" t="str">
        <x:v>No existe restricción comercial por identidad 7 contra tipo 01 ni por monto. Venta única y presentación P-número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40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41" ht="68" customHeight="1">
      <x:c r="A541" s="13" t="str">
        <x:v>QA-MAT-085</x:v>
      </x:c>
      <x:c r="B541" s="13" t="str">
        <x:v>Hotel / 01 / identidad E Extranjero</x:v>
      </x:c>
      <x:c r="C541" s="13" t="str">
        <x:v>Un fixture por identidad doméstica activa, comprador autorizado, factura ordinaria 01/0101 o NV 80/nv. HKA en doble durante matriz comercial.
Cliente QA-E activo; Hotel habilitado; total 116; tipo 01; modo digital/demo del tenant.</x:v>
      </x:c>
      <x:c r="D541" s="13" t="str">
        <x:v>1. Abrir Hotel; buscar y seleccionar cliente de identidad E
2. Crear venta 01 ordinaria con P-G, serie autorizada y pago 116
3. Consultar número, cliente, moneda, total, saldo, pagos, inventario y estado fiscal</x:v>
      </x:c>
      <x:c r="E541" s="13" t="str">
        <x:v>No existe restricción comercial por identidad E contra tipo 01 ni por monto. Venta única y presentación E-número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41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42" ht="68" customHeight="1">
      <x:c r="A542" s="13" t="str">
        <x:v>QA-MAT-086</x:v>
      </x:c>
      <x:c r="B542" s="13" t="str">
        <x:v>Hotel / 01 / identidad C Comuna</x:v>
      </x:c>
      <x:c r="C542" s="13" t="str">
        <x:v>Un fixture por identidad doméstica activa, comprador autorizado, factura ordinaria 01/0101 o NV 80/nv. HKA en doble durante matriz comercial.
Cliente QA-C activo; Hotel habilitado; total 116; tipo 01; modo digital/demo del tenant.</x:v>
      </x:c>
      <x:c r="D542" s="13" t="str">
        <x:v>1. Abrir Hotel; buscar y seleccionar cliente de identidad C
2. Crear venta 01 ordinaria con P-G, serie autorizada y pago 116
3. Consultar número, cliente, moneda, total, saldo, pagos, inventario y estado fiscal</x:v>
      </x:c>
      <x:c r="E542" s="13" t="str">
        <x:v>No existe restricción comercial por identidad C contra tipo 01 ni por monto. Venta única y presentación C-número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42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43" ht="68" customHeight="1">
      <x:c r="A543" s="13" t="str">
        <x:v>QA-MAT-087</x:v>
      </x:c>
      <x:c r="B543" s="13" t="str">
        <x:v>Hotel / 01 / identidad G Gubernamental</x:v>
      </x:c>
      <x:c r="C543" s="13" t="str">
        <x:v>Un fixture por identidad doméstica activa, comprador autorizado, factura ordinaria 01/0101 o NV 80/nv. HKA en doble durante matriz comercial.
Cliente QA-G activo; Hotel habilitado; total 116; tipo 01; modo digital/demo del tenant.</x:v>
      </x:c>
      <x:c r="D543" s="13" t="str">
        <x:v>1. Abrir Hotel; buscar y seleccionar cliente de identidad G
2. Crear venta 01 ordinaria con P-G, serie autorizada y pago 116
3. Consultar número, cliente, moneda, total, saldo, pagos, inventario y estado fiscal</x:v>
      </x:c>
      <x:c r="E543" s="13" t="str">
        <x:v>No existe restricción comercial por identidad G contra tipo 01 ni por monto. Venta única y presentación G-número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43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44" ht="68" customHeight="1">
      <x:c r="A544" s="13" t="str">
        <x:v>QA-MAT-088</x:v>
      </x:c>
      <x:c r="B544" s="13" t="str">
        <x:v>Hotel / 01 / identidad R Firma Personal</x:v>
      </x:c>
      <x:c r="C544" s="13" t="str">
        <x:v>Un fixture por identidad doméstica activa, comprador autorizado, factura ordinaria 01/0101 o NV 80/nv. HKA en doble durante matriz comercial.
Cliente QA-R activo; Hotel habilitado; total 116; tipo 01; modo digital/demo del tenant.</x:v>
      </x:c>
      <x:c r="D544" s="13" t="str">
        <x:v>1. Abrir Hotel; buscar y seleccionar cliente de identidad R
2. Crear venta 01 ordinaria con P-G, serie autorizada y pago 116
3. Consultar número, cliente, moneda, total, saldo, pagos, inventario y estado fiscal</x:v>
      </x:c>
      <x:c r="E544" s="13" t="str">
        <x:v>No existe restricción comercial por identidad R contra tipo 01 ni por monto. Venta única y presentación R-número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44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45" ht="68" customHeight="1">
      <x:c r="A545" s="13" t="str">
        <x:v>QA-MAT-089</x:v>
      </x:c>
      <x:c r="B545" s="13" t="str">
        <x:v>Hotel / 80 / identidad 0 Doc.sin.rif</x:v>
      </x:c>
      <x:c r="C545" s="13" t="str">
        <x:v>Un fixture por identidad doméstica activa, comprador autorizado, factura ordinaria 01/0101 o NV 80/nv. HKA en doble durante matriz comercial.
Cliente QA-0 activo; Hotel habilitado; total 116; tipo 80; modo digital/demo del tenant.</x:v>
      </x:c>
      <x:c r="D545" s="13" t="str">
        <x:v>1. Abrir Hotel; buscar y seleccionar cliente de identidad 0
2. Crear venta 80 ordinaria con P-G, serie autorizada y pago 116
3. Consultar número, cliente, moneda, total, saldo, pagos, inventario y estado fiscal</x:v>
      </x:c>
      <x:c r="E545" s="13" t="str">
        <x:v>No existe restricción comercial por identidad 0 contra tipo 80 ni por monto. Venta única y presentación sin prefijo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45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46" ht="68" customHeight="1">
      <x:c r="A546" s="13" t="str">
        <x:v>QA-MAT-090</x:v>
      </x:c>
      <x:c r="B546" s="13" t="str">
        <x:v>Hotel / 80 / identidad 1 Venezolano</x:v>
      </x:c>
      <x:c r="C546" s="13" t="str">
        <x:v>Un fixture por identidad doméstica activa, comprador autorizado, factura ordinaria 01/0101 o NV 80/nv. HKA en doble durante matriz comercial.
Cliente QA-1 activo; Hotel habilitado; total 116; tipo 80; modo digital/demo del tenant.</x:v>
      </x:c>
      <x:c r="D546" s="13" t="str">
        <x:v>1. Abrir Hotel; buscar y seleccionar cliente de identidad 1
2. Crear venta 80 ordinaria con P-G, serie autorizada y pago 116
3. Consultar número, cliente, moneda, total, saldo, pagos, inventario y estado fiscal</x:v>
      </x:c>
      <x:c r="E546" s="13" t="str">
        <x:v>No existe restricción comercial por identidad 1 contra tipo 80 ni por monto. Venta única y presentación V-número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46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47" ht="68" customHeight="1">
      <x:c r="A547" s="13" t="str">
        <x:v>QA-MAT-091</x:v>
      </x:c>
      <x:c r="B547" s="13" t="str">
        <x:v>Hotel / 80 / identidad 6 Juridico</x:v>
      </x:c>
      <x:c r="C547" s="13" t="str">
        <x:v>Un fixture por identidad doméstica activa, comprador autorizado, factura ordinaria 01/0101 o NV 80/nv. HKA en doble durante matriz comercial.
Cliente QA-6 activo; Hotel habilitado; total 116; tipo 80; modo digital/demo del tenant.</x:v>
      </x:c>
      <x:c r="D547" s="13" t="str">
        <x:v>1. Abrir Hotel; buscar y seleccionar cliente de identidad 6
2. Crear venta 80 ordinaria con P-G, serie autorizada y pago 116
3. Consultar número, cliente, moneda, total, saldo, pagos, inventario y estado fiscal</x:v>
      </x:c>
      <x:c r="E547" s="13" t="str">
        <x:v>No existe restricción comercial por identidad 6 contra tipo 80 ni por monto. Venta única y presentación J-número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47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48" ht="68" customHeight="1">
      <x:c r="A548" s="13" t="str">
        <x:v>QA-MAT-092</x:v>
      </x:c>
      <x:c r="B548" s="13" t="str">
        <x:v>Hotel / 80 / identidad 7 Pasaporte</x:v>
      </x:c>
      <x:c r="C548" s="13" t="str">
        <x:v>Un fixture por identidad doméstica activa, comprador autorizado, factura ordinaria 01/0101 o NV 80/nv. HKA en doble durante matriz comercial.
Cliente QA-7 activo; Hotel habilitado; total 116; tipo 80; modo digital/demo del tenant.</x:v>
      </x:c>
      <x:c r="D548" s="13" t="str">
        <x:v>1. Abrir Hotel; buscar y seleccionar cliente de identidad 7
2. Crear venta 80 ordinaria con P-G, serie autorizada y pago 116
3. Consultar número, cliente, moneda, total, saldo, pagos, inventario y estado fiscal</x:v>
      </x:c>
      <x:c r="E548" s="13" t="str">
        <x:v>No existe restricción comercial por identidad 7 contra tipo 80 ni por monto. Venta única y presentación P-número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48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49" ht="68" customHeight="1">
      <x:c r="A549" s="13" t="str">
        <x:v>QA-MAT-093</x:v>
      </x:c>
      <x:c r="B549" s="13" t="str">
        <x:v>Hotel / 80 / identidad E Extranjero</x:v>
      </x:c>
      <x:c r="C549" s="13" t="str">
        <x:v>Un fixture por identidad doméstica activa, comprador autorizado, factura ordinaria 01/0101 o NV 80/nv. HKA en doble durante matriz comercial.
Cliente QA-E activo; Hotel habilitado; total 116; tipo 80; modo digital/demo del tenant.</x:v>
      </x:c>
      <x:c r="D549" s="13" t="str">
        <x:v>1. Abrir Hotel; buscar y seleccionar cliente de identidad E
2. Crear venta 80 ordinaria con P-G, serie autorizada y pago 116
3. Consultar número, cliente, moneda, total, saldo, pagos, inventario y estado fiscal</x:v>
      </x:c>
      <x:c r="E549" s="13" t="str">
        <x:v>No existe restricción comercial por identidad E contra tipo 80 ni por monto. Venta única y presentación E-número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49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50" ht="68" customHeight="1">
      <x:c r="A550" s="13" t="str">
        <x:v>QA-MAT-094</x:v>
      </x:c>
      <x:c r="B550" s="13" t="str">
        <x:v>Hotel / 80 / identidad C Comuna</x:v>
      </x:c>
      <x:c r="C550" s="13" t="str">
        <x:v>Un fixture por identidad doméstica activa, comprador autorizado, factura ordinaria 01/0101 o NV 80/nv. HKA en doble durante matriz comercial.
Cliente QA-C activo; Hotel habilitado; total 116; tipo 80; modo digital/demo del tenant.</x:v>
      </x:c>
      <x:c r="D550" s="13" t="str">
        <x:v>1. Abrir Hotel; buscar y seleccionar cliente de identidad C
2. Crear venta 80 ordinaria con P-G, serie autorizada y pago 116
3. Consultar número, cliente, moneda, total, saldo, pagos, inventario y estado fiscal</x:v>
      </x:c>
      <x:c r="E550" s="13" t="str">
        <x:v>No existe restricción comercial por identidad C contra tipo 80 ni por monto. Venta única y presentación C-número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50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51" ht="68" customHeight="1">
      <x:c r="A551" s="13" t="str">
        <x:v>QA-MAT-095</x:v>
      </x:c>
      <x:c r="B551" s="13" t="str">
        <x:v>Hotel / 80 / identidad G Gubernamental</x:v>
      </x:c>
      <x:c r="C551" s="13" t="str">
        <x:v>Un fixture por identidad doméstica activa, comprador autorizado, factura ordinaria 01/0101 o NV 80/nv. HKA en doble durante matriz comercial.
Cliente QA-G activo; Hotel habilitado; total 116; tipo 80; modo digital/demo del tenant.</x:v>
      </x:c>
      <x:c r="D551" s="13" t="str">
        <x:v>1. Abrir Hotel; buscar y seleccionar cliente de identidad G
2. Crear venta 80 ordinaria con P-G, serie autorizada y pago 116
3. Consultar número, cliente, moneda, total, saldo, pagos, inventario y estado fiscal</x:v>
      </x:c>
      <x:c r="E551" s="13" t="str">
        <x:v>No existe restricción comercial por identidad G contra tipo 80 ni por monto. Venta única y presentación G-número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51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52" ht="68" customHeight="1">
      <x:c r="A552" s="13" t="str">
        <x:v>QA-MAT-096</x:v>
      </x:c>
      <x:c r="B552" s="13" t="str">
        <x:v>Hotel / 80 / identidad R Firma Personal</x:v>
      </x:c>
      <x:c r="C552" s="13" t="str">
        <x:v>Un fixture por identidad doméstica activa, comprador autorizado, factura ordinaria 01/0101 o NV 80/nv. HKA en doble durante matriz comercial.
Cliente QA-R activo; Hotel habilitado; total 116; tipo 80; modo digital/demo del tenant.</x:v>
      </x:c>
      <x:c r="D552" s="13" t="str">
        <x:v>1. Abrir Hotel; buscar y seleccionar cliente de identidad R
2. Crear venta 80 ordinaria con P-G, serie autorizada y pago 116
3. Consultar número, cliente, moneda, total, saldo, pagos, inventario y estado fiscal</x:v>
      </x:c>
      <x:c r="E552" s="13" t="str">
        <x:v>No existe restricción comercial por identidad R contra tipo 80 ni por monto. Venta única y presentación R-número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52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53" ht="68" customHeight="1">
      <x:c r="A553" s="13" t="str">
        <x:v>QA-MAT-097</x:v>
      </x:c>
      <x:c r="B553" s="13" t="str">
        <x:v>Restaurante / 01 / identidad 0 Doc.sin.rif</x:v>
      </x:c>
      <x:c r="C553" s="13" t="str">
        <x:v>Un fixture por identidad doméstica activa, comprador autorizado, factura ordinaria 01/0101 o NV 80/nv. HKA en doble durante matriz comercial.
Cliente QA-0 activo; Restaurante habilitado; total 116; tipo 01; modo digital/demo del tenant.</x:v>
      </x:c>
      <x:c r="D553" s="13" t="str">
        <x:v>1. Abrir Restaurante; buscar y seleccionar cliente de identidad 0
2. Crear venta 01 ordinaria con P-G, serie autorizada y pago 116
3. Consultar número, cliente, moneda, total, saldo, pagos, inventario y estado fiscal</x:v>
      </x:c>
      <x:c r="E553" s="13" t="str">
        <x:v>No existe restricción comercial por identidad 0 contra tipo 01 ni por monto. Venta única y presentación sin prefijo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53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54" ht="68" customHeight="1">
      <x:c r="A554" s="13" t="str">
        <x:v>QA-MAT-098</x:v>
      </x:c>
      <x:c r="B554" s="13" t="str">
        <x:v>Restaurante / 01 / identidad 1 Venezolano</x:v>
      </x:c>
      <x:c r="C554" s="13" t="str">
        <x:v>Un fixture por identidad doméstica activa, comprador autorizado, factura ordinaria 01/0101 o NV 80/nv. HKA en doble durante matriz comercial.
Cliente QA-1 activo; Restaurante habilitado; total 116; tipo 01; modo digital/demo del tenant.</x:v>
      </x:c>
      <x:c r="D554" s="13" t="str">
        <x:v>1. Abrir Restaurante; buscar y seleccionar cliente de identidad 1
2. Crear venta 01 ordinaria con P-G, serie autorizada y pago 116
3. Consultar número, cliente, moneda, total, saldo, pagos, inventario y estado fiscal</x:v>
      </x:c>
      <x:c r="E554" s="13" t="str">
        <x:v>No existe restricción comercial por identidad 1 contra tipo 01 ni por monto. Venta única y presentación V-número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54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55" ht="68" customHeight="1">
      <x:c r="A555" s="13" t="str">
        <x:v>QA-MAT-099</x:v>
      </x:c>
      <x:c r="B555" s="13" t="str">
        <x:v>Restaurante / 01 / identidad 6 Juridico</x:v>
      </x:c>
      <x:c r="C555" s="13" t="str">
        <x:v>Un fixture por identidad doméstica activa, comprador autorizado, factura ordinaria 01/0101 o NV 80/nv. HKA en doble durante matriz comercial.
Cliente QA-6 activo; Restaurante habilitado; total 116; tipo 01; modo digital/demo del tenant.</x:v>
      </x:c>
      <x:c r="D555" s="13" t="str">
        <x:v>1. Abrir Restaurante; buscar y seleccionar cliente de identidad 6
2. Crear venta 01 ordinaria con P-G, serie autorizada y pago 116
3. Consultar número, cliente, moneda, total, saldo, pagos, inventario y estado fiscal</x:v>
      </x:c>
      <x:c r="E555" s="13" t="str">
        <x:v>No existe restricción comercial por identidad 6 contra tipo 01 ni por monto. Venta única y presentación J-número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55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56" ht="68" customHeight="1">
      <x:c r="A556" s="13" t="str">
        <x:v>QA-MAT-100</x:v>
      </x:c>
      <x:c r="B556" s="13" t="str">
        <x:v>Restaurante / 01 / identidad 7 Pasaporte</x:v>
      </x:c>
      <x:c r="C556" s="13" t="str">
        <x:v>Un fixture por identidad doméstica activa, comprador autorizado, factura ordinaria 01/0101 o NV 80/nv. HKA en doble durante matriz comercial.
Cliente QA-7 activo; Restaurante habilitado; total 116; tipo 01; modo digital/demo del tenant.</x:v>
      </x:c>
      <x:c r="D556" s="13" t="str">
        <x:v>1. Abrir Restaurante; buscar y seleccionar cliente de identidad 7
2. Crear venta 01 ordinaria con P-G, serie autorizada y pago 116
3. Consultar número, cliente, moneda, total, saldo, pagos, inventario y estado fiscal</x:v>
      </x:c>
      <x:c r="E556" s="13" t="str">
        <x:v>No existe restricción comercial por identidad 7 contra tipo 01 ni por monto. Venta única y presentación P-número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56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57" ht="68" customHeight="1">
      <x:c r="A557" s="13" t="str">
        <x:v>QA-MAT-101</x:v>
      </x:c>
      <x:c r="B557" s="13" t="str">
        <x:v>Restaurante / 01 / identidad E Extranjero</x:v>
      </x:c>
      <x:c r="C557" s="13" t="str">
        <x:v>Un fixture por identidad doméstica activa, comprador autorizado, factura ordinaria 01/0101 o NV 80/nv. HKA en doble durante matriz comercial.
Cliente QA-E activo; Restaurante habilitado; total 116; tipo 01; modo digital/demo del tenant.</x:v>
      </x:c>
      <x:c r="D557" s="13" t="str">
        <x:v>1. Abrir Restaurante; buscar y seleccionar cliente de identidad E
2. Crear venta 01 ordinaria con P-G, serie autorizada y pago 116
3. Consultar número, cliente, moneda, total, saldo, pagos, inventario y estado fiscal</x:v>
      </x:c>
      <x:c r="E557" s="13" t="str">
        <x:v>No existe restricción comercial por identidad E contra tipo 01 ni por monto. Venta única y presentación E-número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57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58" ht="68" customHeight="1">
      <x:c r="A558" s="13" t="str">
        <x:v>QA-MAT-102</x:v>
      </x:c>
      <x:c r="B558" s="13" t="str">
        <x:v>Restaurante / 01 / identidad C Comuna</x:v>
      </x:c>
      <x:c r="C558" s="13" t="str">
        <x:v>Un fixture por identidad doméstica activa, comprador autorizado, factura ordinaria 01/0101 o NV 80/nv. HKA en doble durante matriz comercial.
Cliente QA-C activo; Restaurante habilitado; total 116; tipo 01; modo digital/demo del tenant.</x:v>
      </x:c>
      <x:c r="D558" s="13" t="str">
        <x:v>1. Abrir Restaurante; buscar y seleccionar cliente de identidad C
2. Crear venta 01 ordinaria con P-G, serie autorizada y pago 116
3. Consultar número, cliente, moneda, total, saldo, pagos, inventario y estado fiscal</x:v>
      </x:c>
      <x:c r="E558" s="13" t="str">
        <x:v>No existe restricción comercial por identidad C contra tipo 01 ni por monto. Venta única y presentación C-número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58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59" ht="68" customHeight="1">
      <x:c r="A559" s="13" t="str">
        <x:v>QA-MAT-103</x:v>
      </x:c>
      <x:c r="B559" s="13" t="str">
        <x:v>Restaurante / 01 / identidad G Gubernamental</x:v>
      </x:c>
      <x:c r="C559" s="13" t="str">
        <x:v>Un fixture por identidad doméstica activa, comprador autorizado, factura ordinaria 01/0101 o NV 80/nv. HKA en doble durante matriz comercial.
Cliente QA-G activo; Restaurante habilitado; total 116; tipo 01; modo digital/demo del tenant.</x:v>
      </x:c>
      <x:c r="D559" s="13" t="str">
        <x:v>1. Abrir Restaurante; buscar y seleccionar cliente de identidad G
2. Crear venta 01 ordinaria con P-G, serie autorizada y pago 116
3. Consultar número, cliente, moneda, total, saldo, pagos, inventario y estado fiscal</x:v>
      </x:c>
      <x:c r="E559" s="13" t="str">
        <x:v>No existe restricción comercial por identidad G contra tipo 01 ni por monto. Venta única y presentación G-número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59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60" ht="68" customHeight="1">
      <x:c r="A560" s="13" t="str">
        <x:v>QA-MAT-104</x:v>
      </x:c>
      <x:c r="B560" s="13" t="str">
        <x:v>Restaurante / 01 / identidad R Firma Personal</x:v>
      </x:c>
      <x:c r="C560" s="13" t="str">
        <x:v>Un fixture por identidad doméstica activa, comprador autorizado, factura ordinaria 01/0101 o NV 80/nv. HKA en doble durante matriz comercial.
Cliente QA-R activo; Restaurante habilitado; total 116; tipo 01; modo digital/demo del tenant.</x:v>
      </x:c>
      <x:c r="D560" s="13" t="str">
        <x:v>1. Abrir Restaurante; buscar y seleccionar cliente de identidad R
2. Crear venta 01 ordinaria con P-G, serie autorizada y pago 116
3. Consultar número, cliente, moneda, total, saldo, pagos, inventario y estado fiscal</x:v>
      </x:c>
      <x:c r="E560" s="13" t="str">
        <x:v>No existe restricción comercial por identidad R contra tipo 01 ni por monto. Venta única y presentación R-número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60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61" ht="68" customHeight="1">
      <x:c r="A561" s="13" t="str">
        <x:v>QA-MAT-105</x:v>
      </x:c>
      <x:c r="B561" s="13" t="str">
        <x:v>Restaurante / 80 / identidad 0 Doc.sin.rif</x:v>
      </x:c>
      <x:c r="C561" s="13" t="str">
        <x:v>Un fixture por identidad doméstica activa, comprador autorizado, factura ordinaria 01/0101 o NV 80/nv. HKA en doble durante matriz comercial.
Cliente QA-0 activo; Restaurante habilitado; total 116; tipo 80; modo digital/demo del tenant.</x:v>
      </x:c>
      <x:c r="D561" s="13" t="str">
        <x:v>1. Abrir Restaurante; buscar y seleccionar cliente de identidad 0
2. Crear venta 80 ordinaria con P-G, serie autorizada y pago 116
3. Consultar número, cliente, moneda, total, saldo, pagos, inventario y estado fiscal</x:v>
      </x:c>
      <x:c r="E561" s="13" t="str">
        <x:v>No existe restricción comercial por identidad 0 contra tipo 80 ni por monto. Venta única y presentación sin prefijo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61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62" ht="68" customHeight="1">
      <x:c r="A562" s="13" t="str">
        <x:v>QA-MAT-106</x:v>
      </x:c>
      <x:c r="B562" s="13" t="str">
        <x:v>Restaurante / 80 / identidad 1 Venezolano</x:v>
      </x:c>
      <x:c r="C562" s="13" t="str">
        <x:v>Un fixture por identidad doméstica activa, comprador autorizado, factura ordinaria 01/0101 o NV 80/nv. HKA en doble durante matriz comercial.
Cliente QA-1 activo; Restaurante habilitado; total 116; tipo 80; modo digital/demo del tenant.</x:v>
      </x:c>
      <x:c r="D562" s="13" t="str">
        <x:v>1. Abrir Restaurante; buscar y seleccionar cliente de identidad 1
2. Crear venta 80 ordinaria con P-G, serie autorizada y pago 116
3. Consultar número, cliente, moneda, total, saldo, pagos, inventario y estado fiscal</x:v>
      </x:c>
      <x:c r="E562" s="13" t="str">
        <x:v>No existe restricción comercial por identidad 1 contra tipo 80 ni por monto. Venta única y presentación V-número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62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63" ht="68" customHeight="1">
      <x:c r="A563" s="13" t="str">
        <x:v>QA-MAT-107</x:v>
      </x:c>
      <x:c r="B563" s="13" t="str">
        <x:v>Restaurante / 80 / identidad 6 Juridico</x:v>
      </x:c>
      <x:c r="C563" s="13" t="str">
        <x:v>Un fixture por identidad doméstica activa, comprador autorizado, factura ordinaria 01/0101 o NV 80/nv. HKA en doble durante matriz comercial.
Cliente QA-6 activo; Restaurante habilitado; total 116; tipo 80; modo digital/demo del tenant.</x:v>
      </x:c>
      <x:c r="D563" s="13" t="str">
        <x:v>1. Abrir Restaurante; buscar y seleccionar cliente de identidad 6
2. Crear venta 80 ordinaria con P-G, serie autorizada y pago 116
3. Consultar número, cliente, moneda, total, saldo, pagos, inventario y estado fiscal</x:v>
      </x:c>
      <x:c r="E563" s="13" t="str">
        <x:v>No existe restricción comercial por identidad 6 contra tipo 80 ni por monto. Venta única y presentación J-número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63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64" ht="68" customHeight="1">
      <x:c r="A564" s="13" t="str">
        <x:v>QA-MAT-108</x:v>
      </x:c>
      <x:c r="B564" s="13" t="str">
        <x:v>Restaurante / 80 / identidad 7 Pasaporte</x:v>
      </x:c>
      <x:c r="C564" s="13" t="str">
        <x:v>Un fixture por identidad doméstica activa, comprador autorizado, factura ordinaria 01/0101 o NV 80/nv. HKA en doble durante matriz comercial.
Cliente QA-7 activo; Restaurante habilitado; total 116; tipo 80; modo digital/demo del tenant.</x:v>
      </x:c>
      <x:c r="D564" s="13" t="str">
        <x:v>1. Abrir Restaurante; buscar y seleccionar cliente de identidad 7
2. Crear venta 80 ordinaria con P-G, serie autorizada y pago 116
3. Consultar número, cliente, moneda, total, saldo, pagos, inventario y estado fiscal</x:v>
      </x:c>
      <x:c r="E564" s="13" t="str">
        <x:v>No existe restricción comercial por identidad 7 contra tipo 80 ni por monto. Venta única y presentación P-número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64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65" ht="68" customHeight="1">
      <x:c r="A565" s="13" t="str">
        <x:v>QA-MAT-109</x:v>
      </x:c>
      <x:c r="B565" s="13" t="str">
        <x:v>Restaurante / 80 / identidad E Extranjero</x:v>
      </x:c>
      <x:c r="C565" s="13" t="str">
        <x:v>Un fixture por identidad doméstica activa, comprador autorizado, factura ordinaria 01/0101 o NV 80/nv. HKA en doble durante matriz comercial.
Cliente QA-E activo; Restaurante habilitado; total 116; tipo 80; modo digital/demo del tenant.</x:v>
      </x:c>
      <x:c r="D565" s="13" t="str">
        <x:v>1. Abrir Restaurante; buscar y seleccionar cliente de identidad E
2. Crear venta 80 ordinaria con P-G, serie autorizada y pago 116
3. Consultar número, cliente, moneda, total, saldo, pagos, inventario y estado fiscal</x:v>
      </x:c>
      <x:c r="E565" s="13" t="str">
        <x:v>No existe restricción comercial por identidad E contra tipo 80 ni por monto. Venta única y presentación E-número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65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66" ht="68" customHeight="1">
      <x:c r="A566" s="13" t="str">
        <x:v>QA-MAT-110</x:v>
      </x:c>
      <x:c r="B566" s="13" t="str">
        <x:v>Restaurante / 80 / identidad C Comuna</x:v>
      </x:c>
      <x:c r="C566" s="13" t="str">
        <x:v>Un fixture por identidad doméstica activa, comprador autorizado, factura ordinaria 01/0101 o NV 80/nv. HKA en doble durante matriz comercial.
Cliente QA-C activo; Restaurante habilitado; total 116; tipo 80; modo digital/demo del tenant.</x:v>
      </x:c>
      <x:c r="D566" s="13" t="str">
        <x:v>1. Abrir Restaurante; buscar y seleccionar cliente de identidad C
2. Crear venta 80 ordinaria con P-G, serie autorizada y pago 116
3. Consultar número, cliente, moneda, total, saldo, pagos, inventario y estado fiscal</x:v>
      </x:c>
      <x:c r="E566" s="13" t="str">
        <x:v>No existe restricción comercial por identidad C contra tipo 80 ni por monto. Venta única y presentación C-número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66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67" ht="68" customHeight="1">
      <x:c r="A567" s="13" t="str">
        <x:v>QA-MAT-111</x:v>
      </x:c>
      <x:c r="B567" s="13" t="str">
        <x:v>Restaurante / 80 / identidad G Gubernamental</x:v>
      </x:c>
      <x:c r="C567" s="13" t="str">
        <x:v>Un fixture por identidad doméstica activa, comprador autorizado, factura ordinaria 01/0101 o NV 80/nv. HKA en doble durante matriz comercial.
Cliente QA-G activo; Restaurante habilitado; total 116; tipo 80; modo digital/demo del tenant.</x:v>
      </x:c>
      <x:c r="D567" s="13" t="str">
        <x:v>1. Abrir Restaurante; buscar y seleccionar cliente de identidad G
2. Crear venta 80 ordinaria con P-G, serie autorizada y pago 116
3. Consultar número, cliente, moneda, total, saldo, pagos, inventario y estado fiscal</x:v>
      </x:c>
      <x:c r="E567" s="13" t="str">
        <x:v>No existe restricción comercial por identidad G contra tipo 80 ni por monto. Venta única y presentación G-número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67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68" ht="68" customHeight="1">
      <x:c r="A568" s="13" t="str">
        <x:v>QA-MAT-112</x:v>
      </x:c>
      <x:c r="B568" s="13" t="str">
        <x:v>Restaurante / 80 / identidad R Firma Personal</x:v>
      </x:c>
      <x:c r="C568" s="13" t="str">
        <x:v>Un fixture por identidad doméstica activa, comprador autorizado, factura ordinaria 01/0101 o NV 80/nv. HKA en doble durante matriz comercial.
Cliente QA-R activo; Restaurante habilitado; total 116; tipo 80; modo digital/demo del tenant.</x:v>
      </x:c>
      <x:c r="D568" s="13" t="str">
        <x:v>1. Abrir Restaurante; buscar y seleccionar cliente de identidad R
2. Crear venta 80 ordinaria con P-G, serie autorizada y pago 116
3. Consultar número, cliente, moneda, total, saldo, pagos, inventario y estado fiscal</x:v>
      </x:c>
      <x:c r="E568" s="13" t="str">
        <x:v>No existe restricción comercial por identidad R contra tipo 80 ni por monto. Venta única y presentación R-número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68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69" ht="68" customHeight="1">
      <x:c r="A569" s="13" t="str">
        <x:v>QA-MAT-113</x:v>
      </x:c>
      <x:c r="B569" s="13" t="str">
        <x:v>Ecommerce / 01 / identidad 0 Doc.sin.rif</x:v>
      </x:c>
      <x:c r="C569" s="13" t="str">
        <x:v>Un fixture por identidad doméstica activa, comprador autorizado, factura ordinaria 01/0101 o NV 80/nv. HKA en doble durante matriz comercial.
Cliente QA-0 activo; Ecommerce habilitado; total 116; tipo 01; modo digital/demo del tenant.</x:v>
      </x:c>
      <x:c r="D569" s="13" t="str">
        <x:v>1. Abrir Ecommerce; buscar y seleccionar cliente de identidad 0
2. Crear venta 01 ordinaria con P-G, serie autorizada y pago 116
3. Consultar número, cliente, moneda, total, saldo, pagos, inventario y estado fiscal</x:v>
      </x:c>
      <x:c r="E569" s="13" t="str">
        <x:v>No existe restricción comercial por identidad 0 contra tipo 01 ni por monto. Venta única y presentación sin prefijo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69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70" ht="68" customHeight="1">
      <x:c r="A570" s="13" t="str">
        <x:v>QA-MAT-114</x:v>
      </x:c>
      <x:c r="B570" s="13" t="str">
        <x:v>Ecommerce / 01 / identidad 1 Venezolano</x:v>
      </x:c>
      <x:c r="C570" s="13" t="str">
        <x:v>Un fixture por identidad doméstica activa, comprador autorizado, factura ordinaria 01/0101 o NV 80/nv. HKA en doble durante matriz comercial.
Cliente QA-1 activo; Ecommerce habilitado; total 116; tipo 01; modo digital/demo del tenant.</x:v>
      </x:c>
      <x:c r="D570" s="13" t="str">
        <x:v>1. Abrir Ecommerce; buscar y seleccionar cliente de identidad 1
2. Crear venta 01 ordinaria con P-G, serie autorizada y pago 116
3. Consultar número, cliente, moneda, total, saldo, pagos, inventario y estado fiscal</x:v>
      </x:c>
      <x:c r="E570" s="13" t="str">
        <x:v>No existe restricción comercial por identidad 1 contra tipo 01 ni por monto. Venta única y presentación V-número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70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71" ht="68" customHeight="1">
      <x:c r="A571" s="13" t="str">
        <x:v>QA-MAT-115</x:v>
      </x:c>
      <x:c r="B571" s="13" t="str">
        <x:v>Ecommerce / 01 / identidad 6 Juridico</x:v>
      </x:c>
      <x:c r="C571" s="13" t="str">
        <x:v>Un fixture por identidad doméstica activa, comprador autorizado, factura ordinaria 01/0101 o NV 80/nv. HKA en doble durante matriz comercial.
Cliente QA-6 activo; Ecommerce habilitado; total 116; tipo 01; modo digital/demo del tenant.</x:v>
      </x:c>
      <x:c r="D571" s="13" t="str">
        <x:v>1. Abrir Ecommerce; buscar y seleccionar cliente de identidad 6
2. Crear venta 01 ordinaria con P-G, serie autorizada y pago 116
3. Consultar número, cliente, moneda, total, saldo, pagos, inventario y estado fiscal</x:v>
      </x:c>
      <x:c r="E571" s="13" t="str">
        <x:v>No existe restricción comercial por identidad 6 contra tipo 01 ni por monto. Venta única y presentación J-número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71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72" ht="68" customHeight="1">
      <x:c r="A572" s="13" t="str">
        <x:v>QA-MAT-116</x:v>
      </x:c>
      <x:c r="B572" s="13" t="str">
        <x:v>Ecommerce / 01 / identidad 7 Pasaporte</x:v>
      </x:c>
      <x:c r="C572" s="13" t="str">
        <x:v>Un fixture por identidad doméstica activa, comprador autorizado, factura ordinaria 01/0101 o NV 80/nv. HKA en doble durante matriz comercial.
Cliente QA-7 activo; Ecommerce habilitado; total 116; tipo 01; modo digital/demo del tenant.</x:v>
      </x:c>
      <x:c r="D572" s="13" t="str">
        <x:v>1. Abrir Ecommerce; buscar y seleccionar cliente de identidad 7
2. Crear venta 01 ordinaria con P-G, serie autorizada y pago 116
3. Consultar número, cliente, moneda, total, saldo, pagos, inventario y estado fiscal</x:v>
      </x:c>
      <x:c r="E572" s="13" t="str">
        <x:v>No existe restricción comercial por identidad 7 contra tipo 01 ni por monto. Venta única y presentación P-número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72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73" ht="68" customHeight="1">
      <x:c r="A573" s="13" t="str">
        <x:v>QA-MAT-117</x:v>
      </x:c>
      <x:c r="B573" s="13" t="str">
        <x:v>Ecommerce / 01 / identidad E Extranjero</x:v>
      </x:c>
      <x:c r="C573" s="13" t="str">
        <x:v>Un fixture por identidad doméstica activa, comprador autorizado, factura ordinaria 01/0101 o NV 80/nv. HKA en doble durante matriz comercial.
Cliente QA-E activo; Ecommerce habilitado; total 116; tipo 01; modo digital/demo del tenant.</x:v>
      </x:c>
      <x:c r="D573" s="13" t="str">
        <x:v>1. Abrir Ecommerce; buscar y seleccionar cliente de identidad E
2. Crear venta 01 ordinaria con P-G, serie autorizada y pago 116
3. Consultar número, cliente, moneda, total, saldo, pagos, inventario y estado fiscal</x:v>
      </x:c>
      <x:c r="E573" s="13" t="str">
        <x:v>No existe restricción comercial por identidad E contra tipo 01 ni por monto. Venta única y presentación E-número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73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74" ht="68" customHeight="1">
      <x:c r="A574" s="13" t="str">
        <x:v>QA-MAT-118</x:v>
      </x:c>
      <x:c r="B574" s="13" t="str">
        <x:v>Ecommerce / 01 / identidad C Comuna</x:v>
      </x:c>
      <x:c r="C574" s="13" t="str">
        <x:v>Un fixture por identidad doméstica activa, comprador autorizado, factura ordinaria 01/0101 o NV 80/nv. HKA en doble durante matriz comercial.
Cliente QA-C activo; Ecommerce habilitado; total 116; tipo 01; modo digital/demo del tenant.</x:v>
      </x:c>
      <x:c r="D574" s="13" t="str">
        <x:v>1. Abrir Ecommerce; buscar y seleccionar cliente de identidad C
2. Crear venta 01 ordinaria con P-G, serie autorizada y pago 116
3. Consultar número, cliente, moneda, total, saldo, pagos, inventario y estado fiscal</x:v>
      </x:c>
      <x:c r="E574" s="13" t="str">
        <x:v>No existe restricción comercial por identidad C contra tipo 01 ni por monto. Venta única y presentación C-número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74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75" ht="68" customHeight="1">
      <x:c r="A575" s="13" t="str">
        <x:v>QA-MAT-119</x:v>
      </x:c>
      <x:c r="B575" s="13" t="str">
        <x:v>Ecommerce / 01 / identidad G Gubernamental</x:v>
      </x:c>
      <x:c r="C575" s="13" t="str">
        <x:v>Un fixture por identidad doméstica activa, comprador autorizado, factura ordinaria 01/0101 o NV 80/nv. HKA en doble durante matriz comercial.
Cliente QA-G activo; Ecommerce habilitado; total 116; tipo 01; modo digital/demo del tenant.</x:v>
      </x:c>
      <x:c r="D575" s="13" t="str">
        <x:v>1. Abrir Ecommerce; buscar y seleccionar cliente de identidad G
2. Crear venta 01 ordinaria con P-G, serie autorizada y pago 116
3. Consultar número, cliente, moneda, total, saldo, pagos, inventario y estado fiscal</x:v>
      </x:c>
      <x:c r="E575" s="13" t="str">
        <x:v>No existe restricción comercial por identidad G contra tipo 01 ni por monto. Venta única y presentación G-número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75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76" ht="68" customHeight="1">
      <x:c r="A576" s="13" t="str">
        <x:v>QA-MAT-120</x:v>
      </x:c>
      <x:c r="B576" s="13" t="str">
        <x:v>Ecommerce / 01 / identidad R Firma Personal</x:v>
      </x:c>
      <x:c r="C576" s="13" t="str">
        <x:v>Un fixture por identidad doméstica activa, comprador autorizado, factura ordinaria 01/0101 o NV 80/nv. HKA en doble durante matriz comercial.
Cliente QA-R activo; Ecommerce habilitado; total 116; tipo 01; modo digital/demo del tenant.</x:v>
      </x:c>
      <x:c r="D576" s="13" t="str">
        <x:v>1. Abrir Ecommerce; buscar y seleccionar cliente de identidad R
2. Crear venta 01 ordinaria con P-G, serie autorizada y pago 116
3. Consultar número, cliente, moneda, total, saldo, pagos, inventario y estado fiscal</x:v>
      </x:c>
      <x:c r="E576" s="13" t="str">
        <x:v>No existe restricción comercial por identidad R contra tipo 01 ni por monto. Venta única y presentación R-número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76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77" ht="68" customHeight="1">
      <x:c r="A577" s="13" t="str">
        <x:v>QA-MAT-121</x:v>
      </x:c>
      <x:c r="B577" s="13" t="str">
        <x:v>Ecommerce / 80 / identidad 0 Doc.sin.rif</x:v>
      </x:c>
      <x:c r="C577" s="13" t="str">
        <x:v>Un fixture por identidad doméstica activa, comprador autorizado, factura ordinaria 01/0101 o NV 80/nv. HKA en doble durante matriz comercial.
Cliente QA-0 activo; Ecommerce habilitado; total 116; tipo 80; modo digital/demo del tenant.</x:v>
      </x:c>
      <x:c r="D577" s="13" t="str">
        <x:v>1. Abrir Ecommerce; buscar y seleccionar cliente de identidad 0
2. Crear venta 80 ordinaria con P-G, serie autorizada y pago 116
3. Consultar número, cliente, moneda, total, saldo, pagos, inventario y estado fiscal</x:v>
      </x:c>
      <x:c r="E577" s="13" t="str">
        <x:v>No existe restricción comercial por identidad 0 contra tipo 80 ni por monto. Venta única y presentación sin prefijo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77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78" ht="68" customHeight="1">
      <x:c r="A578" s="13" t="str">
        <x:v>QA-MAT-122</x:v>
      </x:c>
      <x:c r="B578" s="13" t="str">
        <x:v>Ecommerce / 80 / identidad 1 Venezolano</x:v>
      </x:c>
      <x:c r="C578" s="13" t="str">
        <x:v>Un fixture por identidad doméstica activa, comprador autorizado, factura ordinaria 01/0101 o NV 80/nv. HKA en doble durante matriz comercial.
Cliente QA-1 activo; Ecommerce habilitado; total 116; tipo 80; modo digital/demo del tenant.</x:v>
      </x:c>
      <x:c r="D578" s="13" t="str">
        <x:v>1. Abrir Ecommerce; buscar y seleccionar cliente de identidad 1
2. Crear venta 80 ordinaria con P-G, serie autorizada y pago 116
3. Consultar número, cliente, moneda, total, saldo, pagos, inventario y estado fiscal</x:v>
      </x:c>
      <x:c r="E578" s="13" t="str">
        <x:v>No existe restricción comercial por identidad 1 contra tipo 80 ni por monto. Venta única y presentación V-número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78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79" ht="68" customHeight="1">
      <x:c r="A579" s="13" t="str">
        <x:v>QA-MAT-123</x:v>
      </x:c>
      <x:c r="B579" s="13" t="str">
        <x:v>Ecommerce / 80 / identidad 6 Juridico</x:v>
      </x:c>
      <x:c r="C579" s="13" t="str">
        <x:v>Un fixture por identidad doméstica activa, comprador autorizado, factura ordinaria 01/0101 o NV 80/nv. HKA en doble durante matriz comercial.
Cliente QA-6 activo; Ecommerce habilitado; total 116; tipo 80; modo digital/demo del tenant.</x:v>
      </x:c>
      <x:c r="D579" s="13" t="str">
        <x:v>1. Abrir Ecommerce; buscar y seleccionar cliente de identidad 6
2. Crear venta 80 ordinaria con P-G, serie autorizada y pago 116
3. Consultar número, cliente, moneda, total, saldo, pagos, inventario y estado fiscal</x:v>
      </x:c>
      <x:c r="E579" s="13" t="str">
        <x:v>No existe restricción comercial por identidad 6 contra tipo 80 ni por monto. Venta única y presentación J-número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79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80" ht="68" customHeight="1">
      <x:c r="A580" s="13" t="str">
        <x:v>QA-MAT-124</x:v>
      </x:c>
      <x:c r="B580" s="13" t="str">
        <x:v>Ecommerce / 80 / identidad 7 Pasaporte</x:v>
      </x:c>
      <x:c r="C580" s="13" t="str">
        <x:v>Un fixture por identidad doméstica activa, comprador autorizado, factura ordinaria 01/0101 o NV 80/nv. HKA en doble durante matriz comercial.
Cliente QA-7 activo; Ecommerce habilitado; total 116; tipo 80; modo digital/demo del tenant.</x:v>
      </x:c>
      <x:c r="D580" s="13" t="str">
        <x:v>1. Abrir Ecommerce; buscar y seleccionar cliente de identidad 7
2. Crear venta 80 ordinaria con P-G, serie autorizada y pago 116
3. Consultar número, cliente, moneda, total, saldo, pagos, inventario y estado fiscal</x:v>
      </x:c>
      <x:c r="E580" s="13" t="str">
        <x:v>No existe restricción comercial por identidad 7 contra tipo 80 ni por monto. Venta única y presentación P-número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80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81" ht="68" customHeight="1">
      <x:c r="A581" s="13" t="str">
        <x:v>QA-MAT-125</x:v>
      </x:c>
      <x:c r="B581" s="13" t="str">
        <x:v>Ecommerce / 80 / identidad E Extranjero</x:v>
      </x:c>
      <x:c r="C581" s="13" t="str">
        <x:v>Un fixture por identidad doméstica activa, comprador autorizado, factura ordinaria 01/0101 o NV 80/nv. HKA en doble durante matriz comercial.
Cliente QA-E activo; Ecommerce habilitado; total 116; tipo 80; modo digital/demo del tenant.</x:v>
      </x:c>
      <x:c r="D581" s="13" t="str">
        <x:v>1. Abrir Ecommerce; buscar y seleccionar cliente de identidad E
2. Crear venta 80 ordinaria con P-G, serie autorizada y pago 116
3. Consultar número, cliente, moneda, total, saldo, pagos, inventario y estado fiscal</x:v>
      </x:c>
      <x:c r="E581" s="13" t="str">
        <x:v>No existe restricción comercial por identidad E contra tipo 80 ni por monto. Venta única y presentación E-número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81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82" ht="68" customHeight="1">
      <x:c r="A582" s="13" t="str">
        <x:v>QA-MAT-126</x:v>
      </x:c>
      <x:c r="B582" s="13" t="str">
        <x:v>Ecommerce / 80 / identidad C Comuna</x:v>
      </x:c>
      <x:c r="C582" s="13" t="str">
        <x:v>Un fixture por identidad doméstica activa, comprador autorizado, factura ordinaria 01/0101 o NV 80/nv. HKA en doble durante matriz comercial.
Cliente QA-C activo; Ecommerce habilitado; total 116; tipo 80; modo digital/demo del tenant.</x:v>
      </x:c>
      <x:c r="D582" s="13" t="str">
        <x:v>1. Abrir Ecommerce; buscar y seleccionar cliente de identidad C
2. Crear venta 80 ordinaria con P-G, serie autorizada y pago 116
3. Consultar número, cliente, moneda, total, saldo, pagos, inventario y estado fiscal</x:v>
      </x:c>
      <x:c r="E582" s="13" t="str">
        <x:v>No existe restricción comercial por identidad C contra tipo 80 ni por monto. Venta única y presentación C-número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82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83" ht="68" customHeight="1">
      <x:c r="A583" s="13" t="str">
        <x:v>QA-MAT-127</x:v>
      </x:c>
      <x:c r="B583" s="13" t="str">
        <x:v>Ecommerce / 80 / identidad G Gubernamental</x:v>
      </x:c>
      <x:c r="C583" s="13" t="str">
        <x:v>Un fixture por identidad doméstica activa, comprador autorizado, factura ordinaria 01/0101 o NV 80/nv. HKA en doble durante matriz comercial.
Cliente QA-G activo; Ecommerce habilitado; total 116; tipo 80; modo digital/demo del tenant.</x:v>
      </x:c>
      <x:c r="D583" s="13" t="str">
        <x:v>1. Abrir Ecommerce; buscar y seleccionar cliente de identidad G
2. Crear venta 80 ordinaria con P-G, serie autorizada y pago 116
3. Consultar número, cliente, moneda, total, saldo, pagos, inventario y estado fiscal</x:v>
      </x:c>
      <x:c r="E583" s="13" t="str">
        <x:v>No existe restricción comercial por identidad G contra tipo 80 ni por monto. Venta única y presentación G-número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83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84" ht="68" customHeight="1">
      <x:c r="A584" s="13" t="str">
        <x:v>QA-MAT-128</x:v>
      </x:c>
      <x:c r="B584" s="13" t="str">
        <x:v>Ecommerce / 80 / identidad R Firma Personal</x:v>
      </x:c>
      <x:c r="C584" s="13" t="str">
        <x:v>Un fixture por identidad doméstica activa, comprador autorizado, factura ordinaria 01/0101 o NV 80/nv. HKA en doble durante matriz comercial.
Cliente QA-R activo; Ecommerce habilitado; total 116; tipo 80; modo digital/demo del tenant.</x:v>
      </x:c>
      <x:c r="D584" s="13" t="str">
        <x:v>1. Abrir Ecommerce; buscar y seleccionar cliente de identidad R
2. Crear venta 80 ordinaria con P-G, serie autorizada y pago 116
3. Consultar número, cliente, moneda, total, saldo, pagos, inventario y estado fiscal</x:v>
      </x:c>
      <x:c r="E584" s="13" t="str">
        <x:v>No existe restricción comercial por identidad R contra tipo 80 ni por monto. Venta única y presentación R-número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84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85" ht="68" customHeight="1">
      <x:c r="A585" s="13" t="str">
        <x:v>QA-MAT-129</x:v>
      </x:c>
      <x:c r="B585" s="13" t="str">
        <x:v>Mi Tienda / Store / 01 / identidad 0 Doc.sin.rif</x:v>
      </x:c>
      <x:c r="C585" s="13" t="str">
        <x:v>Un fixture por identidad doméstica activa, comprador autorizado, factura ordinaria 01/0101 o NV 80/nv. HKA en doble durante matriz comercial.
Cliente QA-0 activo; Mi Tienda / Store habilitado; total 116; tipo 01; modo digital/demo del tenant.</x:v>
      </x:c>
      <x:c r="D585" s="13" t="str">
        <x:v>1. Abrir Mi Tienda / Store; buscar y seleccionar cliente de identidad 0
2. Crear venta 01 ordinaria con P-G, serie autorizada y pago 116
3. Consultar número, cliente, moneda, total, saldo, pagos, inventario y estado fiscal</x:v>
      </x:c>
      <x:c r="E585" s="13" t="str">
        <x:v>No existe restricción comercial por identidad 0 contra tipo 01 ni por monto. Venta única y presentación sin prefijo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85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86" ht="68" customHeight="1">
      <x:c r="A586" s="13" t="str">
        <x:v>QA-MAT-130</x:v>
      </x:c>
      <x:c r="B586" s="13" t="str">
        <x:v>Mi Tienda / Store / 01 / identidad 1 Venezolano</x:v>
      </x:c>
      <x:c r="C586" s="13" t="str">
        <x:v>Un fixture por identidad doméstica activa, comprador autorizado, factura ordinaria 01/0101 o NV 80/nv. HKA en doble durante matriz comercial.
Cliente QA-1 activo; Mi Tienda / Store habilitado; total 116; tipo 01; modo digital/demo del tenant.</x:v>
      </x:c>
      <x:c r="D586" s="13" t="str">
        <x:v>1. Abrir Mi Tienda / Store; buscar y seleccionar cliente de identidad 1
2. Crear venta 01 ordinaria con P-G, serie autorizada y pago 116
3. Consultar número, cliente, moneda, total, saldo, pagos, inventario y estado fiscal</x:v>
      </x:c>
      <x:c r="E586" s="13" t="str">
        <x:v>No existe restricción comercial por identidad 1 contra tipo 01 ni por monto. Venta única y presentación V-número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86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87" ht="68" customHeight="1">
      <x:c r="A587" s="13" t="str">
        <x:v>QA-MAT-131</x:v>
      </x:c>
      <x:c r="B587" s="13" t="str">
        <x:v>Mi Tienda / Store / 01 / identidad 6 Juridico</x:v>
      </x:c>
      <x:c r="C587" s="13" t="str">
        <x:v>Un fixture por identidad doméstica activa, comprador autorizado, factura ordinaria 01/0101 o NV 80/nv. HKA en doble durante matriz comercial.
Cliente QA-6 activo; Mi Tienda / Store habilitado; total 116; tipo 01; modo digital/demo del tenant.</x:v>
      </x:c>
      <x:c r="D587" s="13" t="str">
        <x:v>1. Abrir Mi Tienda / Store; buscar y seleccionar cliente de identidad 6
2. Crear venta 01 ordinaria con P-G, serie autorizada y pago 116
3. Consultar número, cliente, moneda, total, saldo, pagos, inventario y estado fiscal</x:v>
      </x:c>
      <x:c r="E587" s="13" t="str">
        <x:v>No existe restricción comercial por identidad 6 contra tipo 01 ni por monto. Venta única y presentación J-número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87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88" ht="68" customHeight="1">
      <x:c r="A588" s="13" t="str">
        <x:v>QA-MAT-132</x:v>
      </x:c>
      <x:c r="B588" s="13" t="str">
        <x:v>Mi Tienda / Store / 01 / identidad 7 Pasaporte</x:v>
      </x:c>
      <x:c r="C588" s="13" t="str">
        <x:v>Un fixture por identidad doméstica activa, comprador autorizado, factura ordinaria 01/0101 o NV 80/nv. HKA en doble durante matriz comercial.
Cliente QA-7 activo; Mi Tienda / Store habilitado; total 116; tipo 01; modo digital/demo del tenant.</x:v>
      </x:c>
      <x:c r="D588" s="13" t="str">
        <x:v>1. Abrir Mi Tienda / Store; buscar y seleccionar cliente de identidad 7
2. Crear venta 01 ordinaria con P-G, serie autorizada y pago 116
3. Consultar número, cliente, moneda, total, saldo, pagos, inventario y estado fiscal</x:v>
      </x:c>
      <x:c r="E588" s="13" t="str">
        <x:v>No existe restricción comercial por identidad 7 contra tipo 01 ni por monto. Venta única y presentación P-número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88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89" ht="68" customHeight="1">
      <x:c r="A589" s="13" t="str">
        <x:v>QA-MAT-133</x:v>
      </x:c>
      <x:c r="B589" s="13" t="str">
        <x:v>Mi Tienda / Store / 01 / identidad E Extranjero</x:v>
      </x:c>
      <x:c r="C589" s="13" t="str">
        <x:v>Un fixture por identidad doméstica activa, comprador autorizado, factura ordinaria 01/0101 o NV 80/nv. HKA en doble durante matriz comercial.
Cliente QA-E activo; Mi Tienda / Store habilitado; total 116; tipo 01; modo digital/demo del tenant.</x:v>
      </x:c>
      <x:c r="D589" s="13" t="str">
        <x:v>1. Abrir Mi Tienda / Store; buscar y seleccionar cliente de identidad E
2. Crear venta 01 ordinaria con P-G, serie autorizada y pago 116
3. Consultar número, cliente, moneda, total, saldo, pagos, inventario y estado fiscal</x:v>
      </x:c>
      <x:c r="E589" s="13" t="str">
        <x:v>No existe restricción comercial por identidad E contra tipo 01 ni por monto. Venta única y presentación E-número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89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90" ht="68" customHeight="1">
      <x:c r="A590" s="13" t="str">
        <x:v>QA-MAT-134</x:v>
      </x:c>
      <x:c r="B590" s="13" t="str">
        <x:v>Mi Tienda / Store / 01 / identidad C Comuna</x:v>
      </x:c>
      <x:c r="C590" s="13" t="str">
        <x:v>Un fixture por identidad doméstica activa, comprador autorizado, factura ordinaria 01/0101 o NV 80/nv. HKA en doble durante matriz comercial.
Cliente QA-C activo; Mi Tienda / Store habilitado; total 116; tipo 01; modo digital/demo del tenant.</x:v>
      </x:c>
      <x:c r="D590" s="13" t="str">
        <x:v>1. Abrir Mi Tienda / Store; buscar y seleccionar cliente de identidad C
2. Crear venta 01 ordinaria con P-G, serie autorizada y pago 116
3. Consultar número, cliente, moneda, total, saldo, pagos, inventario y estado fiscal</x:v>
      </x:c>
      <x:c r="E590" s="13" t="str">
        <x:v>No existe restricción comercial por identidad C contra tipo 01 ni por monto. Venta única y presentación C-número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90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91" ht="68" customHeight="1">
      <x:c r="A591" s="13" t="str">
        <x:v>QA-MAT-135</x:v>
      </x:c>
      <x:c r="B591" s="13" t="str">
        <x:v>Mi Tienda / Store / 01 / identidad G Gubernamental</x:v>
      </x:c>
      <x:c r="C591" s="13" t="str">
        <x:v>Un fixture por identidad doméstica activa, comprador autorizado, factura ordinaria 01/0101 o NV 80/nv. HKA en doble durante matriz comercial.
Cliente QA-G activo; Mi Tienda / Store habilitado; total 116; tipo 01; modo digital/demo del tenant.</x:v>
      </x:c>
      <x:c r="D591" s="13" t="str">
        <x:v>1. Abrir Mi Tienda / Store; buscar y seleccionar cliente de identidad G
2. Crear venta 01 ordinaria con P-G, serie autorizada y pago 116
3. Consultar número, cliente, moneda, total, saldo, pagos, inventario y estado fiscal</x:v>
      </x:c>
      <x:c r="E591" s="13" t="str">
        <x:v>No existe restricción comercial por identidad G contra tipo 01 ni por monto. Venta única y presentación G-número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91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92" ht="68" customHeight="1">
      <x:c r="A592" s="13" t="str">
        <x:v>QA-MAT-136</x:v>
      </x:c>
      <x:c r="B592" s="13" t="str">
        <x:v>Mi Tienda / Store / 01 / identidad R Firma Personal</x:v>
      </x:c>
      <x:c r="C592" s="13" t="str">
        <x:v>Un fixture por identidad doméstica activa, comprador autorizado, factura ordinaria 01/0101 o NV 80/nv. HKA en doble durante matriz comercial.
Cliente QA-R activo; Mi Tienda / Store habilitado; total 116; tipo 01; modo digital/demo del tenant.</x:v>
      </x:c>
      <x:c r="D592" s="13" t="str">
        <x:v>1. Abrir Mi Tienda / Store; buscar y seleccionar cliente de identidad R
2. Crear venta 01 ordinaria con P-G, serie autorizada y pago 116
3. Consultar número, cliente, moneda, total, saldo, pagos, inventario y estado fiscal</x:v>
      </x:c>
      <x:c r="E592" s="13" t="str">
        <x:v>No existe restricción comercial por identidad R contra tipo 01 ni por monto. Venta única y presentación R-número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92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93" ht="68" customHeight="1">
      <x:c r="A593" s="13" t="str">
        <x:v>QA-MAT-137</x:v>
      </x:c>
      <x:c r="B593" s="13" t="str">
        <x:v>Mi Tienda / Store / 80 / identidad 0 Doc.sin.rif</x:v>
      </x:c>
      <x:c r="C593" s="13" t="str">
        <x:v>Un fixture por identidad doméstica activa, comprador autorizado, factura ordinaria 01/0101 o NV 80/nv. HKA en doble durante matriz comercial.
Cliente QA-0 activo; Mi Tienda / Store habilitado; total 116; tipo 80; modo digital/demo del tenant.</x:v>
      </x:c>
      <x:c r="D593" s="13" t="str">
        <x:v>1. Abrir Mi Tienda / Store; buscar y seleccionar cliente de identidad 0
2. Crear venta 80 ordinaria con P-G, serie autorizada y pago 116
3. Consultar número, cliente, moneda, total, saldo, pagos, inventario y estado fiscal</x:v>
      </x:c>
      <x:c r="E593" s="13" t="str">
        <x:v>No existe restricción comercial por identidad 0 contra tipo 80 ni por monto. Venta única y presentación sin prefijo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93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94" ht="68" customHeight="1">
      <x:c r="A594" s="13" t="str">
        <x:v>QA-MAT-138</x:v>
      </x:c>
      <x:c r="B594" s="13" t="str">
        <x:v>Mi Tienda / Store / 80 / identidad 1 Venezolano</x:v>
      </x:c>
      <x:c r="C594" s="13" t="str">
        <x:v>Un fixture por identidad doméstica activa, comprador autorizado, factura ordinaria 01/0101 o NV 80/nv. HKA en doble durante matriz comercial.
Cliente QA-1 activo; Mi Tienda / Store habilitado; total 116; tipo 80; modo digital/demo del tenant.</x:v>
      </x:c>
      <x:c r="D594" s="13" t="str">
        <x:v>1. Abrir Mi Tienda / Store; buscar y seleccionar cliente de identidad 1
2. Crear venta 80 ordinaria con P-G, serie autorizada y pago 116
3. Consultar número, cliente, moneda, total, saldo, pagos, inventario y estado fiscal</x:v>
      </x:c>
      <x:c r="E594" s="13" t="str">
        <x:v>No existe restricción comercial por identidad 1 contra tipo 80 ni por monto. Venta única y presentación V-número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94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95" ht="68" customHeight="1">
      <x:c r="A595" s="13" t="str">
        <x:v>QA-MAT-139</x:v>
      </x:c>
      <x:c r="B595" s="13" t="str">
        <x:v>Mi Tienda / Store / 80 / identidad 6 Juridico</x:v>
      </x:c>
      <x:c r="C595" s="13" t="str">
        <x:v>Un fixture por identidad doméstica activa, comprador autorizado, factura ordinaria 01/0101 o NV 80/nv. HKA en doble durante matriz comercial.
Cliente QA-6 activo; Mi Tienda / Store habilitado; total 116; tipo 80; modo digital/demo del tenant.</x:v>
      </x:c>
      <x:c r="D595" s="13" t="str">
        <x:v>1. Abrir Mi Tienda / Store; buscar y seleccionar cliente de identidad 6
2. Crear venta 80 ordinaria con P-G, serie autorizada y pago 116
3. Consultar número, cliente, moneda, total, saldo, pagos, inventario y estado fiscal</x:v>
      </x:c>
      <x:c r="E595" s="13" t="str">
        <x:v>No existe restricción comercial por identidad 6 contra tipo 80 ni por monto. Venta única y presentación J-número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95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96" ht="68" customHeight="1">
      <x:c r="A596" s="13" t="str">
        <x:v>QA-MAT-140</x:v>
      </x:c>
      <x:c r="B596" s="13" t="str">
        <x:v>Mi Tienda / Store / 80 / identidad 7 Pasaporte</x:v>
      </x:c>
      <x:c r="C596" s="13" t="str">
        <x:v>Un fixture por identidad doméstica activa, comprador autorizado, factura ordinaria 01/0101 o NV 80/nv. HKA en doble durante matriz comercial.
Cliente QA-7 activo; Mi Tienda / Store habilitado; total 116; tipo 80; modo digital/demo del tenant.</x:v>
      </x:c>
      <x:c r="D596" s="13" t="str">
        <x:v>1. Abrir Mi Tienda / Store; buscar y seleccionar cliente de identidad 7
2. Crear venta 80 ordinaria con P-G, serie autorizada y pago 116
3. Consultar número, cliente, moneda, total, saldo, pagos, inventario y estado fiscal</x:v>
      </x:c>
      <x:c r="E596" s="13" t="str">
        <x:v>No existe restricción comercial por identidad 7 contra tipo 80 ni por monto. Venta única y presentación P-número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96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97" ht="68" customHeight="1">
      <x:c r="A597" s="13" t="str">
        <x:v>QA-MAT-141</x:v>
      </x:c>
      <x:c r="B597" s="13" t="str">
        <x:v>Mi Tienda / Store / 80 / identidad E Extranjero</x:v>
      </x:c>
      <x:c r="C597" s="13" t="str">
        <x:v>Un fixture por identidad doméstica activa, comprador autorizado, factura ordinaria 01/0101 o NV 80/nv. HKA en doble durante matriz comercial.
Cliente QA-E activo; Mi Tienda / Store habilitado; total 116; tipo 80; modo digital/demo del tenant.</x:v>
      </x:c>
      <x:c r="D597" s="13" t="str">
        <x:v>1. Abrir Mi Tienda / Store; buscar y seleccionar cliente de identidad E
2. Crear venta 80 ordinaria con P-G, serie autorizada y pago 116
3. Consultar número, cliente, moneda, total, saldo, pagos, inventario y estado fiscal</x:v>
      </x:c>
      <x:c r="E597" s="13" t="str">
        <x:v>No existe restricción comercial por identidad E contra tipo 80 ni por monto. Venta única y presentación E-número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97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98" ht="68" customHeight="1">
      <x:c r="A598" s="13" t="str">
        <x:v>QA-MAT-142</x:v>
      </x:c>
      <x:c r="B598" s="13" t="str">
        <x:v>Mi Tienda / Store / 80 / identidad C Comuna</x:v>
      </x:c>
      <x:c r="C598" s="13" t="str">
        <x:v>Un fixture por identidad doméstica activa, comprador autorizado, factura ordinaria 01/0101 o NV 80/nv. HKA en doble durante matriz comercial.
Cliente QA-C activo; Mi Tienda / Store habilitado; total 116; tipo 80; modo digital/demo del tenant.</x:v>
      </x:c>
      <x:c r="D598" s="13" t="str">
        <x:v>1. Abrir Mi Tienda / Store; buscar y seleccionar cliente de identidad C
2. Crear venta 80 ordinaria con P-G, serie autorizada y pago 116
3. Consultar número, cliente, moneda, total, saldo, pagos, inventario y estado fiscal</x:v>
      </x:c>
      <x:c r="E598" s="13" t="str">
        <x:v>No existe restricción comercial por identidad C contra tipo 80 ni por monto. Venta única y presentación C-número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98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599" ht="68" customHeight="1">
      <x:c r="A599" s="13" t="str">
        <x:v>QA-MAT-143</x:v>
      </x:c>
      <x:c r="B599" s="13" t="str">
        <x:v>Mi Tienda / Store / 80 / identidad G Gubernamental</x:v>
      </x:c>
      <x:c r="C599" s="13" t="str">
        <x:v>Un fixture por identidad doméstica activa, comprador autorizado, factura ordinaria 01/0101 o NV 80/nv. HKA en doble durante matriz comercial.
Cliente QA-G activo; Mi Tienda / Store habilitado; total 116; tipo 80; modo digital/demo del tenant.</x:v>
      </x:c>
      <x:c r="D599" s="13" t="str">
        <x:v>1. Abrir Mi Tienda / Store; buscar y seleccionar cliente de identidad G
2. Crear venta 80 ordinaria con P-G, serie autorizada y pago 116
3. Consultar número, cliente, moneda, total, saldo, pagos, inventario y estado fiscal</x:v>
      </x:c>
      <x:c r="E599" s="13" t="str">
        <x:v>No existe restricción comercial por identidad G contra tipo 80 ni por monto. Venta única y presentación G-número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599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00" ht="68" customHeight="1">
      <x:c r="A600" s="13" t="str">
        <x:v>QA-MAT-144</x:v>
      </x:c>
      <x:c r="B600" s="13" t="str">
        <x:v>Mi Tienda / Store / 80 / identidad R Firma Personal</x:v>
      </x:c>
      <x:c r="C600" s="13" t="str">
        <x:v>Un fixture por identidad doméstica activa, comprador autorizado, factura ordinaria 01/0101 o NV 80/nv. HKA en doble durante matriz comercial.
Cliente QA-R activo; Mi Tienda / Store habilitado; total 116; tipo 80; modo digital/demo del tenant.</x:v>
      </x:c>
      <x:c r="D600" s="13" t="str">
        <x:v>1. Abrir Mi Tienda / Store; buscar y seleccionar cliente de identidad R
2. Crear venta 80 ordinaria con P-G, serie autorizada y pago 116
3. Consultar número, cliente, moneda, total, saldo, pagos, inventario y estado fiscal</x:v>
      </x:c>
      <x:c r="E600" s="13" t="str">
        <x:v>No existe restricción comercial por identidad R contra tipo 80 ni por monto. Venta única y presentación R-número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00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01" ht="68" customHeight="1">
      <x:c r="A601" s="13" t="str">
        <x:v>QA-MAT-145</x:v>
      </x:c>
      <x:c r="B601" s="13" t="str">
        <x:v>Pedidos / 01 / identidad 0 Doc.sin.rif</x:v>
      </x:c>
      <x:c r="C601" s="13" t="str">
        <x:v>Un fixture por identidad doméstica activa, comprador autorizado, factura ordinaria 01/0101 o NV 80/nv. HKA en doble durante matriz comercial.
Cliente QA-0 activo; Pedidos habilitado; total 116; tipo 01; modo digital/demo del tenant.</x:v>
      </x:c>
      <x:c r="D601" s="13" t="str">
        <x:v>1. Abrir Pedidos; buscar y seleccionar cliente de identidad 0
2. Crear venta 01 ordinaria con P-G, serie autorizada y pago 116
3. Consultar número, cliente, moneda, total, saldo, pagos, inventario y estado fiscal</x:v>
      </x:c>
      <x:c r="E601" s="13" t="str">
        <x:v>No existe restricción comercial por identidad 0 contra tipo 01 ni por monto. Venta única y presentación sin prefijo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01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02" ht="68" customHeight="1">
      <x:c r="A602" s="13" t="str">
        <x:v>QA-MAT-146</x:v>
      </x:c>
      <x:c r="B602" s="13" t="str">
        <x:v>Pedidos / 01 / identidad 1 Venezolano</x:v>
      </x:c>
      <x:c r="C602" s="13" t="str">
        <x:v>Un fixture por identidad doméstica activa, comprador autorizado, factura ordinaria 01/0101 o NV 80/nv. HKA en doble durante matriz comercial.
Cliente QA-1 activo; Pedidos habilitado; total 116; tipo 01; modo digital/demo del tenant.</x:v>
      </x:c>
      <x:c r="D602" s="13" t="str">
        <x:v>1. Abrir Pedidos; buscar y seleccionar cliente de identidad 1
2. Crear venta 01 ordinaria con P-G, serie autorizada y pago 116
3. Consultar número, cliente, moneda, total, saldo, pagos, inventario y estado fiscal</x:v>
      </x:c>
      <x:c r="E602" s="13" t="str">
        <x:v>No existe restricción comercial por identidad 1 contra tipo 01 ni por monto. Venta única y presentación V-número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02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03" ht="68" customHeight="1">
      <x:c r="A603" s="13" t="str">
        <x:v>QA-MAT-147</x:v>
      </x:c>
      <x:c r="B603" s="13" t="str">
        <x:v>Pedidos / 01 / identidad 6 Juridico</x:v>
      </x:c>
      <x:c r="C603" s="13" t="str">
        <x:v>Un fixture por identidad doméstica activa, comprador autorizado, factura ordinaria 01/0101 o NV 80/nv. HKA en doble durante matriz comercial.
Cliente QA-6 activo; Pedidos habilitado; total 116; tipo 01; modo digital/demo del tenant.</x:v>
      </x:c>
      <x:c r="D603" s="13" t="str">
        <x:v>1. Abrir Pedidos; buscar y seleccionar cliente de identidad 6
2. Crear venta 01 ordinaria con P-G, serie autorizada y pago 116
3. Consultar número, cliente, moneda, total, saldo, pagos, inventario y estado fiscal</x:v>
      </x:c>
      <x:c r="E603" s="13" t="str">
        <x:v>No existe restricción comercial por identidad 6 contra tipo 01 ni por monto. Venta única y presentación J-número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03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04" ht="68" customHeight="1">
      <x:c r="A604" s="13" t="str">
        <x:v>QA-MAT-148</x:v>
      </x:c>
      <x:c r="B604" s="13" t="str">
        <x:v>Pedidos / 01 / identidad 7 Pasaporte</x:v>
      </x:c>
      <x:c r="C604" s="13" t="str">
        <x:v>Un fixture por identidad doméstica activa, comprador autorizado, factura ordinaria 01/0101 o NV 80/nv. HKA en doble durante matriz comercial.
Cliente QA-7 activo; Pedidos habilitado; total 116; tipo 01; modo digital/demo del tenant.</x:v>
      </x:c>
      <x:c r="D604" s="13" t="str">
        <x:v>1. Abrir Pedidos; buscar y seleccionar cliente de identidad 7
2. Crear venta 01 ordinaria con P-G, serie autorizada y pago 116
3. Consultar número, cliente, moneda, total, saldo, pagos, inventario y estado fiscal</x:v>
      </x:c>
      <x:c r="E604" s="13" t="str">
        <x:v>No existe restricción comercial por identidad 7 contra tipo 01 ni por monto. Venta única y presentación P-número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04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05" ht="68" customHeight="1">
      <x:c r="A605" s="13" t="str">
        <x:v>QA-MAT-149</x:v>
      </x:c>
      <x:c r="B605" s="13" t="str">
        <x:v>Pedidos / 01 / identidad E Extranjero</x:v>
      </x:c>
      <x:c r="C605" s="13" t="str">
        <x:v>Un fixture por identidad doméstica activa, comprador autorizado, factura ordinaria 01/0101 o NV 80/nv. HKA en doble durante matriz comercial.
Cliente QA-E activo; Pedidos habilitado; total 116; tipo 01; modo digital/demo del tenant.</x:v>
      </x:c>
      <x:c r="D605" s="13" t="str">
        <x:v>1. Abrir Pedidos; buscar y seleccionar cliente de identidad E
2. Crear venta 01 ordinaria con P-G, serie autorizada y pago 116
3. Consultar número, cliente, moneda, total, saldo, pagos, inventario y estado fiscal</x:v>
      </x:c>
      <x:c r="E605" s="13" t="str">
        <x:v>No existe restricción comercial por identidad E contra tipo 01 ni por monto. Venta única y presentación E-número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05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06" ht="68" customHeight="1">
      <x:c r="A606" s="13" t="str">
        <x:v>QA-MAT-150</x:v>
      </x:c>
      <x:c r="B606" s="13" t="str">
        <x:v>Pedidos / 01 / identidad C Comuna</x:v>
      </x:c>
      <x:c r="C606" s="13" t="str">
        <x:v>Un fixture por identidad doméstica activa, comprador autorizado, factura ordinaria 01/0101 o NV 80/nv. HKA en doble durante matriz comercial.
Cliente QA-C activo; Pedidos habilitado; total 116; tipo 01; modo digital/demo del tenant.</x:v>
      </x:c>
      <x:c r="D606" s="13" t="str">
        <x:v>1. Abrir Pedidos; buscar y seleccionar cliente de identidad C
2. Crear venta 01 ordinaria con P-G, serie autorizada y pago 116
3. Consultar número, cliente, moneda, total, saldo, pagos, inventario y estado fiscal</x:v>
      </x:c>
      <x:c r="E606" s="13" t="str">
        <x:v>No existe restricción comercial por identidad C contra tipo 01 ni por monto. Venta única y presentación C-número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06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07" ht="68" customHeight="1">
      <x:c r="A607" s="13" t="str">
        <x:v>QA-MAT-151</x:v>
      </x:c>
      <x:c r="B607" s="13" t="str">
        <x:v>Pedidos / 01 / identidad G Gubernamental</x:v>
      </x:c>
      <x:c r="C607" s="13" t="str">
        <x:v>Un fixture por identidad doméstica activa, comprador autorizado, factura ordinaria 01/0101 o NV 80/nv. HKA en doble durante matriz comercial.
Cliente QA-G activo; Pedidos habilitado; total 116; tipo 01; modo digital/demo del tenant.</x:v>
      </x:c>
      <x:c r="D607" s="13" t="str">
        <x:v>1. Abrir Pedidos; buscar y seleccionar cliente de identidad G
2. Crear venta 01 ordinaria con P-G, serie autorizada y pago 116
3. Consultar número, cliente, moneda, total, saldo, pagos, inventario y estado fiscal</x:v>
      </x:c>
      <x:c r="E607" s="13" t="str">
        <x:v>No existe restricción comercial por identidad G contra tipo 01 ni por monto. Venta única y presentación G-número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07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08" ht="68" customHeight="1">
      <x:c r="A608" s="13" t="str">
        <x:v>QA-MAT-152</x:v>
      </x:c>
      <x:c r="B608" s="13" t="str">
        <x:v>Pedidos / 01 / identidad R Firma Personal</x:v>
      </x:c>
      <x:c r="C608" s="13" t="str">
        <x:v>Un fixture por identidad doméstica activa, comprador autorizado, factura ordinaria 01/0101 o NV 80/nv. HKA en doble durante matriz comercial.
Cliente QA-R activo; Pedidos habilitado; total 116; tipo 01; modo digital/demo del tenant.</x:v>
      </x:c>
      <x:c r="D608" s="13" t="str">
        <x:v>1. Abrir Pedidos; buscar y seleccionar cliente de identidad R
2. Crear venta 01 ordinaria con P-G, serie autorizada y pago 116
3. Consultar número, cliente, moneda, total, saldo, pagos, inventario y estado fiscal</x:v>
      </x:c>
      <x:c r="E608" s="13" t="str">
        <x:v>No existe restricción comercial por identidad R contra tipo 01 ni por monto. Venta única y presentación R-número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08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09" ht="68" customHeight="1">
      <x:c r="A609" s="13" t="str">
        <x:v>QA-MAT-153</x:v>
      </x:c>
      <x:c r="B609" s="13" t="str">
        <x:v>Pedidos / 80 / identidad 0 Doc.sin.rif</x:v>
      </x:c>
      <x:c r="C609" s="13" t="str">
        <x:v>Un fixture por identidad doméstica activa, comprador autorizado, factura ordinaria 01/0101 o NV 80/nv. HKA en doble durante matriz comercial.
Cliente QA-0 activo; Pedidos habilitado; total 116; tipo 80; modo digital/demo del tenant.</x:v>
      </x:c>
      <x:c r="D609" s="13" t="str">
        <x:v>1. Abrir Pedidos; buscar y seleccionar cliente de identidad 0
2. Crear venta 80 ordinaria con P-G, serie autorizada y pago 116
3. Consultar número, cliente, moneda, total, saldo, pagos, inventario y estado fiscal</x:v>
      </x:c>
      <x:c r="E609" s="13" t="str">
        <x:v>No existe restricción comercial por identidad 0 contra tipo 80 ni por monto. Venta única y presentación sin prefijo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09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10" ht="68" customHeight="1">
      <x:c r="A610" s="13" t="str">
        <x:v>QA-MAT-154</x:v>
      </x:c>
      <x:c r="B610" s="13" t="str">
        <x:v>Pedidos / 80 / identidad 1 Venezolano</x:v>
      </x:c>
      <x:c r="C610" s="13" t="str">
        <x:v>Un fixture por identidad doméstica activa, comprador autorizado, factura ordinaria 01/0101 o NV 80/nv. HKA en doble durante matriz comercial.
Cliente QA-1 activo; Pedidos habilitado; total 116; tipo 80; modo digital/demo del tenant.</x:v>
      </x:c>
      <x:c r="D610" s="13" t="str">
        <x:v>1. Abrir Pedidos; buscar y seleccionar cliente de identidad 1
2. Crear venta 80 ordinaria con P-G, serie autorizada y pago 116
3. Consultar número, cliente, moneda, total, saldo, pagos, inventario y estado fiscal</x:v>
      </x:c>
      <x:c r="E610" s="13" t="str">
        <x:v>No existe restricción comercial por identidad 1 contra tipo 80 ni por monto. Venta única y presentación V-número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10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11" ht="68" customHeight="1">
      <x:c r="A611" s="13" t="str">
        <x:v>QA-MAT-155</x:v>
      </x:c>
      <x:c r="B611" s="13" t="str">
        <x:v>Pedidos / 80 / identidad 6 Juridico</x:v>
      </x:c>
      <x:c r="C611" s="13" t="str">
        <x:v>Un fixture por identidad doméstica activa, comprador autorizado, factura ordinaria 01/0101 o NV 80/nv. HKA en doble durante matriz comercial.
Cliente QA-6 activo; Pedidos habilitado; total 116; tipo 80; modo digital/demo del tenant.</x:v>
      </x:c>
      <x:c r="D611" s="13" t="str">
        <x:v>1. Abrir Pedidos; buscar y seleccionar cliente de identidad 6
2. Crear venta 80 ordinaria con P-G, serie autorizada y pago 116
3. Consultar número, cliente, moneda, total, saldo, pagos, inventario y estado fiscal</x:v>
      </x:c>
      <x:c r="E611" s="13" t="str">
        <x:v>No existe restricción comercial por identidad 6 contra tipo 80 ni por monto. Venta única y presentación J-número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11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12" ht="68" customHeight="1">
      <x:c r="A612" s="13" t="str">
        <x:v>QA-MAT-156</x:v>
      </x:c>
      <x:c r="B612" s="13" t="str">
        <x:v>Pedidos / 80 / identidad 7 Pasaporte</x:v>
      </x:c>
      <x:c r="C612" s="13" t="str">
        <x:v>Un fixture por identidad doméstica activa, comprador autorizado, factura ordinaria 01/0101 o NV 80/nv. HKA en doble durante matriz comercial.
Cliente QA-7 activo; Pedidos habilitado; total 116; tipo 80; modo digital/demo del tenant.</x:v>
      </x:c>
      <x:c r="D612" s="13" t="str">
        <x:v>1. Abrir Pedidos; buscar y seleccionar cliente de identidad 7
2. Crear venta 80 ordinaria con P-G, serie autorizada y pago 116
3. Consultar número, cliente, moneda, total, saldo, pagos, inventario y estado fiscal</x:v>
      </x:c>
      <x:c r="E612" s="13" t="str">
        <x:v>No existe restricción comercial por identidad 7 contra tipo 80 ni por monto. Venta única y presentación P-número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12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13" ht="68" customHeight="1">
      <x:c r="A613" s="13" t="str">
        <x:v>QA-MAT-157</x:v>
      </x:c>
      <x:c r="B613" s="13" t="str">
        <x:v>Pedidos / 80 / identidad E Extranjero</x:v>
      </x:c>
      <x:c r="C613" s="13" t="str">
        <x:v>Un fixture por identidad doméstica activa, comprador autorizado, factura ordinaria 01/0101 o NV 80/nv. HKA en doble durante matriz comercial.
Cliente QA-E activo; Pedidos habilitado; total 116; tipo 80; modo digital/demo del tenant.</x:v>
      </x:c>
      <x:c r="D613" s="13" t="str">
        <x:v>1. Abrir Pedidos; buscar y seleccionar cliente de identidad E
2. Crear venta 80 ordinaria con P-G, serie autorizada y pago 116
3. Consultar número, cliente, moneda, total, saldo, pagos, inventario y estado fiscal</x:v>
      </x:c>
      <x:c r="E613" s="13" t="str">
        <x:v>No existe restricción comercial por identidad E contra tipo 80 ni por monto. Venta única y presentación E-número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13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14" ht="68" customHeight="1">
      <x:c r="A614" s="13" t="str">
        <x:v>QA-MAT-158</x:v>
      </x:c>
      <x:c r="B614" s="13" t="str">
        <x:v>Pedidos / 80 / identidad C Comuna</x:v>
      </x:c>
      <x:c r="C614" s="13" t="str">
        <x:v>Un fixture por identidad doméstica activa, comprador autorizado, factura ordinaria 01/0101 o NV 80/nv. HKA en doble durante matriz comercial.
Cliente QA-C activo; Pedidos habilitado; total 116; tipo 80; modo digital/demo del tenant.</x:v>
      </x:c>
      <x:c r="D614" s="13" t="str">
        <x:v>1. Abrir Pedidos; buscar y seleccionar cliente de identidad C
2. Crear venta 80 ordinaria con P-G, serie autorizada y pago 116
3. Consultar número, cliente, moneda, total, saldo, pagos, inventario y estado fiscal</x:v>
      </x:c>
      <x:c r="E614" s="13" t="str">
        <x:v>No existe restricción comercial por identidad C contra tipo 80 ni por monto. Venta única y presentación C-número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14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15" ht="68" customHeight="1">
      <x:c r="A615" s="13" t="str">
        <x:v>QA-MAT-159</x:v>
      </x:c>
      <x:c r="B615" s="13" t="str">
        <x:v>Pedidos / 80 / identidad G Gubernamental</x:v>
      </x:c>
      <x:c r="C615" s="13" t="str">
        <x:v>Un fixture por identidad doméstica activa, comprador autorizado, factura ordinaria 01/0101 o NV 80/nv. HKA en doble durante matriz comercial.
Cliente QA-G activo; Pedidos habilitado; total 116; tipo 80; modo digital/demo del tenant.</x:v>
      </x:c>
      <x:c r="D615" s="13" t="str">
        <x:v>1. Abrir Pedidos; buscar y seleccionar cliente de identidad G
2. Crear venta 80 ordinaria con P-G, serie autorizada y pago 116
3. Consultar número, cliente, moneda, total, saldo, pagos, inventario y estado fiscal</x:v>
      </x:c>
      <x:c r="E615" s="13" t="str">
        <x:v>No existe restricción comercial por identidad G contra tipo 80 ni por monto. Venta única y presentación G-número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15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16" ht="68" customHeight="1">
      <x:c r="A616" s="13" t="str">
        <x:v>QA-MAT-160</x:v>
      </x:c>
      <x:c r="B616" s="13" t="str">
        <x:v>Pedidos / 80 / identidad R Firma Personal</x:v>
      </x:c>
      <x:c r="C616" s="13" t="str">
        <x:v>Un fixture por identidad doméstica activa, comprador autorizado, factura ordinaria 01/0101 o NV 80/nv. HKA en doble durante matriz comercial.
Cliente QA-R activo; Pedidos habilitado; total 116; tipo 80; modo digital/demo del tenant.</x:v>
      </x:c>
      <x:c r="D616" s="13" t="str">
        <x:v>1. Abrir Pedidos; buscar y seleccionar cliente de identidad R
2. Crear venta 80 ordinaria con P-G, serie autorizada y pago 116
3. Consultar número, cliente, moneda, total, saldo, pagos, inventario y estado fiscal</x:v>
      </x:c>
      <x:c r="E616" s="13" t="str">
        <x:v>No existe restricción comercial por identidad R contra tipo 80 ni por monto. Venta única y presentación R-número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16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17" ht="68" customHeight="1">
      <x:c r="A617" s="13" t="str">
        <x:v>QA-MAT-161</x:v>
      </x:c>
      <x:c r="B617" s="13" t="str">
        <x:v>Servicio técnico / 01 / identidad 0 Doc.sin.rif</x:v>
      </x:c>
      <x:c r="C617" s="13" t="str">
        <x:v>Un fixture por identidad doméstica activa, comprador autorizado, factura ordinaria 01/0101 o NV 80/nv. HKA en doble durante matriz comercial.
Cliente QA-0 activo; Servicio técnico habilitado; total 116; tipo 01; modo digital/demo del tenant.</x:v>
      </x:c>
      <x:c r="D617" s="13" t="str">
        <x:v>1. Abrir Servicio técnico; buscar y seleccionar cliente de identidad 0
2. Crear venta 01 ordinaria con P-G, serie autorizada y pago 116
3. Consultar número, cliente, moneda, total, saldo, pagos, inventario y estado fiscal</x:v>
      </x:c>
      <x:c r="E617" s="13" t="str">
        <x:v>No existe restricción comercial por identidad 0 contra tipo 01 ni por monto. Venta única y presentación sin prefijo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17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18" ht="68" customHeight="1">
      <x:c r="A618" s="13" t="str">
        <x:v>QA-MAT-162</x:v>
      </x:c>
      <x:c r="B618" s="13" t="str">
        <x:v>Servicio técnico / 01 / identidad 1 Venezolano</x:v>
      </x:c>
      <x:c r="C618" s="13" t="str">
        <x:v>Un fixture por identidad doméstica activa, comprador autorizado, factura ordinaria 01/0101 o NV 80/nv. HKA en doble durante matriz comercial.
Cliente QA-1 activo; Servicio técnico habilitado; total 116; tipo 01; modo digital/demo del tenant.</x:v>
      </x:c>
      <x:c r="D618" s="13" t="str">
        <x:v>1. Abrir Servicio técnico; buscar y seleccionar cliente de identidad 1
2. Crear venta 01 ordinaria con P-G, serie autorizada y pago 116
3. Consultar número, cliente, moneda, total, saldo, pagos, inventario y estado fiscal</x:v>
      </x:c>
      <x:c r="E618" s="13" t="str">
        <x:v>No existe restricción comercial por identidad 1 contra tipo 01 ni por monto. Venta única y presentación V-número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18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19" ht="68" customHeight="1">
      <x:c r="A619" s="13" t="str">
        <x:v>QA-MAT-163</x:v>
      </x:c>
      <x:c r="B619" s="13" t="str">
        <x:v>Servicio técnico / 01 / identidad 6 Juridico</x:v>
      </x:c>
      <x:c r="C619" s="13" t="str">
        <x:v>Un fixture por identidad doméstica activa, comprador autorizado, factura ordinaria 01/0101 o NV 80/nv. HKA en doble durante matriz comercial.
Cliente QA-6 activo; Servicio técnico habilitado; total 116; tipo 01; modo digital/demo del tenant.</x:v>
      </x:c>
      <x:c r="D619" s="13" t="str">
        <x:v>1. Abrir Servicio técnico; buscar y seleccionar cliente de identidad 6
2. Crear venta 01 ordinaria con P-G, serie autorizada y pago 116
3. Consultar número, cliente, moneda, total, saldo, pagos, inventario y estado fiscal</x:v>
      </x:c>
      <x:c r="E619" s="13" t="str">
        <x:v>No existe restricción comercial por identidad 6 contra tipo 01 ni por monto. Venta única y presentación J-número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19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20" ht="68" customHeight="1">
      <x:c r="A620" s="13" t="str">
        <x:v>QA-MAT-164</x:v>
      </x:c>
      <x:c r="B620" s="13" t="str">
        <x:v>Servicio técnico / 01 / identidad 7 Pasaporte</x:v>
      </x:c>
      <x:c r="C620" s="13" t="str">
        <x:v>Un fixture por identidad doméstica activa, comprador autorizado, factura ordinaria 01/0101 o NV 80/nv. HKA en doble durante matriz comercial.
Cliente QA-7 activo; Servicio técnico habilitado; total 116; tipo 01; modo digital/demo del tenant.</x:v>
      </x:c>
      <x:c r="D620" s="13" t="str">
        <x:v>1. Abrir Servicio técnico; buscar y seleccionar cliente de identidad 7
2. Crear venta 01 ordinaria con P-G, serie autorizada y pago 116
3. Consultar número, cliente, moneda, total, saldo, pagos, inventario y estado fiscal</x:v>
      </x:c>
      <x:c r="E620" s="13" t="str">
        <x:v>No existe restricción comercial por identidad 7 contra tipo 01 ni por monto. Venta única y presentación P-número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20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21" ht="68" customHeight="1">
      <x:c r="A621" s="13" t="str">
        <x:v>QA-MAT-165</x:v>
      </x:c>
      <x:c r="B621" s="13" t="str">
        <x:v>Servicio técnico / 01 / identidad E Extranjero</x:v>
      </x:c>
      <x:c r="C621" s="13" t="str">
        <x:v>Un fixture por identidad doméstica activa, comprador autorizado, factura ordinaria 01/0101 o NV 80/nv. HKA en doble durante matriz comercial.
Cliente QA-E activo; Servicio técnico habilitado; total 116; tipo 01; modo digital/demo del tenant.</x:v>
      </x:c>
      <x:c r="D621" s="13" t="str">
        <x:v>1. Abrir Servicio técnico; buscar y seleccionar cliente de identidad E
2. Crear venta 01 ordinaria con P-G, serie autorizada y pago 116
3. Consultar número, cliente, moneda, total, saldo, pagos, inventario y estado fiscal</x:v>
      </x:c>
      <x:c r="E621" s="13" t="str">
        <x:v>No existe restricción comercial por identidad E contra tipo 01 ni por monto. Venta única y presentación E-número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21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22" ht="68" customHeight="1">
      <x:c r="A622" s="13" t="str">
        <x:v>QA-MAT-166</x:v>
      </x:c>
      <x:c r="B622" s="13" t="str">
        <x:v>Servicio técnico / 01 / identidad C Comuna</x:v>
      </x:c>
      <x:c r="C622" s="13" t="str">
        <x:v>Un fixture por identidad doméstica activa, comprador autorizado, factura ordinaria 01/0101 o NV 80/nv. HKA en doble durante matriz comercial.
Cliente QA-C activo; Servicio técnico habilitado; total 116; tipo 01; modo digital/demo del tenant.</x:v>
      </x:c>
      <x:c r="D622" s="13" t="str">
        <x:v>1. Abrir Servicio técnico; buscar y seleccionar cliente de identidad C
2. Crear venta 01 ordinaria con P-G, serie autorizada y pago 116
3. Consultar número, cliente, moneda, total, saldo, pagos, inventario y estado fiscal</x:v>
      </x:c>
      <x:c r="E622" s="13" t="str">
        <x:v>No existe restricción comercial por identidad C contra tipo 01 ni por monto. Venta única y presentación C-número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22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23" ht="68" customHeight="1">
      <x:c r="A623" s="13" t="str">
        <x:v>QA-MAT-167</x:v>
      </x:c>
      <x:c r="B623" s="13" t="str">
        <x:v>Servicio técnico / 01 / identidad G Gubernamental</x:v>
      </x:c>
      <x:c r="C623" s="13" t="str">
        <x:v>Un fixture por identidad doméstica activa, comprador autorizado, factura ordinaria 01/0101 o NV 80/nv. HKA en doble durante matriz comercial.
Cliente QA-G activo; Servicio técnico habilitado; total 116; tipo 01; modo digital/demo del tenant.</x:v>
      </x:c>
      <x:c r="D623" s="13" t="str">
        <x:v>1. Abrir Servicio técnico; buscar y seleccionar cliente de identidad G
2. Crear venta 01 ordinaria con P-G, serie autorizada y pago 116
3. Consultar número, cliente, moneda, total, saldo, pagos, inventario y estado fiscal</x:v>
      </x:c>
      <x:c r="E623" s="13" t="str">
        <x:v>No existe restricción comercial por identidad G contra tipo 01 ni por monto. Venta única y presentación G-número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23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24" ht="68" customHeight="1">
      <x:c r="A624" s="13" t="str">
        <x:v>QA-MAT-168</x:v>
      </x:c>
      <x:c r="B624" s="13" t="str">
        <x:v>Servicio técnico / 01 / identidad R Firma Personal</x:v>
      </x:c>
      <x:c r="C624" s="13" t="str">
        <x:v>Un fixture por identidad doméstica activa, comprador autorizado, factura ordinaria 01/0101 o NV 80/nv. HKA en doble durante matriz comercial.
Cliente QA-R activo; Servicio técnico habilitado; total 116; tipo 01; modo digital/demo del tenant.</x:v>
      </x:c>
      <x:c r="D624" s="13" t="str">
        <x:v>1. Abrir Servicio técnico; buscar y seleccionar cliente de identidad R
2. Crear venta 01 ordinaria con P-G, serie autorizada y pago 116
3. Consultar número, cliente, moneda, total, saldo, pagos, inventario y estado fiscal</x:v>
      </x:c>
      <x:c r="E624" s="13" t="str">
        <x:v>No existe restricción comercial por identidad R contra tipo 01 ni por monto. Venta única y presentación R-número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24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25" ht="68" customHeight="1">
      <x:c r="A625" s="13" t="str">
        <x:v>QA-MAT-169</x:v>
      </x:c>
      <x:c r="B625" s="13" t="str">
        <x:v>Servicio técnico / nv / identidad 0 Doc.sin.rif</x:v>
      </x:c>
      <x:c r="C625" s="13" t="str">
        <x:v>Un fixture por identidad doméstica activa, comprador autorizado, factura ordinaria 01/0101 o NV 80/nv. HKA en doble durante matriz comercial.
Cliente QA-0 activo; Servicio técnico habilitado; total 116; tipo nv; modo digital/demo del tenant.</x:v>
      </x:c>
      <x:c r="D625" s="13" t="str">
        <x:v>1. Abrir Servicio técnico; buscar y seleccionar cliente de identidad 0
2. Crear venta nv ordinaria con P-G, serie autorizada y pago 116
3. Consultar número, cliente, moneda, total, saldo, pagos, inventario y estado fiscal</x:v>
      </x:c>
      <x:c r="E625" s="13" t="str">
        <x:v>No existe restricción comercial por identidad 0 contra tipo nv ni por monto. Venta única y presentación sin prefijo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25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26" ht="68" customHeight="1">
      <x:c r="A626" s="13" t="str">
        <x:v>QA-MAT-170</x:v>
      </x:c>
      <x:c r="B626" s="13" t="str">
        <x:v>Servicio técnico / nv / identidad 1 Venezolano</x:v>
      </x:c>
      <x:c r="C626" s="13" t="str">
        <x:v>Un fixture por identidad doméstica activa, comprador autorizado, factura ordinaria 01/0101 o NV 80/nv. HKA en doble durante matriz comercial.
Cliente QA-1 activo; Servicio técnico habilitado; total 116; tipo nv; modo digital/demo del tenant.</x:v>
      </x:c>
      <x:c r="D626" s="13" t="str">
        <x:v>1. Abrir Servicio técnico; buscar y seleccionar cliente de identidad 1
2. Crear venta nv ordinaria con P-G, serie autorizada y pago 116
3. Consultar número, cliente, moneda, total, saldo, pagos, inventario y estado fiscal</x:v>
      </x:c>
      <x:c r="E626" s="13" t="str">
        <x:v>No existe restricción comercial por identidad 1 contra tipo nv ni por monto. Venta única y presentación V-número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26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27" ht="68" customHeight="1">
      <x:c r="A627" s="13" t="str">
        <x:v>QA-MAT-171</x:v>
      </x:c>
      <x:c r="B627" s="13" t="str">
        <x:v>Servicio técnico / nv / identidad 6 Juridico</x:v>
      </x:c>
      <x:c r="C627" s="13" t="str">
        <x:v>Un fixture por identidad doméstica activa, comprador autorizado, factura ordinaria 01/0101 o NV 80/nv. HKA en doble durante matriz comercial.
Cliente QA-6 activo; Servicio técnico habilitado; total 116; tipo nv; modo digital/demo del tenant.</x:v>
      </x:c>
      <x:c r="D627" s="13" t="str">
        <x:v>1. Abrir Servicio técnico; buscar y seleccionar cliente de identidad 6
2. Crear venta nv ordinaria con P-G, serie autorizada y pago 116
3. Consultar número, cliente, moneda, total, saldo, pagos, inventario y estado fiscal</x:v>
      </x:c>
      <x:c r="E627" s="13" t="str">
        <x:v>No existe restricción comercial por identidad 6 contra tipo nv ni por monto. Venta única y presentación J-número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27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28" ht="68" customHeight="1">
      <x:c r="A628" s="13" t="str">
        <x:v>QA-MAT-172</x:v>
      </x:c>
      <x:c r="B628" s="13" t="str">
        <x:v>Servicio técnico / nv / identidad 7 Pasaporte</x:v>
      </x:c>
      <x:c r="C628" s="13" t="str">
        <x:v>Un fixture por identidad doméstica activa, comprador autorizado, factura ordinaria 01/0101 o NV 80/nv. HKA en doble durante matriz comercial.
Cliente QA-7 activo; Servicio técnico habilitado; total 116; tipo nv; modo digital/demo del tenant.</x:v>
      </x:c>
      <x:c r="D628" s="13" t="str">
        <x:v>1. Abrir Servicio técnico; buscar y seleccionar cliente de identidad 7
2. Crear venta nv ordinaria con P-G, serie autorizada y pago 116
3. Consultar número, cliente, moneda, total, saldo, pagos, inventario y estado fiscal</x:v>
      </x:c>
      <x:c r="E628" s="13" t="str">
        <x:v>No existe restricción comercial por identidad 7 contra tipo nv ni por monto. Venta única y presentación P-número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28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29" ht="68" customHeight="1">
      <x:c r="A629" s="13" t="str">
        <x:v>QA-MAT-173</x:v>
      </x:c>
      <x:c r="B629" s="13" t="str">
        <x:v>Servicio técnico / nv / identidad E Extranjero</x:v>
      </x:c>
      <x:c r="C629" s="13" t="str">
        <x:v>Un fixture por identidad doméstica activa, comprador autorizado, factura ordinaria 01/0101 o NV 80/nv. HKA en doble durante matriz comercial.
Cliente QA-E activo; Servicio técnico habilitado; total 116; tipo nv; modo digital/demo del tenant.</x:v>
      </x:c>
      <x:c r="D629" s="13" t="str">
        <x:v>1. Abrir Servicio técnico; buscar y seleccionar cliente de identidad E
2. Crear venta nv ordinaria con P-G, serie autorizada y pago 116
3. Consultar número, cliente, moneda, total, saldo, pagos, inventario y estado fiscal</x:v>
      </x:c>
      <x:c r="E629" s="13" t="str">
        <x:v>No existe restricción comercial por identidad E contra tipo nv ni por monto. Venta única y presentación E-número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29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30" ht="68" customHeight="1">
      <x:c r="A630" s="13" t="str">
        <x:v>QA-MAT-174</x:v>
      </x:c>
      <x:c r="B630" s="13" t="str">
        <x:v>Servicio técnico / nv / identidad C Comuna</x:v>
      </x:c>
      <x:c r="C630" s="13" t="str">
        <x:v>Un fixture por identidad doméstica activa, comprador autorizado, factura ordinaria 01/0101 o NV 80/nv. HKA en doble durante matriz comercial.
Cliente QA-C activo; Servicio técnico habilitado; total 116; tipo nv; modo digital/demo del tenant.</x:v>
      </x:c>
      <x:c r="D630" s="13" t="str">
        <x:v>1. Abrir Servicio técnico; buscar y seleccionar cliente de identidad C
2. Crear venta nv ordinaria con P-G, serie autorizada y pago 116
3. Consultar número, cliente, moneda, total, saldo, pagos, inventario y estado fiscal</x:v>
      </x:c>
      <x:c r="E630" s="13" t="str">
        <x:v>No existe restricción comercial por identidad C contra tipo nv ni por monto. Venta única y presentación C-número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30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31" ht="68" customHeight="1">
      <x:c r="A631" s="13" t="str">
        <x:v>QA-MAT-175</x:v>
      </x:c>
      <x:c r="B631" s="13" t="str">
        <x:v>Servicio técnico / nv / identidad G Gubernamental</x:v>
      </x:c>
      <x:c r="C631" s="13" t="str">
        <x:v>Un fixture por identidad doméstica activa, comprador autorizado, factura ordinaria 01/0101 o NV 80/nv. HKA en doble durante matriz comercial.
Cliente QA-G activo; Servicio técnico habilitado; total 116; tipo nv; modo digital/demo del tenant.</x:v>
      </x:c>
      <x:c r="D631" s="13" t="str">
        <x:v>1. Abrir Servicio técnico; buscar y seleccionar cliente de identidad G
2. Crear venta nv ordinaria con P-G, serie autorizada y pago 116
3. Consultar número, cliente, moneda, total, saldo, pagos, inventario y estado fiscal</x:v>
      </x:c>
      <x:c r="E631" s="13" t="str">
        <x:v>No existe restricción comercial por identidad G contra tipo nv ni por monto. Venta única y presentación G-número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31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32" ht="68" customHeight="1">
      <x:c r="A632" s="13" t="str">
        <x:v>QA-MAT-176</x:v>
      </x:c>
      <x:c r="B632" s="13" t="str">
        <x:v>Servicio técnico / nv / identidad R Firma Personal</x:v>
      </x:c>
      <x:c r="C632" s="13" t="str">
        <x:v>Un fixture por identidad doméstica activa, comprador autorizado, factura ordinaria 01/0101 o NV 80/nv. HKA en doble durante matriz comercial.
Cliente QA-R activo; Servicio técnico habilitado; total 116; tipo nv; modo digital/demo del tenant.</x:v>
      </x:c>
      <x:c r="D632" s="13" t="str">
        <x:v>1. Abrir Servicio técnico; buscar y seleccionar cliente de identidad R
2. Crear venta nv ordinaria con P-G, serie autorizada y pago 116
3. Consultar número, cliente, moneda, total, saldo, pagos, inventario y estado fiscal</x:v>
      </x:c>
      <x:c r="E632" s="13" t="str">
        <x:v>No existe restricción comercial por identidad R contra tipo nv ni por monto. Venta única y presentación R-número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32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33" ht="68" customHeight="1">
      <x:c r="A633" s="13" t="str">
        <x:v>QA-MAT-177</x:v>
      </x:c>
      <x:c r="B633" s="13" t="str">
        <x:v>WhatsApp Bot / 01 / identidad 0 Doc.sin.rif</x:v>
      </x:c>
      <x:c r="C633" s="13" t="str">
        <x:v>Un fixture por identidad doméstica activa, comprador autorizado, factura ordinaria 01/0101 o NV 80/nv. HKA en doble durante matriz comercial.
Cliente QA-0 activo; WhatsApp Bot habilitado; total 116; tipo 01; modo digital/demo del tenant.</x:v>
      </x:c>
      <x:c r="D633" s="13" t="str">
        <x:v>1. Abrir WhatsApp Bot; buscar y seleccionar cliente de identidad 0
2. Crear venta 01 ordinaria con P-G, serie autorizada y pago 116
3. Consultar número, cliente, moneda, total, saldo, pagos, inventario y estado fiscal</x:v>
      </x:c>
      <x:c r="E633" s="13" t="str">
        <x:v>No existe restricción comercial por identidad 0 contra tipo 01 ni por monto. Venta única y presentación sin prefijo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33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34" ht="68" customHeight="1">
      <x:c r="A634" s="13" t="str">
        <x:v>QA-MAT-178</x:v>
      </x:c>
      <x:c r="B634" s="13" t="str">
        <x:v>WhatsApp Bot / 01 / identidad 1 Venezolano</x:v>
      </x:c>
      <x:c r="C634" s="13" t="str">
        <x:v>Un fixture por identidad doméstica activa, comprador autorizado, factura ordinaria 01/0101 o NV 80/nv. HKA en doble durante matriz comercial.
Cliente QA-1 activo; WhatsApp Bot habilitado; total 116; tipo 01; modo digital/demo del tenant.</x:v>
      </x:c>
      <x:c r="D634" s="13" t="str">
        <x:v>1. Abrir WhatsApp Bot; buscar y seleccionar cliente de identidad 1
2. Crear venta 01 ordinaria con P-G, serie autorizada y pago 116
3. Consultar número, cliente, moneda, total, saldo, pagos, inventario y estado fiscal</x:v>
      </x:c>
      <x:c r="E634" s="13" t="str">
        <x:v>No existe restricción comercial por identidad 1 contra tipo 01 ni por monto. Venta única y presentación V-número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34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35" ht="68" customHeight="1">
      <x:c r="A635" s="13" t="str">
        <x:v>QA-MAT-179</x:v>
      </x:c>
      <x:c r="B635" s="13" t="str">
        <x:v>WhatsApp Bot / 01 / identidad 6 Juridico</x:v>
      </x:c>
      <x:c r="C635" s="13" t="str">
        <x:v>Un fixture por identidad doméstica activa, comprador autorizado, factura ordinaria 01/0101 o NV 80/nv. HKA en doble durante matriz comercial.
Cliente QA-6 activo; WhatsApp Bot habilitado; total 116; tipo 01; modo digital/demo del tenant.</x:v>
      </x:c>
      <x:c r="D635" s="13" t="str">
        <x:v>1. Abrir WhatsApp Bot; buscar y seleccionar cliente de identidad 6
2. Crear venta 01 ordinaria con P-G, serie autorizada y pago 116
3. Consultar número, cliente, moneda, total, saldo, pagos, inventario y estado fiscal</x:v>
      </x:c>
      <x:c r="E635" s="13" t="str">
        <x:v>No existe restricción comercial por identidad 6 contra tipo 01 ni por monto. Venta única y presentación J-número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35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36" ht="68" customHeight="1">
      <x:c r="A636" s="13" t="str">
        <x:v>QA-MAT-180</x:v>
      </x:c>
      <x:c r="B636" s="13" t="str">
        <x:v>WhatsApp Bot / 01 / identidad 7 Pasaporte</x:v>
      </x:c>
      <x:c r="C636" s="13" t="str">
        <x:v>Un fixture por identidad doméstica activa, comprador autorizado, factura ordinaria 01/0101 o NV 80/nv. HKA en doble durante matriz comercial.
Cliente QA-7 activo; WhatsApp Bot habilitado; total 116; tipo 01; modo digital/demo del tenant.</x:v>
      </x:c>
      <x:c r="D636" s="13" t="str">
        <x:v>1. Abrir WhatsApp Bot; buscar y seleccionar cliente de identidad 7
2. Crear venta 01 ordinaria con P-G, serie autorizada y pago 116
3. Consultar número, cliente, moneda, total, saldo, pagos, inventario y estado fiscal</x:v>
      </x:c>
      <x:c r="E636" s="13" t="str">
        <x:v>No existe restricción comercial por identidad 7 contra tipo 01 ni por monto. Venta única y presentación P-número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36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37" ht="68" customHeight="1">
      <x:c r="A637" s="13" t="str">
        <x:v>QA-MAT-181</x:v>
      </x:c>
      <x:c r="B637" s="13" t="str">
        <x:v>WhatsApp Bot / 01 / identidad E Extranjero</x:v>
      </x:c>
      <x:c r="C637" s="13" t="str">
        <x:v>Un fixture por identidad doméstica activa, comprador autorizado, factura ordinaria 01/0101 o NV 80/nv. HKA en doble durante matriz comercial.
Cliente QA-E activo; WhatsApp Bot habilitado; total 116; tipo 01; modo digital/demo del tenant.</x:v>
      </x:c>
      <x:c r="D637" s="13" t="str">
        <x:v>1. Abrir WhatsApp Bot; buscar y seleccionar cliente de identidad E
2. Crear venta 01 ordinaria con P-G, serie autorizada y pago 116
3. Consultar número, cliente, moneda, total, saldo, pagos, inventario y estado fiscal</x:v>
      </x:c>
      <x:c r="E637" s="13" t="str">
        <x:v>No existe restricción comercial por identidad E contra tipo 01 ni por monto. Venta única y presentación E-número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37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38" ht="68" customHeight="1">
      <x:c r="A638" s="13" t="str">
        <x:v>QA-MAT-182</x:v>
      </x:c>
      <x:c r="B638" s="13" t="str">
        <x:v>WhatsApp Bot / 01 / identidad C Comuna</x:v>
      </x:c>
      <x:c r="C638" s="13" t="str">
        <x:v>Un fixture por identidad doméstica activa, comprador autorizado, factura ordinaria 01/0101 o NV 80/nv. HKA en doble durante matriz comercial.
Cliente QA-C activo; WhatsApp Bot habilitado; total 116; tipo 01; modo digital/demo del tenant.</x:v>
      </x:c>
      <x:c r="D638" s="13" t="str">
        <x:v>1. Abrir WhatsApp Bot; buscar y seleccionar cliente de identidad C
2. Crear venta 01 ordinaria con P-G, serie autorizada y pago 116
3. Consultar número, cliente, moneda, total, saldo, pagos, inventario y estado fiscal</x:v>
      </x:c>
      <x:c r="E638" s="13" t="str">
        <x:v>No existe restricción comercial por identidad C contra tipo 01 ni por monto. Venta única y presentación C-número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38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39" ht="68" customHeight="1">
      <x:c r="A639" s="13" t="str">
        <x:v>QA-MAT-183</x:v>
      </x:c>
      <x:c r="B639" s="13" t="str">
        <x:v>WhatsApp Bot / 01 / identidad G Gubernamental</x:v>
      </x:c>
      <x:c r="C639" s="13" t="str">
        <x:v>Un fixture por identidad doméstica activa, comprador autorizado, factura ordinaria 01/0101 o NV 80/nv. HKA en doble durante matriz comercial.
Cliente QA-G activo; WhatsApp Bot habilitado; total 116; tipo 01; modo digital/demo del tenant.</x:v>
      </x:c>
      <x:c r="D639" s="13" t="str">
        <x:v>1. Abrir WhatsApp Bot; buscar y seleccionar cliente de identidad G
2. Crear venta 01 ordinaria con P-G, serie autorizada y pago 116
3. Consultar número, cliente, moneda, total, saldo, pagos, inventario y estado fiscal</x:v>
      </x:c>
      <x:c r="E639" s="13" t="str">
        <x:v>No existe restricción comercial por identidad G contra tipo 01 ni por monto. Venta única y presentación G-número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39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40" ht="68" customHeight="1">
      <x:c r="A640" s="13" t="str">
        <x:v>QA-MAT-184</x:v>
      </x:c>
      <x:c r="B640" s="13" t="str">
        <x:v>WhatsApp Bot / 01 / identidad R Firma Personal</x:v>
      </x:c>
      <x:c r="C640" s="13" t="str">
        <x:v>Un fixture por identidad doméstica activa, comprador autorizado, factura ordinaria 01/0101 o NV 80/nv. HKA en doble durante matriz comercial.
Cliente QA-R activo; WhatsApp Bot habilitado; total 116; tipo 01; modo digital/demo del tenant.</x:v>
      </x:c>
      <x:c r="D640" s="13" t="str">
        <x:v>1. Abrir WhatsApp Bot; buscar y seleccionar cliente de identidad R
2. Crear venta 01 ordinaria con P-G, serie autorizada y pago 116
3. Consultar número, cliente, moneda, total, saldo, pagos, inventario y estado fiscal</x:v>
      </x:c>
      <x:c r="E640" s="13" t="str">
        <x:v>No existe restricción comercial por identidad R contra tipo 01 ni por monto. Venta única y presentación R-número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40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41" ht="68" customHeight="1">
      <x:c r="A641" s="13" t="str">
        <x:v>QA-MAT-185</x:v>
      </x:c>
      <x:c r="B641" s="13" t="str">
        <x:v>WhatsApp Bot / 80 / identidad 0 Doc.sin.rif</x:v>
      </x:c>
      <x:c r="C641" s="13" t="str">
        <x:v>Un fixture por identidad doméstica activa, comprador autorizado, factura ordinaria 01/0101 o NV 80/nv. HKA en doble durante matriz comercial.
Cliente QA-0 activo; WhatsApp Bot habilitado; total 116; tipo 80; modo digital/demo del tenant.</x:v>
      </x:c>
      <x:c r="D641" s="13" t="str">
        <x:v>1. Abrir WhatsApp Bot; buscar y seleccionar cliente de identidad 0
2. Crear venta 80 ordinaria con P-G, serie autorizada y pago 116
3. Consultar número, cliente, moneda, total, saldo, pagos, inventario y estado fiscal</x:v>
      </x:c>
      <x:c r="E641" s="13" t="str">
        <x:v>No existe restricción comercial por identidad 0 contra tipo 80 ni por monto. Venta única y presentación sin prefijo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41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42" ht="68" customHeight="1">
      <x:c r="A642" s="13" t="str">
        <x:v>QA-MAT-186</x:v>
      </x:c>
      <x:c r="B642" s="13" t="str">
        <x:v>WhatsApp Bot / 80 / identidad 1 Venezolano</x:v>
      </x:c>
      <x:c r="C642" s="13" t="str">
        <x:v>Un fixture por identidad doméstica activa, comprador autorizado, factura ordinaria 01/0101 o NV 80/nv. HKA en doble durante matriz comercial.
Cliente QA-1 activo; WhatsApp Bot habilitado; total 116; tipo 80; modo digital/demo del tenant.</x:v>
      </x:c>
      <x:c r="D642" s="13" t="str">
        <x:v>1. Abrir WhatsApp Bot; buscar y seleccionar cliente de identidad 1
2. Crear venta 80 ordinaria con P-G, serie autorizada y pago 116
3. Consultar número, cliente, moneda, total, saldo, pagos, inventario y estado fiscal</x:v>
      </x:c>
      <x:c r="E642" s="13" t="str">
        <x:v>No existe restricción comercial por identidad 1 contra tipo 80 ni por monto. Venta única y presentación V-número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42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43" ht="68" customHeight="1">
      <x:c r="A643" s="13" t="str">
        <x:v>QA-MAT-187</x:v>
      </x:c>
      <x:c r="B643" s="13" t="str">
        <x:v>WhatsApp Bot / 80 / identidad 6 Juridico</x:v>
      </x:c>
      <x:c r="C643" s="13" t="str">
        <x:v>Un fixture por identidad doméstica activa, comprador autorizado, factura ordinaria 01/0101 o NV 80/nv. HKA en doble durante matriz comercial.
Cliente QA-6 activo; WhatsApp Bot habilitado; total 116; tipo 80; modo digital/demo del tenant.</x:v>
      </x:c>
      <x:c r="D643" s="13" t="str">
        <x:v>1. Abrir WhatsApp Bot; buscar y seleccionar cliente de identidad 6
2. Crear venta 80 ordinaria con P-G, serie autorizada y pago 116
3. Consultar número, cliente, moneda, total, saldo, pagos, inventario y estado fiscal</x:v>
      </x:c>
      <x:c r="E643" s="13" t="str">
        <x:v>No existe restricción comercial por identidad 6 contra tipo 80 ni por monto. Venta única y presentación J-número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43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44" ht="68" customHeight="1">
      <x:c r="A644" s="13" t="str">
        <x:v>QA-MAT-188</x:v>
      </x:c>
      <x:c r="B644" s="13" t="str">
        <x:v>WhatsApp Bot / 80 / identidad 7 Pasaporte</x:v>
      </x:c>
      <x:c r="C644" s="13" t="str">
        <x:v>Un fixture por identidad doméstica activa, comprador autorizado, factura ordinaria 01/0101 o NV 80/nv. HKA en doble durante matriz comercial.
Cliente QA-7 activo; WhatsApp Bot habilitado; total 116; tipo 80; modo digital/demo del tenant.</x:v>
      </x:c>
      <x:c r="D644" s="13" t="str">
        <x:v>1. Abrir WhatsApp Bot; buscar y seleccionar cliente de identidad 7
2. Crear venta 80 ordinaria con P-G, serie autorizada y pago 116
3. Consultar número, cliente, moneda, total, saldo, pagos, inventario y estado fiscal</x:v>
      </x:c>
      <x:c r="E644" s="13" t="str">
        <x:v>No existe restricción comercial por identidad 7 contra tipo 80 ni por monto. Venta única y presentación P-número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44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45" ht="68" customHeight="1">
      <x:c r="A645" s="13" t="str">
        <x:v>QA-MAT-189</x:v>
      </x:c>
      <x:c r="B645" s="13" t="str">
        <x:v>WhatsApp Bot / 80 / identidad E Extranjero</x:v>
      </x:c>
      <x:c r="C645" s="13" t="str">
        <x:v>Un fixture por identidad doméstica activa, comprador autorizado, factura ordinaria 01/0101 o NV 80/nv. HKA en doble durante matriz comercial.
Cliente QA-E activo; WhatsApp Bot habilitado; total 116; tipo 80; modo digital/demo del tenant.</x:v>
      </x:c>
      <x:c r="D645" s="13" t="str">
        <x:v>1. Abrir WhatsApp Bot; buscar y seleccionar cliente de identidad E
2. Crear venta 80 ordinaria con P-G, serie autorizada y pago 116
3. Consultar número, cliente, moneda, total, saldo, pagos, inventario y estado fiscal</x:v>
      </x:c>
      <x:c r="E645" s="13" t="str">
        <x:v>No existe restricción comercial por identidad E contra tipo 80 ni por monto. Venta única y presentación E-número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45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46" ht="68" customHeight="1">
      <x:c r="A646" s="13" t="str">
        <x:v>QA-MAT-190</x:v>
      </x:c>
      <x:c r="B646" s="13" t="str">
        <x:v>WhatsApp Bot / 80 / identidad C Comuna</x:v>
      </x:c>
      <x:c r="C646" s="13" t="str">
        <x:v>Un fixture por identidad doméstica activa, comprador autorizado, factura ordinaria 01/0101 o NV 80/nv. HKA en doble durante matriz comercial.
Cliente QA-C activo; WhatsApp Bot habilitado; total 116; tipo 80; modo digital/demo del tenant.</x:v>
      </x:c>
      <x:c r="D646" s="13" t="str">
        <x:v>1. Abrir WhatsApp Bot; buscar y seleccionar cliente de identidad C
2. Crear venta 80 ordinaria con P-G, serie autorizada y pago 116
3. Consultar número, cliente, moneda, total, saldo, pagos, inventario y estado fiscal</x:v>
      </x:c>
      <x:c r="E646" s="13" t="str">
        <x:v>No existe restricción comercial por identidad C contra tipo 80 ni por monto. Venta única y presentación C-número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46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47" ht="68" customHeight="1">
      <x:c r="A647" s="13" t="str">
        <x:v>QA-MAT-191</x:v>
      </x:c>
      <x:c r="B647" s="13" t="str">
        <x:v>WhatsApp Bot / 80 / identidad G Gubernamental</x:v>
      </x:c>
      <x:c r="C647" s="13" t="str">
        <x:v>Un fixture por identidad doméstica activa, comprador autorizado, factura ordinaria 01/0101 o NV 80/nv. HKA en doble durante matriz comercial.
Cliente QA-G activo; WhatsApp Bot habilitado; total 116; tipo 80; modo digital/demo del tenant.</x:v>
      </x:c>
      <x:c r="D647" s="13" t="str">
        <x:v>1. Abrir WhatsApp Bot; buscar y seleccionar cliente de identidad G
2. Crear venta 80 ordinaria con P-G, serie autorizada y pago 116
3. Consultar número, cliente, moneda, total, saldo, pagos, inventario y estado fiscal</x:v>
      </x:c>
      <x:c r="E647" s="13" t="str">
        <x:v>No existe restricción comercial por identidad G contra tipo 80 ni por monto. Venta única y presentación G-número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47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48" ht="68" customHeight="1">
      <x:c r="A648" s="13" t="str">
        <x:v>QA-MAT-192</x:v>
      </x:c>
      <x:c r="B648" s="13" t="str">
        <x:v>WhatsApp Bot / 80 / identidad R Firma Personal</x:v>
      </x:c>
      <x:c r="C648" s="13" t="str">
        <x:v>Un fixture por identidad doméstica activa, comprador autorizado, factura ordinaria 01/0101 o NV 80/nv. HKA en doble durante matriz comercial.
Cliente QA-R activo; WhatsApp Bot habilitado; total 116; tipo 80; modo digital/demo del tenant.</x:v>
      </x:c>
      <x:c r="D648" s="13" t="str">
        <x:v>1. Abrir WhatsApp Bot; buscar y seleccionar cliente de identidad R
2. Crear venta 80 ordinaria con P-G, serie autorizada y pago 116
3. Consultar número, cliente, moneda, total, saldo, pagos, inventario y estado fiscal</x:v>
      </x:c>
      <x:c r="E648" s="13" t="str">
        <x:v>No existe restricción comercial por identidad R contra tipo 80 ni por monto. Venta única y presentación R-número correcta. Para 01, verificar resultado HKA aparte: equivalencia/aceptación remota no se presume de elegibilidad local. Para NV, no emitir como Factura. Si capacidad del canal contradice el contrato, reportar defecto o exclusión sustentada, nunca marcar Aprobó por omitirlo.</x:v>
      </x:c>
      <x:c r="F648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49" ht="68" customHeight="1">
      <x:c r="A649" s="13" t="str">
        <x:v>QA-MAT-193</x:v>
      </x:c>
      <x:c r="B649" s="13" t="str">
        <x:v>Notas web / 07 / identidad 0 Doc.sin.rif</x:v>
      </x:c>
      <x:c r="C649" s="13" t="str">
        <x:v>Un fixture por identidad doméstica activa, comprador autorizado, factura ordinaria 01/0101 o NV 80/nv. HKA en doble durante matriz comercial.
Factura 01 ordinaria vigente con comprador QA-0; tipo de identidad activo; mismo sucursal/moneda/ambiente.</x:v>
      </x:c>
      <x:c r="D649" s="13" t="str">
        <x:v>1. Abrir Nota de la factura y escoger tipo 07
2. Elegir motivo vigente y ajuste válido con descripción
3. Guardar; revisar identidad/referencia/saldo/stock e intentar sólo preparación local si referencia tiene control</x:v>
      </x:c>
      <x:c r="E649" s="13" t="str">
        <x:v>Identidad 0 no bloquea comercialmente nota 07; ajustes/referencia vigentes. Preparación requiere equivalencias/control real; no acreditar emisión HKA real de notas. No cambiar comprador por uno jurídico para obtener éxito.</x:v>
      </x:c>
      <x:c r="F649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50" ht="68" customHeight="1">
      <x:c r="A650" s="13" t="str">
        <x:v>QA-MAT-194</x:v>
      </x:c>
      <x:c r="B650" s="13" t="str">
        <x:v>Notas web / 07 / identidad 1 Venezolano</x:v>
      </x:c>
      <x:c r="C650" s="13" t="str">
        <x:v>Un fixture por identidad doméstica activa, comprador autorizado, factura ordinaria 01/0101 o NV 80/nv. HKA en doble durante matriz comercial.
Factura 01 ordinaria vigente con comprador QA-1; tipo de identidad activo; mismo sucursal/moneda/ambiente.</x:v>
      </x:c>
      <x:c r="D650" s="13" t="str">
        <x:v>1. Abrir Nota de la factura y escoger tipo 07
2. Elegir motivo vigente y ajuste válido con descripción
3. Guardar; revisar identidad/referencia/saldo/stock e intentar sólo preparación local si referencia tiene control</x:v>
      </x:c>
      <x:c r="E650" s="13" t="str">
        <x:v>Identidad 1 no bloquea comercialmente nota 07; ajustes/referencia vigentes. Preparación requiere equivalencias/control real; no acreditar emisión HKA real de notas. No cambiar comprador por uno jurídico para obtener éxito.</x:v>
      </x:c>
      <x:c r="F650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51" ht="68" customHeight="1">
      <x:c r="A651" s="13" t="str">
        <x:v>QA-MAT-195</x:v>
      </x:c>
      <x:c r="B651" s="13" t="str">
        <x:v>Notas web / 07 / identidad 6 Juridico</x:v>
      </x:c>
      <x:c r="C651" s="13" t="str">
        <x:v>Un fixture por identidad doméstica activa, comprador autorizado, factura ordinaria 01/0101 o NV 80/nv. HKA en doble durante matriz comercial.
Factura 01 ordinaria vigente con comprador QA-6; tipo de identidad activo; mismo sucursal/moneda/ambiente.</x:v>
      </x:c>
      <x:c r="D651" s="13" t="str">
        <x:v>1. Abrir Nota de la factura y escoger tipo 07
2. Elegir motivo vigente y ajuste válido con descripción
3. Guardar; revisar identidad/referencia/saldo/stock e intentar sólo preparación local si referencia tiene control</x:v>
      </x:c>
      <x:c r="E651" s="13" t="str">
        <x:v>Identidad 6 no bloquea comercialmente nota 07; ajustes/referencia vigentes. Preparación requiere equivalencias/control real; no acreditar emisión HKA real de notas. No cambiar comprador por uno jurídico para obtener éxito.</x:v>
      </x:c>
      <x:c r="F651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52" ht="68" customHeight="1">
      <x:c r="A652" s="13" t="str">
        <x:v>QA-MAT-196</x:v>
      </x:c>
      <x:c r="B652" s="13" t="str">
        <x:v>Notas web / 07 / identidad 7 Pasaporte</x:v>
      </x:c>
      <x:c r="C652" s="13" t="str">
        <x:v>Un fixture por identidad doméstica activa, comprador autorizado, factura ordinaria 01/0101 o NV 80/nv. HKA en doble durante matriz comercial.
Factura 01 ordinaria vigente con comprador QA-7; tipo de identidad activo; mismo sucursal/moneda/ambiente.</x:v>
      </x:c>
      <x:c r="D652" s="13" t="str">
        <x:v>1. Abrir Nota de la factura y escoger tipo 07
2. Elegir motivo vigente y ajuste válido con descripción
3. Guardar; revisar identidad/referencia/saldo/stock e intentar sólo preparación local si referencia tiene control</x:v>
      </x:c>
      <x:c r="E652" s="13" t="str">
        <x:v>Identidad 7 no bloquea comercialmente nota 07; ajustes/referencia vigentes. Preparación requiere equivalencias/control real; no acreditar emisión HKA real de notas. No cambiar comprador por uno jurídico para obtener éxito.</x:v>
      </x:c>
      <x:c r="F652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53" ht="68" customHeight="1">
      <x:c r="A653" s="13" t="str">
        <x:v>QA-MAT-197</x:v>
      </x:c>
      <x:c r="B653" s="13" t="str">
        <x:v>Notas web / 07 / identidad E Extranjero</x:v>
      </x:c>
      <x:c r="C653" s="13" t="str">
        <x:v>Un fixture por identidad doméstica activa, comprador autorizado, factura ordinaria 01/0101 o NV 80/nv. HKA en doble durante matriz comercial.
Factura 01 ordinaria vigente con comprador QA-E; tipo de identidad activo; mismo sucursal/moneda/ambiente.</x:v>
      </x:c>
      <x:c r="D653" s="13" t="str">
        <x:v>1. Abrir Nota de la factura y escoger tipo 07
2. Elegir motivo vigente y ajuste válido con descripción
3. Guardar; revisar identidad/referencia/saldo/stock e intentar sólo preparación local si referencia tiene control</x:v>
      </x:c>
      <x:c r="E653" s="13" t="str">
        <x:v>Identidad E no bloquea comercialmente nota 07; ajustes/referencia vigentes. Preparación requiere equivalencias/control real; no acreditar emisión HKA real de notas. No cambiar comprador por uno jurídico para obtener éxito.</x:v>
      </x:c>
      <x:c r="F653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54" ht="68" customHeight="1">
      <x:c r="A654" s="13" t="str">
        <x:v>QA-MAT-198</x:v>
      </x:c>
      <x:c r="B654" s="13" t="str">
        <x:v>Notas web / 07 / identidad C Comuna</x:v>
      </x:c>
      <x:c r="C654" s="13" t="str">
        <x:v>Un fixture por identidad doméstica activa, comprador autorizado, factura ordinaria 01/0101 o NV 80/nv. HKA en doble durante matriz comercial.
Factura 01 ordinaria vigente con comprador QA-C; tipo de identidad activo; mismo sucursal/moneda/ambiente.</x:v>
      </x:c>
      <x:c r="D654" s="13" t="str">
        <x:v>1. Abrir Nota de la factura y escoger tipo 07
2. Elegir motivo vigente y ajuste válido con descripción
3. Guardar; revisar identidad/referencia/saldo/stock e intentar sólo preparación local si referencia tiene control</x:v>
      </x:c>
      <x:c r="E654" s="13" t="str">
        <x:v>Identidad C no bloquea comercialmente nota 07; ajustes/referencia vigentes. Preparación requiere equivalencias/control real; no acreditar emisión HKA real de notas. No cambiar comprador por uno jurídico para obtener éxito.</x:v>
      </x:c>
      <x:c r="F654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55" ht="68" customHeight="1">
      <x:c r="A655" s="13" t="str">
        <x:v>QA-MAT-199</x:v>
      </x:c>
      <x:c r="B655" s="13" t="str">
        <x:v>Notas web / 07 / identidad G Gubernamental</x:v>
      </x:c>
      <x:c r="C655" s="13" t="str">
        <x:v>Un fixture por identidad doméstica activa, comprador autorizado, factura ordinaria 01/0101 o NV 80/nv. HKA en doble durante matriz comercial.
Factura 01 ordinaria vigente con comprador QA-G; tipo de identidad activo; mismo sucursal/moneda/ambiente.</x:v>
      </x:c>
      <x:c r="D655" s="13" t="str">
        <x:v>1. Abrir Nota de la factura y escoger tipo 07
2. Elegir motivo vigente y ajuste válido con descripción
3. Guardar; revisar identidad/referencia/saldo/stock e intentar sólo preparación local si referencia tiene control</x:v>
      </x:c>
      <x:c r="E655" s="13" t="str">
        <x:v>Identidad G no bloquea comercialmente nota 07; ajustes/referencia vigentes. Preparación requiere equivalencias/control real; no acreditar emisión HKA real de notas. No cambiar comprador por uno jurídico para obtener éxito.</x:v>
      </x:c>
      <x:c r="F655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56" ht="68" customHeight="1">
      <x:c r="A656" s="13" t="str">
        <x:v>QA-MAT-200</x:v>
      </x:c>
      <x:c r="B656" s="13" t="str">
        <x:v>Notas web / 07 / identidad R Firma Personal</x:v>
      </x:c>
      <x:c r="C656" s="13" t="str">
        <x:v>Un fixture por identidad doméstica activa, comprador autorizado, factura ordinaria 01/0101 o NV 80/nv. HKA en doble durante matriz comercial.
Factura 01 ordinaria vigente con comprador QA-R; tipo de identidad activo; mismo sucursal/moneda/ambiente.</x:v>
      </x:c>
      <x:c r="D656" s="13" t="str">
        <x:v>1. Abrir Nota de la factura y escoger tipo 07
2. Elegir motivo vigente y ajuste válido con descripción
3. Guardar; revisar identidad/referencia/saldo/stock e intentar sólo preparación local si referencia tiene control</x:v>
      </x:c>
      <x:c r="E656" s="13" t="str">
        <x:v>Identidad R no bloquea comercialmente nota 07; ajustes/referencia vigentes. Preparación requiere equivalencias/control real; no acreditar emisión HKA real de notas. No cambiar comprador por uno jurídico para obtener éxito.</x:v>
      </x:c>
      <x:c r="F656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57" ht="68" customHeight="1">
      <x:c r="A657" s="13" t="str">
        <x:v>QA-MAT-201</x:v>
      </x:c>
      <x:c r="B657" s="13" t="str">
        <x:v>Notas web / 08 / identidad 0 Doc.sin.rif</x:v>
      </x:c>
      <x:c r="C657" s="13" t="str">
        <x:v>Un fixture por identidad doméstica activa, comprador autorizado, factura ordinaria 01/0101 o NV 80/nv. HKA en doble durante matriz comercial.
Factura 01 ordinaria vigente con comprador QA-0; tipo de identidad activo; mismo sucursal/moneda/ambiente.</x:v>
      </x:c>
      <x:c r="D657" s="13" t="str">
        <x:v>1. Abrir Nota de la factura y escoger tipo 08
2. Elegir motivo vigente y ajuste válido con descripción
3. Guardar; revisar identidad/referencia/saldo/stock e intentar sólo preparación local si referencia tiene control</x:v>
      </x:c>
      <x:c r="E657" s="13" t="str">
        <x:v>Identidad 0 no bloquea comercialmente nota 08; ajustes/referencia vigentes. Preparación requiere equivalencias/control real; no acreditar emisión HKA real de notas. No cambiar comprador por uno jurídico para obtener éxito.</x:v>
      </x:c>
      <x:c r="F657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58" ht="68" customHeight="1">
      <x:c r="A658" s="13" t="str">
        <x:v>QA-MAT-202</x:v>
      </x:c>
      <x:c r="B658" s="13" t="str">
        <x:v>Notas web / 08 / identidad 1 Venezolano</x:v>
      </x:c>
      <x:c r="C658" s="13" t="str">
        <x:v>Un fixture por identidad doméstica activa, comprador autorizado, factura ordinaria 01/0101 o NV 80/nv. HKA en doble durante matriz comercial.
Factura 01 ordinaria vigente con comprador QA-1; tipo de identidad activo; mismo sucursal/moneda/ambiente.</x:v>
      </x:c>
      <x:c r="D658" s="13" t="str">
        <x:v>1. Abrir Nota de la factura y escoger tipo 08
2. Elegir motivo vigente y ajuste válido con descripción
3. Guardar; revisar identidad/referencia/saldo/stock e intentar sólo preparación local si referencia tiene control</x:v>
      </x:c>
      <x:c r="E658" s="13" t="str">
        <x:v>Identidad 1 no bloquea comercialmente nota 08; ajustes/referencia vigentes. Preparación requiere equivalencias/control real; no acreditar emisión HKA real de notas. No cambiar comprador por uno jurídico para obtener éxito.</x:v>
      </x:c>
      <x:c r="F658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59" ht="68" customHeight="1">
      <x:c r="A659" s="13" t="str">
        <x:v>QA-MAT-203</x:v>
      </x:c>
      <x:c r="B659" s="13" t="str">
        <x:v>Notas web / 08 / identidad 6 Juridico</x:v>
      </x:c>
      <x:c r="C659" s="13" t="str">
        <x:v>Un fixture por identidad doméstica activa, comprador autorizado, factura ordinaria 01/0101 o NV 80/nv. HKA en doble durante matriz comercial.
Factura 01 ordinaria vigente con comprador QA-6; tipo de identidad activo; mismo sucursal/moneda/ambiente.</x:v>
      </x:c>
      <x:c r="D659" s="13" t="str">
        <x:v>1. Abrir Nota de la factura y escoger tipo 08
2. Elegir motivo vigente y ajuste válido con descripción
3. Guardar; revisar identidad/referencia/saldo/stock e intentar sólo preparación local si referencia tiene control</x:v>
      </x:c>
      <x:c r="E659" s="13" t="str">
        <x:v>Identidad 6 no bloquea comercialmente nota 08; ajustes/referencia vigentes. Preparación requiere equivalencias/control real; no acreditar emisión HKA real de notas. No cambiar comprador por uno jurídico para obtener éxito.</x:v>
      </x:c>
      <x:c r="F659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60" ht="68" customHeight="1">
      <x:c r="A660" s="13" t="str">
        <x:v>QA-MAT-204</x:v>
      </x:c>
      <x:c r="B660" s="13" t="str">
        <x:v>Notas web / 08 / identidad 7 Pasaporte</x:v>
      </x:c>
      <x:c r="C660" s="13" t="str">
        <x:v>Un fixture por identidad doméstica activa, comprador autorizado, factura ordinaria 01/0101 o NV 80/nv. HKA en doble durante matriz comercial.
Factura 01 ordinaria vigente con comprador QA-7; tipo de identidad activo; mismo sucursal/moneda/ambiente.</x:v>
      </x:c>
      <x:c r="D660" s="13" t="str">
        <x:v>1. Abrir Nota de la factura y escoger tipo 08
2. Elegir motivo vigente y ajuste válido con descripción
3. Guardar; revisar identidad/referencia/saldo/stock e intentar sólo preparación local si referencia tiene control</x:v>
      </x:c>
      <x:c r="E660" s="13" t="str">
        <x:v>Identidad 7 no bloquea comercialmente nota 08; ajustes/referencia vigentes. Preparación requiere equivalencias/control real; no acreditar emisión HKA real de notas. No cambiar comprador por uno jurídico para obtener éxito.</x:v>
      </x:c>
      <x:c r="F660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61" ht="68" customHeight="1">
      <x:c r="A661" s="13" t="str">
        <x:v>QA-MAT-205</x:v>
      </x:c>
      <x:c r="B661" s="13" t="str">
        <x:v>Notas web / 08 / identidad E Extranjero</x:v>
      </x:c>
      <x:c r="C661" s="13" t="str">
        <x:v>Un fixture por identidad doméstica activa, comprador autorizado, factura ordinaria 01/0101 o NV 80/nv. HKA en doble durante matriz comercial.
Factura 01 ordinaria vigente con comprador QA-E; tipo de identidad activo; mismo sucursal/moneda/ambiente.</x:v>
      </x:c>
      <x:c r="D661" s="13" t="str">
        <x:v>1. Abrir Nota de la factura y escoger tipo 08
2. Elegir motivo vigente y ajuste válido con descripción
3. Guardar; revisar identidad/referencia/saldo/stock e intentar sólo preparación local si referencia tiene control</x:v>
      </x:c>
      <x:c r="E661" s="13" t="str">
        <x:v>Identidad E no bloquea comercialmente nota 08; ajustes/referencia vigentes. Preparación requiere equivalencias/control real; no acreditar emisión HKA real de notas. No cambiar comprador por uno jurídico para obtener éxito.</x:v>
      </x:c>
      <x:c r="F661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62" ht="68" customHeight="1">
      <x:c r="A662" s="13" t="str">
        <x:v>QA-MAT-206</x:v>
      </x:c>
      <x:c r="B662" s="13" t="str">
        <x:v>Notas web / 08 / identidad C Comuna</x:v>
      </x:c>
      <x:c r="C662" s="13" t="str">
        <x:v>Un fixture por identidad doméstica activa, comprador autorizado, factura ordinaria 01/0101 o NV 80/nv. HKA en doble durante matriz comercial.
Factura 01 ordinaria vigente con comprador QA-C; tipo de identidad activo; mismo sucursal/moneda/ambiente.</x:v>
      </x:c>
      <x:c r="D662" s="13" t="str">
        <x:v>1. Abrir Nota de la factura y escoger tipo 08
2. Elegir motivo vigente y ajuste válido con descripción
3. Guardar; revisar identidad/referencia/saldo/stock e intentar sólo preparación local si referencia tiene control</x:v>
      </x:c>
      <x:c r="E662" s="13" t="str">
        <x:v>Identidad C no bloquea comercialmente nota 08; ajustes/referencia vigentes. Preparación requiere equivalencias/control real; no acreditar emisión HKA real de notas. No cambiar comprador por uno jurídico para obtener éxito.</x:v>
      </x:c>
      <x:c r="F662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63" ht="68" customHeight="1">
      <x:c r="A663" s="13" t="str">
        <x:v>QA-MAT-207</x:v>
      </x:c>
      <x:c r="B663" s="13" t="str">
        <x:v>Notas web / 08 / identidad G Gubernamental</x:v>
      </x:c>
      <x:c r="C663" s="13" t="str">
        <x:v>Un fixture por identidad doméstica activa, comprador autorizado, factura ordinaria 01/0101 o NV 80/nv. HKA en doble durante matriz comercial.
Factura 01 ordinaria vigente con comprador QA-G; tipo de identidad activo; mismo sucursal/moneda/ambiente.</x:v>
      </x:c>
      <x:c r="D663" s="13" t="str">
        <x:v>1. Abrir Nota de la factura y escoger tipo 08
2. Elegir motivo vigente y ajuste válido con descripción
3. Guardar; revisar identidad/referencia/saldo/stock e intentar sólo preparación local si referencia tiene control</x:v>
      </x:c>
      <x:c r="E663" s="13" t="str">
        <x:v>Identidad G no bloquea comercialmente nota 08; ajustes/referencia vigentes. Preparación requiere equivalencias/control real; no acreditar emisión HKA real de notas. No cambiar comprador por uno jurídico para obtener éxito.</x:v>
      </x:c>
      <x:c r="F663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64" ht="68" customHeight="1">
      <x:c r="A664" s="13" t="str">
        <x:v>QA-MAT-208</x:v>
      </x:c>
      <x:c r="B664" s="13" t="str">
        <x:v>Notas web / 08 / identidad R Firma Personal</x:v>
      </x:c>
      <x:c r="C664" s="13" t="str">
        <x:v>Un fixture por identidad doméstica activa, comprador autorizado, factura ordinaria 01/0101 o NV 80/nv. HKA en doble durante matriz comercial.
Factura 01 ordinaria vigente con comprador QA-R; tipo de identidad activo; mismo sucursal/moneda/ambiente.</x:v>
      </x:c>
      <x:c r="D664" s="13" t="str">
        <x:v>1. Abrir Nota de la factura y escoger tipo 08
2. Elegir motivo vigente y ajuste válido con descripción
3. Guardar; revisar identidad/referencia/saldo/stock e intentar sólo preparación local si referencia tiene control</x:v>
      </x:c>
      <x:c r="E664" s="13" t="str">
        <x:v>Identidad R no bloquea comercialmente nota 08; ajustes/referencia vigentes. Preparación requiere equivalencias/control real; no acreditar emisión HKA real de notas. No cambiar comprador por uno jurídico para obtener éxito.</x:v>
      </x:c>
      <x:c r="F664" s="13" t="str">
        <x:v>Fuentes: app/Services/SalesCustomerIdentityPolicy.php; .codex/skills/gestionar-clientes-venezuela/SKILL.md; .codex/skills/mantener-facturas-notas-venta-sin-boleta/references/contrato.md
Entrada: Flujo real de cada canal identificado en QA-ENT</x:v>
      </x:c>
    </x:row>
    <x:row r="665" ht="56" customHeight="1">
      <x:c r="A665" s="13" t="str">
        <x:v>QA-NEG-001</x:v>
      </x:c>
      <x:c r="B665" s="13" t="str">
        <x:v>Comprobantes web: rechazo de Boleta 03</x:v>
      </x:c>
      <x:c r="C665" s="13" t="str">
        <x:v>Payload válido de canal; sustituir únicamente tipo/operación; doble HKAy línea base completa.
Venta válida de Comprobantes web; identidad activa y serie autorizada.</x:v>
      </x:c>
      <x:c r="D665" s="13" t="str">
        <x:v>1. Guardar línea base de conteos/pagos/stock
2. Sustituir document_type_id por 03 y enviar por HTTP sin depender del selector
3. Leer rechazo y comparar todas las relaciones/contador HTTP</x:v>
      </x:c>
      <x:c r="E665" s="13" t="str">
        <x:v>Servidor rechaza creación 03 antes de efectos comerciales o fiscales; no mapea Boleta a Factura/NVni restringe por prefijo de serie.</x:v>
      </x:c>
      <x:c r="F665" s="13" t="str">
        <x:v>Fuentes: app/Services/SalesDocumentTypePolicy.php; app/Services/ExportInvoicePolicy.php; app/Services/ThirdPartyInvoicePolicy.php; .codex/skills/mantener-facturas-notas-venta-sin-boleta/references/contrato.md
Entrada: HTTP del creador real de cada canal y política común</x:v>
      </x:c>
    </x:row>
    <x:row r="666" ht="56" customHeight="1">
      <x:c r="A666" s="13" t="str">
        <x:v>QA-NEG-002</x:v>
      </x:c>
      <x:c r="B666" s="13" t="str">
        <x:v>POS: rechazo de Boleta 03</x:v>
      </x:c>
      <x:c r="C666" s="13" t="str">
        <x:v>Payload válido de canal; sustituir únicamente tipo/operación; doble HKAy línea base completa.
Venta válida de POS; identidad activa y serie autorizada.</x:v>
      </x:c>
      <x:c r="D666" s="13" t="str">
        <x:v>1. Guardar línea base de conteos/pagos/stock
2. Sustituir document_type_id por 03 y enviar por HTTP sin depender del selector
3. Leer rechazo y comparar todas las relaciones/contador HTTP</x:v>
      </x:c>
      <x:c r="E666" s="13" t="str">
        <x:v>Servidor rechaza creación 03 antes de efectos comerciales o fiscales; no mapea Boleta a Factura/NVni restringe por prefijo de serie.</x:v>
      </x:c>
      <x:c r="F666" s="13" t="str">
        <x:v>Fuentes: app/Services/SalesDocumentTypePolicy.php; app/Services/ExportInvoicePolicy.php; app/Services/ThirdPartyInvoicePolicy.php; .codex/skills/mantener-facturas-notas-venta-sin-boleta/references/contrato.md
Entrada: HTTP del creador real de cada canal y política común</x:v>
      </x:c>
    </x:row>
    <x:row r="667" ht="56" customHeight="1">
      <x:c r="A667" s="13" t="str">
        <x:v>QA-NEG-003</x:v>
      </x:c>
      <x:c r="B667" s="13" t="str">
        <x:v>Vende Ya / Garage: rechazo de Boleta 03</x:v>
      </x:c>
      <x:c r="C667" s="13" t="str">
        <x:v>Payload válido de canal; sustituir únicamente tipo/operación; doble HKAy línea base completa.
Venta válida de Vende Ya / Garage; identidad activa y serie autorizada.</x:v>
      </x:c>
      <x:c r="D667" s="13" t="str">
        <x:v>1. Guardar línea base de conteos/pagos/stock
2. Sustituir document_type_id por 03 y enviar por HTTP sin depender del selector
3. Leer rechazo y comparar todas las relaciones/contador HTTP</x:v>
      </x:c>
      <x:c r="E667" s="13" t="str">
        <x:v>Servidor rechaza creación 03 antes de efectos comerciales o fiscales; no mapea Boleta a Factura/NVni restringe por prefijo de serie.</x:v>
      </x:c>
      <x:c r="F667" s="13" t="str">
        <x:v>Fuentes: app/Services/SalesDocumentTypePolicy.php; app/Services/ExportInvoicePolicy.php; app/Services/ThirdPartyInvoicePolicy.php; .codex/skills/mantener-facturas-notas-venta-sin-boleta/references/contrato.md
Entrada: HTTP del creador real de cada canal y política común</x:v>
      </x:c>
    </x:row>
    <x:row r="668" ht="56" customHeight="1">
      <x:c r="A668" s="13" t="str">
        <x:v>QA-NEG-004</x:v>
      </x:c>
      <x:c r="B668" s="13" t="str">
        <x:v>Venta rápida: rechazo de Boleta 03</x:v>
      </x:c>
      <x:c r="C668" s="13" t="str">
        <x:v>Payload válido de canal; sustituir únicamente tipo/operación; doble HKAy línea base completa.
Venta válida de Venta rápida; identidad activa y serie autorizada.</x:v>
      </x:c>
      <x:c r="D668" s="13" t="str">
        <x:v>1. Guardar línea base de conteos/pagos/stock
2. Sustituir document_type_id por 03 y enviar por HTTP sin depender del selector
3. Leer rechazo y comparar todas las relaciones/contador HTTP</x:v>
      </x:c>
      <x:c r="E668" s="13" t="str">
        <x:v>Servidor rechaza creación 03 antes de efectos comerciales o fiscales; no mapea Boleta a Factura/NVni restringe por prefijo de serie.</x:v>
      </x:c>
      <x:c r="F668" s="13" t="str">
        <x:v>Fuentes: app/Services/SalesDocumentTypePolicy.php; app/Services/ExportInvoicePolicy.php; app/Services/ThirdPartyInvoicePolicy.php; .codex/skills/mantener-facturas-notas-venta-sin-boleta/references/contrato.md
Entrada: HTTP del creador real de cada canal y política común</x:v>
      </x:c>
    </x:row>
    <x:row r="669" ht="56" customHeight="1">
      <x:c r="A669" s="13" t="str">
        <x:v>QA-NEG-005</x:v>
      </x:c>
      <x:c r="B669" s="13" t="str">
        <x:v>API de venta: rechazo de Boleta 03</x:v>
      </x:c>
      <x:c r="C669" s="13" t="str">
        <x:v>Payload válido de canal; sustituir únicamente tipo/operación; doble HKAy línea base completa.
Venta válida de API de venta; identidad activa y serie autorizada.</x:v>
      </x:c>
      <x:c r="D669" s="13" t="str">
        <x:v>1. Guardar línea base de conteos/pagos/stock
2. Sustituir document_type_id por 03 y enviar por HTTP sin depender del selector
3. Leer rechazo y comparar todas las relaciones/contador HTTP</x:v>
      </x:c>
      <x:c r="E669" s="13" t="str">
        <x:v>Servidor rechaza creación 03 antes de efectos comerciales o fiscales; no mapea Boleta a Factura/NVni restringe por prefijo de serie.</x:v>
      </x:c>
      <x:c r="F669" s="13" t="str">
        <x:v>Fuentes: app/Services/SalesDocumentTypePolicy.php; app/Services/ExportInvoicePolicy.php; app/Services/ThirdPartyInvoicePolicy.php; .codex/skills/mantener-facturas-notas-venta-sin-boleta/references/contrato.md
Entrada: HTTP del creador real de cada canal y política común</x:v>
      </x:c>
    </x:row>
    <x:row r="670" ht="56" customHeight="1">
      <x:c r="A670" s="13" t="str">
        <x:v>QA-NEG-006</x:v>
      </x:c>
      <x:c r="B670" s="13" t="str">
        <x:v>Hotel: rechazo de Boleta 03</x:v>
      </x:c>
      <x:c r="C670" s="13" t="str">
        <x:v>Payload válido de canal; sustituir únicamente tipo/operación; doble HKAy línea base completa.
Venta válida de Hotel; identidad activa y serie autorizada.</x:v>
      </x:c>
      <x:c r="D670" s="13" t="str">
        <x:v>1. Guardar línea base de conteos/pagos/stock
2. Sustituir document_type_id por 03 y enviar por HTTP sin depender del selector
3. Leer rechazo y comparar todas las relaciones/contador HTTP</x:v>
      </x:c>
      <x:c r="E670" s="13" t="str">
        <x:v>Servidor rechaza creación 03 antes de efectos comerciales o fiscales; no mapea Boleta a Factura/NVni restringe por prefijo de serie.</x:v>
      </x:c>
      <x:c r="F670" s="13" t="str">
        <x:v>Fuentes: app/Services/SalesDocumentTypePolicy.php; app/Services/ExportInvoicePolicy.php; app/Services/ThirdPartyInvoicePolicy.php; .codex/skills/mantener-facturas-notas-venta-sin-boleta/references/contrato.md
Entrada: HTTP del creador real de cada canal y política común</x:v>
      </x:c>
    </x:row>
    <x:row r="671" ht="56" customHeight="1">
      <x:c r="A671" s="13" t="str">
        <x:v>QA-NEG-007</x:v>
      </x:c>
      <x:c r="B671" s="13" t="str">
        <x:v>Restaurante: rechazo de Boleta 03</x:v>
      </x:c>
      <x:c r="C671" s="13" t="str">
        <x:v>Payload válido de canal; sustituir únicamente tipo/operación; doble HKAy línea base completa.
Venta válida de Restaurante; identidad activa y serie autorizada.</x:v>
      </x:c>
      <x:c r="D671" s="13" t="str">
        <x:v>1. Guardar línea base de conteos/pagos/stock
2. Sustituir document_type_id por 03 y enviar por HTTP sin depender del selector
3. Leer rechazo y comparar todas las relaciones/contador HTTP</x:v>
      </x:c>
      <x:c r="E671" s="13" t="str">
        <x:v>Servidor rechaza creación 03 antes de efectos comerciales o fiscales; no mapea Boleta a Factura/NVni restringe por prefijo de serie.</x:v>
      </x:c>
      <x:c r="F671" s="13" t="str">
        <x:v>Fuentes: app/Services/SalesDocumentTypePolicy.php; app/Services/ExportInvoicePolicy.php; app/Services/ThirdPartyInvoicePolicy.php; .codex/skills/mantener-facturas-notas-venta-sin-boleta/references/contrato.md
Entrada: HTTP del creador real de cada canal y política común</x:v>
      </x:c>
    </x:row>
    <x:row r="672" ht="56" customHeight="1">
      <x:c r="A672" s="13" t="str">
        <x:v>QA-NEG-008</x:v>
      </x:c>
      <x:c r="B672" s="13" t="str">
        <x:v>Ecommerce: rechazo de Boleta 03</x:v>
      </x:c>
      <x:c r="C672" s="13" t="str">
        <x:v>Payload válido de canal; sustituir únicamente tipo/operación; doble HKAy línea base completa.
Venta válida de Ecommerce; identidad activa y serie autorizada.</x:v>
      </x:c>
      <x:c r="D672" s="13" t="str">
        <x:v>1. Guardar línea base de conteos/pagos/stock
2. Sustituir document_type_id por 03 y enviar por HTTP sin depender del selector
3. Leer rechazo y comparar todas las relaciones/contador HTTP</x:v>
      </x:c>
      <x:c r="E672" s="13" t="str">
        <x:v>Servidor rechaza creación 03 antes de efectos comerciales o fiscales; no mapea Boleta a Factura/NVni restringe por prefijo de serie.</x:v>
      </x:c>
      <x:c r="F672" s="13" t="str">
        <x:v>Fuentes: app/Services/SalesDocumentTypePolicy.php; app/Services/ExportInvoicePolicy.php; app/Services/ThirdPartyInvoicePolicy.php; .codex/skills/mantener-facturas-notas-venta-sin-boleta/references/contrato.md
Entrada: HTTP del creador real de cada canal y política común</x:v>
      </x:c>
    </x:row>
    <x:row r="673" ht="56" customHeight="1">
      <x:c r="A673" s="13" t="str">
        <x:v>QA-NEG-009</x:v>
      </x:c>
      <x:c r="B673" s="13" t="str">
        <x:v>Mi Tienda / Store: rechazo de Boleta 03</x:v>
      </x:c>
      <x:c r="C673" s="13" t="str">
        <x:v>Payload válido de canal; sustituir únicamente tipo/operación; doble HKAy línea base completa.
Venta válida de Mi Tienda / Store; identidad activa y serie autorizada.</x:v>
      </x:c>
      <x:c r="D673" s="13" t="str">
        <x:v>1. Guardar línea base de conteos/pagos/stock
2. Sustituir document_type_id por 03 y enviar por HTTP sin depender del selector
3. Leer rechazo y comparar todas las relaciones/contador HTTP</x:v>
      </x:c>
      <x:c r="E673" s="13" t="str">
        <x:v>Servidor rechaza creación 03 antes de efectos comerciales o fiscales; no mapea Boleta a Factura/NVni restringe por prefijo de serie.</x:v>
      </x:c>
      <x:c r="F673" s="13" t="str">
        <x:v>Fuentes: app/Services/SalesDocumentTypePolicy.php; app/Services/ExportInvoicePolicy.php; app/Services/ThirdPartyInvoicePolicy.php; .codex/skills/mantener-facturas-notas-venta-sin-boleta/references/contrato.md
Entrada: HTTP del creador real de cada canal y política común</x:v>
      </x:c>
    </x:row>
    <x:row r="674" ht="56" customHeight="1">
      <x:c r="A674" s="13" t="str">
        <x:v>QA-NEG-010</x:v>
      </x:c>
      <x:c r="B674" s="13" t="str">
        <x:v>Pedidos: rechazo de Boleta 03</x:v>
      </x:c>
      <x:c r="C674" s="13" t="str">
        <x:v>Payload válido de canal; sustituir únicamente tipo/operación; doble HKAy línea base completa.
Venta válida de Pedidos; identidad activa y serie autorizada.</x:v>
      </x:c>
      <x:c r="D674" s="13" t="str">
        <x:v>1. Guardar línea base de conteos/pagos/stock
2. Sustituir document_type_id por 03 y enviar por HTTP sin depender del selector
3. Leer rechazo y comparar todas las relaciones/contador HTTP</x:v>
      </x:c>
      <x:c r="E674" s="13" t="str">
        <x:v>Servidor rechaza creación 03 antes de efectos comerciales o fiscales; no mapea Boleta a Factura/NVni restringe por prefijo de serie.</x:v>
      </x:c>
      <x:c r="F674" s="13" t="str">
        <x:v>Fuentes: app/Services/SalesDocumentTypePolicy.php; app/Services/ExportInvoicePolicy.php; app/Services/ThirdPartyInvoicePolicy.php; .codex/skills/mantener-facturas-notas-venta-sin-boleta/references/contrato.md
Entrada: HTTP del creador real de cada canal y política común</x:v>
      </x:c>
    </x:row>
    <x:row r="675" ht="56" customHeight="1">
      <x:c r="A675" s="13" t="str">
        <x:v>QA-NEG-011</x:v>
      </x:c>
      <x:c r="B675" s="13" t="str">
        <x:v>Servicio técnico: rechazo de Boleta 03</x:v>
      </x:c>
      <x:c r="C675" s="13" t="str">
        <x:v>Payload válido de canal; sustituir únicamente tipo/operación; doble HKAy línea base completa.
Venta válida de Servicio técnico; identidad activa y serie autorizada.</x:v>
      </x:c>
      <x:c r="D675" s="13" t="str">
        <x:v>1. Guardar línea base de conteos/pagos/stock
2. Sustituir document_type_id por 03 y enviar por HTTP sin depender del selector
3. Leer rechazo y comparar todas las relaciones/contador HTTP</x:v>
      </x:c>
      <x:c r="E675" s="13" t="str">
        <x:v>Servidor rechaza creación 03 antes de efectos comerciales o fiscales; no mapea Boleta a Factura/NVni restringe por prefijo de serie.</x:v>
      </x:c>
      <x:c r="F675" s="13" t="str">
        <x:v>Fuentes: app/Services/SalesDocumentTypePolicy.php; app/Services/ExportInvoicePolicy.php; app/Services/ThirdPartyInvoicePolicy.php; .codex/skills/mantener-facturas-notas-venta-sin-boleta/references/contrato.md
Entrada: HTTP del creador real de cada canal y política común</x:v>
      </x:c>
    </x:row>
    <x:row r="676" ht="56" customHeight="1">
      <x:c r="A676" s="13" t="str">
        <x:v>QA-NEG-012</x:v>
      </x:c>
      <x:c r="B676" s="13" t="str">
        <x:v>WhatsApp Bot: rechazo de Boleta 03</x:v>
      </x:c>
      <x:c r="C676" s="13" t="str">
        <x:v>Payload válido de canal; sustituir únicamente tipo/operación; doble HKAy línea base completa.
Venta válida de WhatsApp Bot; identidad activa y serie autorizada.</x:v>
      </x:c>
      <x:c r="D676" s="13" t="str">
        <x:v>1. Guardar línea base de conteos/pagos/stock
2. Sustituir document_type_id por 03 y enviar por HTTP sin depender del selector
3. Leer rechazo y comparar todas las relaciones/contador HTTP</x:v>
      </x:c>
      <x:c r="E676" s="13" t="str">
        <x:v>Servidor rechaza creación 03 antes de efectos comerciales o fiscales; no mapea Boleta a Factura/NVni restringe por prefijo de serie.</x:v>
      </x:c>
      <x:c r="F676" s="13" t="str">
        <x:v>Fuentes: app/Services/SalesDocumentTypePolicy.php; app/Services/ExportInvoicePolicy.php; app/Services/ThirdPartyInvoicePolicy.php; .codex/skills/mantener-facturas-notas-venta-sin-boleta/references/contrato.md
Entrada: HTTP del creador real de cada canal y política común</x:v>
      </x:c>
    </x:row>
    <x:row r="677" ht="56" customHeight="1">
      <x:c r="A677" s="13" t="str">
        <x:v>QA-NEG-013</x:v>
      </x:c>
      <x:c r="B677" s="13" t="str">
        <x:v>Procesamiento fiscal común rechaza tipo FE</x:v>
      </x:c>
      <x:c r="C677" s="13" t="str">
        <x:v>Payload válido de canal; sustituir únicamente tipo/operación; doble HKAy línea base completa.
Payload invoice/credit/debit común válido en QA.</x:v>
      </x:c>
      <x:c r="D677" s="13" t="str">
        <x:v>1. Sustituir tipo por FE
2. Enviar al procesamiento de Facturas/notas
3. Leer error y conteos</x:v>
      </x:c>
      <x:c r="E677" s="13" t="str">
        <x:v>Procesamiento 01/07/08 no acepta tipos de otros módulos/retirados/desconocidos. La presencia en catálogo no habilita nuevo flujo; conservar sus módulos comerciales propios si existen.</x:v>
      </x:c>
      <x:c r="F677" s="13" t="str">
        <x:v>Fuentes: app/Services/SalesDocumentTypePolicy.php; app/Services/ExportInvoicePolicy.php; app/Services/ThirdPartyInvoicePolicy.php; .codex/skills/mantener-facturas-notas-venta-sin-boleta/references/contrato.md
Entrada: HTTP del creador real de cada canal y política común</x:v>
      </x:c>
    </x:row>
    <x:row r="678" ht="56" customHeight="1">
      <x:c r="A678" s="13" t="str">
        <x:v>QA-NEG-014</x:v>
      </x:c>
      <x:c r="B678" s="13" t="str">
        <x:v>Procesamiento fiscal común rechaza tipo 09</x:v>
      </x:c>
      <x:c r="C678" s="13" t="str">
        <x:v>Payload válido de canal; sustituir únicamente tipo/operación; doble HKAy línea base completa.
Payload invoice/credit/debit común válido en QA.</x:v>
      </x:c>
      <x:c r="D678" s="13" t="str">
        <x:v>1. Sustituir tipo por 09
2. Enviar al procesamiento de Facturas/notas
3. Leer error y conteos</x:v>
      </x:c>
      <x:c r="E678" s="13" t="str">
        <x:v>Procesamiento 01/07/08 no acepta tipos de otros módulos/retirados/desconocidos. La presencia en catálogo no habilita nuevo flujo; conservar sus módulos comerciales propios si existen.</x:v>
      </x:c>
      <x:c r="F678" s="13" t="str">
        <x:v>Fuentes: app/Services/SalesDocumentTypePolicy.php; app/Services/ExportInvoicePolicy.php; app/Services/ThirdPartyInvoicePolicy.php; .codex/skills/mantener-facturas-notas-venta-sin-boleta/references/contrato.md
Entrada: HTTP del creador real de cada canal y política común</x:v>
      </x:c>
    </x:row>
    <x:row r="679" ht="56" customHeight="1">
      <x:c r="A679" s="13" t="str">
        <x:v>QA-NEG-015</x:v>
      </x:c>
      <x:c r="B679" s="13" t="str">
        <x:v>Procesamiento fiscal común rechaza tipo 20</x:v>
      </x:c>
      <x:c r="C679" s="13" t="str">
        <x:v>Payload válido de canal; sustituir únicamente tipo/operación; doble HKAy línea base completa.
Payload invoice/credit/debit común válido en QA.</x:v>
      </x:c>
      <x:c r="D679" s="13" t="str">
        <x:v>1. Sustituir tipo por 20
2. Enviar al procesamiento de Facturas/notas
3. Leer error y conteos</x:v>
      </x:c>
      <x:c r="E679" s="13" t="str">
        <x:v>Procesamiento 01/07/08 no acepta tipos de otros módulos/retirados/desconocidos. La presencia en catálogo no habilita nuevo flujo; conservar sus módulos comerciales propios si existen.</x:v>
      </x:c>
      <x:c r="F679" s="13" t="str">
        <x:v>Fuentes: app/Services/SalesDocumentTypePolicy.php; app/Services/ExportInvoicePolicy.php; app/Services/ThirdPartyInvoicePolicy.php; .codex/skills/mantener-facturas-notas-venta-sin-boleta/references/contrato.md
Entrada: HTTP del creador real de cada canal y política común</x:v>
      </x:c>
    </x:row>
    <x:row r="680" ht="56" customHeight="1">
      <x:c r="A680" s="13" t="str">
        <x:v>QA-NEG-016</x:v>
      </x:c>
      <x:c r="B680" s="13" t="str">
        <x:v>Procesamiento fiscal común rechaza tipo ISLR</x:v>
      </x:c>
      <x:c r="C680" s="13" t="str">
        <x:v>Payload válido de canal; sustituir únicamente tipo/operación; doble HKAy línea base completa.
Payload invoice/credit/debit común válido en QA.</x:v>
      </x:c>
      <x:c r="D680" s="13" t="str">
        <x:v>1. Sustituir tipo por ISLR
2. Enviar al procesamiento de Facturas/notas
3. Leer error y conteos</x:v>
      </x:c>
      <x:c r="E680" s="13" t="str">
        <x:v>Procesamiento 01/07/08 no acepta tipos de otros módulos/retirados/desconocidos. La presencia en catálogo no habilita nuevo flujo; conservar sus módulos comerciales propios si existen.</x:v>
      </x:c>
      <x:c r="F680" s="13" t="str">
        <x:v>Fuentes: app/Services/SalesDocumentTypePolicy.php; app/Services/ExportInvoicePolicy.php; app/Services/ThirdPartyInvoicePolicy.php; .codex/skills/mantener-facturas-notas-venta-sin-boleta/references/contrato.md
Entrada: HTTP del creador real de cada canal y política común</x:v>
      </x:c>
    </x:row>
    <x:row r="681" ht="56" customHeight="1">
      <x:c r="A681" s="13" t="str">
        <x:v>QA-NEG-017</x:v>
      </x:c>
      <x:c r="B681" s="13" t="str">
        <x:v>Procesamiento fiscal común rechaza tipo ARCV</x:v>
      </x:c>
      <x:c r="C681" s="13" t="str">
        <x:v>Payload válido de canal; sustituir únicamente tipo/operación; doble HKAy línea base completa.
Payload invoice/credit/debit común válido en QA.</x:v>
      </x:c>
      <x:c r="D681" s="13" t="str">
        <x:v>1. Sustituir tipo por ARCV
2. Enviar al procesamiento de Facturas/notas
3. Leer error y conteos</x:v>
      </x:c>
      <x:c r="E681" s="13" t="str">
        <x:v>Procesamiento 01/07/08 no acepta tipos de otros módulos/retirados/desconocidos. La presencia en catálogo no habilita nuevo flujo; conservar sus módulos comerciales propios si existen.</x:v>
      </x:c>
      <x:c r="F681" s="13" t="str">
        <x:v>Fuentes: app/Services/SalesDocumentTypePolicy.php; app/Services/ExportInvoicePolicy.php; app/Services/ThirdPartyInvoicePolicy.php; .codex/skills/mantener-facturas-notas-venta-sin-boleta/references/contrato.md
Entrada: HTTP del creador real de cada canal y política común</x:v>
      </x:c>
    </x:row>
    <x:row r="682" ht="56" customHeight="1">
      <x:c r="A682" s="13" t="str">
        <x:v>QA-NEG-018</x:v>
      </x:c>
      <x:c r="B682" s="13" t="str">
        <x:v>Procesamiento fiscal común rechaza tipo 99</x:v>
      </x:c>
      <x:c r="C682" s="13" t="str">
        <x:v>Payload válido de canal; sustituir únicamente tipo/operación; doble HKAy línea base completa.
Payload invoice/credit/debit común válido en QA.</x:v>
      </x:c>
      <x:c r="D682" s="13" t="str">
        <x:v>1. Sustituir tipo por 99
2. Enviar al procesamiento de Facturas/notas
3. Leer error y conteos</x:v>
      </x:c>
      <x:c r="E682" s="13" t="str">
        <x:v>Procesamiento 01/07/08 no acepta tipos de otros módulos/retirados/desconocidos. La presencia en catálogo no habilita nuevo flujo; conservar sus módulos comerciales propios si existen.</x:v>
      </x:c>
      <x:c r="F682" s="13" t="str">
        <x:v>Fuentes: app/Services/SalesDocumentTypePolicy.php; app/Services/ExportInvoicePolicy.php; app/Services/ThirdPartyInvoicePolicy.php; .codex/skills/mantener-facturas-notas-venta-sin-boleta/references/contrato.md
Entrada: HTTP del creador real de cada canal y política común</x:v>
      </x:c>
    </x:row>
    <x:row r="683" ht="56" customHeight="1">
      <x:c r="A683" s="13" t="str">
        <x:v>QA-NEG-019</x:v>
      </x:c>
      <x:c r="B683" s="13" t="str">
        <x:v>Procesamiento fiscal común rechaza tipo __unknown__</x:v>
      </x:c>
      <x:c r="C683" s="13" t="str">
        <x:v>Payload válido de canal; sustituir únicamente tipo/operación; doble HKAy línea base completa.
Payload invoice/credit/debit común válido en QA.</x:v>
      </x:c>
      <x:c r="D683" s="13" t="str">
        <x:v>1. Sustituir tipo por__unknown__
2. Enviar al procesamiento de Facturas/notas
3. Leer error y conteos</x:v>
      </x:c>
      <x:c r="E683" s="13" t="str">
        <x:v>Procesamiento 01/07/08 no acepta tipos de otros módulos/retirados/desconocidos. La presencia en catálogo no habilita nuevo flujo; conservar sus módulos comerciales propios si existen.</x:v>
      </x:c>
      <x:c r="F683" s="13" t="str">
        <x:v>Fuentes: app/Services/SalesDocumentTypePolicy.php; app/Services/ExportInvoicePolicy.php; app/Services/ThirdPartyInvoicePolicy.php; .codex/skills/mantener-facturas-notas-venta-sin-boleta/references/contrato.md
Entrada: HTTP del creador real de cada canal y política común</x:v>
      </x:c>
    </x:row>
    <x:row r="684" ht="44" customHeight="1">
      <x:c r="A684" s="13" t="str">
        <x:v>QA-PRE-001</x:v>
      </x:c>
      <x:c r="B684" s="13" t="str">
        <x:v>Factura de anticipo gravado</x:v>
      </x:c>
      <x:c r="C684" s="13" t="str">
        <x:v>Factura de anticipo QA del mismo cliente/moneda/sucursal con saldo deducible; referencia con serie vacía y con guiones; proveedor doble.
Opción de anticipo disponible en configuración QA</x:v>
      </x:c>
      <x:c r="D684" s="13" t="str">
        <x:v>1. Activar Anticipo
2. Seleccionar afectación gravada vigente y registrar pago real
3. Generar y revisar indicador/saldo de anticipo/IVA/estado fiscal</x:v>
      </x:c>
      <x:c r="E684" s="13" t="str">
        <x:v>Documento de anticipo conserva principal, condición y saldo deducible; no se inventan artículos/aceptación HKA. Si adaptador no representa el anticipo, registrar el límite y la discrepancia visible.</x:v>
      </x:c>
      <x:c r="F684" s="13" t="str">
        <x:v>Fuentes: app/CoreFacturalo/Facturalo.php; app/Services/Fiscal/FiscalDocumentPersistence.php; resources/js/views/tenant/documents/invoice_generate.vue; modules/Document/Routes/web.php
Entrada: Información adicional → Anticipos/Deducciones; documents/prepayments/{type}</x:v>
      </x:c>
    </x:row>
    <x:row r="685" ht="44" customHeight="1">
      <x:c r="A685" s="13" t="str">
        <x:v>QA-PRE-002</x:v>
      </x:c>
      <x:c r="B685" s="13" t="str">
        <x:v>Factura de anticipo exento</x:v>
      </x:c>
      <x:c r="C685" s="13" t="str">
        <x:v>Factura de anticipo QA del mismo cliente/moneda/sucursal con saldo deducible; referencia con serie vacía y con guiones; proveedor doble.
Opción de anticipo exento vigente</x:v>
      </x:c>
      <x:c r="D685" s="13" t="str">
        <x:v>1. Crear anticipo exento 50
2. Guardar
3. Leer total, IVA y saldo deducible</x:v>
      </x:c>
      <x:c r="E685" s="13" t="str">
        <x:v>IVA 0 y saldo de anticipo 50; no clasificarlo como exportación. Aceptación HKA se verifica aparte.</x:v>
      </x:c>
      <x:c r="F685" s="13" t="str">
        <x:v>Fuentes: app/CoreFacturalo/Facturalo.php; app/Services/Fiscal/FiscalDocumentPersistence.php; resources/js/views/tenant/documents/invoice_generate.vue; modules/Document/Routes/web.php
Entrada: Información adicional → Anticipos/Deducciones; documents/prepayments/{type}</x:v>
      </x:c>
    </x:row>
    <x:row r="686" ht="44" customHeight="1">
      <x:c r="A686" s="13" t="str">
        <x:v>QA-PRE-003</x:v>
      </x:c>
      <x:c r="B686" s="13" t="str">
        <x:v>Deducir un anticipo</x:v>
      </x:c>
      <x:c r="C686" s="13" t="str">
        <x:v>Factura de anticipo QA del mismo cliente/moneda/sucursal con saldo deducible; referencia con serie vacía y con guiones; proveedor doble.
Anticipo 30 y venta 116 del mismo comprador</x:v>
      </x:c>
      <x:c r="D686" s="13" t="str">
        <x:v>1. Activar Deducción
2. Seleccionar referencia y aplicar 30
3. Guardar y consultar venta/origen</x:v>
      </x:c>
      <x:c r="E686" s="13" t="str">
        <x:v>Deducción 30 una vez, saldo de origen actualizado y saldo final según política de anticipo; no se vuelve a cobrar la recepción histórica ni se deduce dos veces.</x:v>
      </x:c>
      <x:c r="F686" s="13" t="str">
        <x:v>Fuentes: app/CoreFacturalo/Facturalo.php; app/Services/Fiscal/FiscalDocumentPersistence.php; resources/js/views/tenant/documents/invoice_generate.vue; modules/Document/Routes/web.php
Entrada: Información adicional → Anticipos/Deducciones; documents/prepayments/{type}</x:v>
      </x:c>
    </x:row>
    <x:row r="687" ht="44" customHeight="1">
      <x:c r="A687" s="13" t="str">
        <x:v>QA-PRE-004</x:v>
      </x:c>
      <x:c r="B687" s="13" t="str">
        <x:v>Deducir varios anticipos</x:v>
      </x:c>
      <x:c r="C687" s="13" t="str">
        <x:v>Factura de anticipo QA del mismo cliente/moneda/sucursal con saldo deducible; referencia con serie vacía y con guiones; proveedor doble.
Anticipos 10 y 20 compatibles</x:v>
      </x:c>
      <x:c r="D687" s="13" t="str">
        <x:v>1. Seleccionar ambos
2. Aplicar importes y guardar
3. Leer vínculos y saldos</x:v>
      </x:c>
      <x:c r="E687" s="13" t="str">
        <x:v>Aplicación total 30 y saldos independientes conservados; referencias y resumen concilian.</x:v>
      </x:c>
      <x:c r="F687" s="13" t="str">
        <x:v>Fuentes: app/CoreFacturalo/Facturalo.php; app/Services/Fiscal/FiscalDocumentPersistence.php; resources/js/views/tenant/documents/invoice_generate.vue; modules/Document/Routes/web.php
Entrada: Información adicional → Anticipos/Deducciones; documents/prepayments/{type}</x:v>
      </x:c>
    </x:row>
    <x:row r="688" ht="44" customHeight="1">
      <x:c r="A688" s="13" t="str">
        <x:v>QA-PRE-005</x:v>
      </x:c>
      <x:c r="B688" s="13" t="str">
        <x:v>Deducción parcial y agotamiento</x:v>
      </x:c>
      <x:c r="C688" s="13" t="str">
        <x:v>Factura de anticipo QA del mismo cliente/moneda/sucursal con saldo deducible; referencia con serie vacía y con guiones; proveedor doble.
Anticipo 50</x:v>
      </x:c>
      <x:c r="D688" s="13" t="str">
        <x:v>1. Aplicar 20 en una factura
2. Aplicar 30 en otra
3. Reintentar referencia agotada</x:v>
      </x:c>
      <x:c r="E688" s="13" t="str">
        <x:v>Saldo 50→30→0; no se permite aplicación superior o reutilización agotada; flags corresponden al saldo real.</x:v>
      </x:c>
      <x:c r="F688" s="13" t="str">
        <x:v>Fuentes: app/CoreFacturalo/Facturalo.php; app/Services/Fiscal/FiscalDocumentPersistence.php; resources/js/views/tenant/documents/invoice_generate.vue; modules/Document/Routes/web.php
Entrada: Información adicional → Anticipos/Deducciones; documents/prepayments/{type}</x:v>
      </x:c>
    </x:row>
    <x:row r="689" ht="44" customHeight="1">
      <x:c r="A689" s="13" t="str">
        <x:v>QA-PRE-006</x:v>
      </x:c>
      <x:c r="B689" s="13" t="str">
        <x:v>Anticipo ajeno o incompatible</x:v>
      </x:c>
      <x:c r="C689" s="13" t="str">
        <x:v>Factura de anticipo QA del mismo cliente/moneda/sucursal con saldo deducible; referencia con serie vacía y con guiones; proveedor doble.
Anticipos de otro cliente/moneda/sucursal/tenant</x:v>
      </x:c>
      <x:c r="D689" s="13" t="str">
        <x:v>1. Intentar seleccionar y enviar ID ajeno en cada variante
2. Guardar
3. Leer saldo origen/destino</x:v>
      </x:c>
      <x:c r="E689" s="13" t="str">
        <x:v>Referencia autorizada y compatible obligatoria; no se aplica dinero ajeno por conocer su número.</x:v>
      </x:c>
      <x:c r="F689" s="13" t="str">
        <x:v>Fuentes: app/CoreFacturalo/Facturalo.php; app/Services/Fiscal/FiscalDocumentPersistence.php; resources/js/views/tenant/documents/invoice_generate.vue; modules/Document/Routes/web.php
Entrada: Información adicional → Anticipos/Deducciones; documents/prepayments/{type}</x:v>
      </x:c>
    </x:row>
    <x:row r="690" ht="44" customHeight="1">
      <x:c r="A690" s="13" t="str">
        <x:v>QA-PRE-007</x:v>
      </x:c>
      <x:c r="B690" s="13" t="str">
        <x:v>Referencias vacías y con guiones</x:v>
      </x:c>
      <x:c r="C690" s="13" t="str">
        <x:v>Factura de anticipo QA del mismo cliente/moneda/sucursal con saldo deducible; referencia con serie vacía y con guiones; proveedor doble.
Anticipos 25 y QA-ANT-01-25 en sucursales controladas</x:v>
      </x:c>
      <x:c r="D690" s="13" t="str">
        <x:v>1. Buscar por referencia visible
2. Aplicar uno de cada clase
3. Leer número original y vínculo</x:v>
      </x:c>
      <x:c r="E690" s="13" t="str">
        <x:v>Parseo por último guion y sucursal; ocho dígitos de presentación no cambian identidad ni monto.</x:v>
      </x:c>
      <x:c r="F690" s="13" t="str">
        <x:v>Fuentes: app/CoreFacturalo/Facturalo.php; app/Services/Fiscal/FiscalDocumentPersistence.php; resources/js/views/tenant/documents/invoice_generate.vue; modules/Document/Routes/web.php
Entrada: Información adicional → Anticipos/Deducciones; documents/prepayments/{type}</x:v>
      </x:c>
    </x:row>
    <x:row r="691" ht="44" customHeight="1">
      <x:c r="A691" s="13" t="str">
        <x:v>QA-PRE-008</x:v>
      </x:c>
      <x:c r="B691" s="13" t="str">
        <x:v>Exceso y concurrencia de anticipos</x:v>
      </x:c>
      <x:c r="C691" s="13" t="str">
        <x:v>Factura de anticipo QA del mismo cliente/moneda/sucursal con saldo deducible; referencia con serie vacía y con guiones; proveedor doble.
Anticipo saldo 30, dos sesiones</x:v>
      </x:c>
      <x:c r="D691" s="13" t="str">
        <x:v>1. Aplicar 31 en un intento
2. Aplicar 20 desde dos sesiones simultáneas
3. Leer saldos y facturas</x:v>
      </x:c>
      <x:c r="E691" s="13" t="str">
        <x:v>No se aplica más del saldo deducible; bloqueo/transacción evita saldo negativo y duplicación.</x:v>
      </x:c>
      <x:c r="F691" s="13" t="str">
        <x:v>Fuentes: app/CoreFacturalo/Facturalo.php; app/Services/Fiscal/FiscalDocumentPersistence.php; resources/js/views/tenant/documents/invoice_generate.vue; modules/Document/Routes/web.php
Entrada: Información adicional → Anticipos/Deducciones; documents/prepayments/{type}</x:v>
      </x:c>
    </x:row>
    <x:row r="692" ht="44" customHeight="1">
      <x:c r="A692" s="13" t="str">
        <x:v>QA-PRE-009</x:v>
      </x:c>
      <x:c r="B692" s="13" t="str">
        <x:v>Cancelar y rollback de deducción</x:v>
      </x:c>
      <x:c r="C692" s="13" t="str">
        <x:v>Factura de anticipo QA del mismo cliente/moneda/sucursal con saldo deducible; referencia con serie vacía y con guiones; proveedor doble.
Borrador con anticipo elegido</x:v>
      </x:c>
      <x:c r="D692" s="13" t="str">
        <x:v>1. Cancelar sin guardar
2. Repetir con error antes del commit
3. Leer anticipo/stock/emisión</x:v>
      </x:c>
      <x:c r="E692" s="13" t="str">
        <x:v>Ninguna deducción persistida al cancelar/fallar; no se llama HKA por transacción revertida.</x:v>
      </x:c>
      <x:c r="F692" s="13" t="str">
        <x:v>Fuentes: app/CoreFacturalo/Facturalo.php; app/Services/Fiscal/FiscalDocumentPersistence.php; resources/js/views/tenant/documents/invoice_generate.vue; modules/Document/Routes/web.php
Entrada: Información adicional → Anticipos/Deducciones; documents/prepayments/{type}</x:v>
      </x:c>
    </x:row>
    <x:row r="693" ht="44" customHeight="1">
      <x:c r="A693" s="13" t="str">
        <x:v>QA-PRE-010</x:v>
      </x:c>
      <x:c r="B693" s="13" t="str">
        <x:v>Afectaciones de anticipo retiradas</x:v>
      </x:c>
      <x:c r="C693" s="13" t="str">
        <x:v>Factura de anticipo QA del mismo cliente/moneda/sucursal con saldo deducible; referencia con serie vacía y con guiones; proveedor doble.
Pantalla con selector de anticipo</x:v>
      </x:c>
      <x:c r="D693" s="13" t="str">
        <x:v>1. Inventariar opciones reales de anticipos
2. Intentar Inafecto u otra afectación retirada
3. Comparar UI, backend y contrato 10/20</x:v>
      </x:c>
      <x:c r="E693" s="13" t="str">
        <x:v>No se restablecen afectaciones retiradas por controles heredados; cualquier selector activo incompatible es defecto. Se conserva evidencia del valor exacto.</x:v>
      </x:c>
      <x:c r="F693" s="13" t="str">
        <x:v>Fuentes: app/CoreFacturalo/Facturalo.php; app/Services/Fiscal/FiscalDocumentPersistence.php; resources/js/views/tenant/documents/invoice_generate.vue; modules/Document/Routes/web.php
Entrada: Información adicional → Anticipos/Deducciones; documents/prepayments/{type}</x:v>
      </x:c>
    </x:row>
    <x:row r="694" ht="44" customHeight="1">
      <x:c r="A694" s="13" t="str">
        <x:v>QA-PRE-011</x:v>
      </x:c>
      <x:c r="B694" s="13" t="str">
        <x:v>Puntos del cliente y descuentos comerciales</x:v>
      </x:c>
      <x:c r="C694" s="13" t="str">
        <x:v>Factura de anticipo QA del mismo cliente/moneda/sucursal con saldo deducible; referencia con serie vacía y con guiones; proveedor doble.
Flag enabled_point_system y cliente QA con puntos</x:v>
      </x:c>
      <x:c r="D694" s="13" t="str">
        <x:v>1. Canjear cantidad autorizada por flujo visible
2. Guardar y leer consumo/descuento
3. Repetir operación y probar exceso</x:v>
      </x:c>
      <x:c r="E694" s="13" t="str">
        <x:v>Puntos consumidos una vez y descuento conciliado sin alterar IVA fuera de su regla; cada opción de canje disponible tiene subcaso individual.</x:v>
      </x:c>
      <x:c r="F694" s="13" t="str">
        <x:v>Fuentes: app/CoreFacturalo/Facturalo.php; app/Services/Fiscal/FiscalDocumentPersistence.php; resources/js/views/tenant/documents/invoice_generate.vue; modules/Document/Routes/web.php
Entrada: Información adicional → Anticipos/Deducciones; documents/prepayments/{type}</x:v>
      </x:c>
    </x:row>
    <x:row r="695" ht="44" customHeight="1">
      <x:c r="A695" s="13" t="str">
        <x:v>QA-PRE-012</x:v>
      </x:c>
      <x:c r="B695" s="13" t="str">
        <x:v>Condicionales de Hotel, transporte y TAP</x:v>
      </x:c>
      <x:c r="C695" s="13" t="str">
        <x:v>Factura de anticipo QA del mismo cliente/moneda/sucursal con saldo deducible; referencia con serie vacía y con guiones; proveedor doble.
Giros QA habilitados en fixtures separados</x:v>
      </x:c>
      <x:c r="D695" s="13" t="str">
        <x:v>1. Completar campos de habitación/transporte/placa realmente disponibles
2. Guardar y consultar PDF/detalle
3. Cambiar giro y recargar</x:v>
      </x:c>
      <x:c r="E695" s="13" t="str">
        <x:v>Datos del giro correcto conservados sin contaminar otro documento ni sugerir una integración fiscal especial sólo por ver campos comerciales.</x:v>
      </x:c>
      <x:c r="F695" s="13" t="str">
        <x:v>Fuentes: app/CoreFacturalo/Facturalo.php; app/Services/Fiscal/FiscalDocumentPersistence.php; resources/js/views/tenant/documents/invoice_generate.vue; modules/Document/Routes/web.php
Entrada: Información adicional → Anticipos/Deducciones; documents/prepayments/{type}</x:v>
      </x:c>
    </x:row>
    <x:row r="696" ht="56" customHeight="1">
      <x:c r="A696" s="13" t="str">
        <x:v>QA-COM-001</x:v>
      </x:c>
      <x:c r="B696" s="13" t="str">
        <x:v>Factura 01 / VES / Gravado / Contado</x:v>
      </x:c>
      <x:c r="C696" s="13" t="str">
        <x:v>Por variante: serie nueva o continuación autorizada, comprador doméstico, P-G 116/P-E 50 en la moneda seleccionada; R 1; estado HKA separado.
Moneda VES; fixture Gravado; condición 01; total 116; tasa R 1.</x:v>
      </x:c>
      <x:c r="D696" s="13" t="str">
        <x:v>1. Crear Factura 01 venta interna en VES y agregar fixture Gravado
2. Elegir Contado; pago completo si Contado, vencimiento/cuotas válidas si Crédito
3. Guardar y consultar líneas, IVA, saldo, caja, stock, calendario y resultado fiscal</x:v>
      </x:c>
      <x:c r="E696" s="13" t="str">
        <x:v>Total 116 VES; IVA 16 VES; saldo 0 en contado pagado o 116 en crédito sin cobros; no entrada ficticia de caja. Tasa/símbolo/condición conservados. La validación comercial y la preparación/aceptación HKA se registran aparte; condición 03 no se traduce por su posición.</x:v>
      </x:c>
      <x:c r="F696" s="13" t="str">
        <x:v>Fuentes: app/Services/Fiscal/FiscalDocumentPersistence.php; resources/js/views/tenant/documents/invoice_generate.vue; config/venezuela.php
Entrada: Comprobantes web y formulario de notas</x:v>
      </x:c>
    </x:row>
    <x:row r="697" ht="56" customHeight="1">
      <x:c r="A697" s="13" t="str">
        <x:v>QA-COM-002</x:v>
      </x:c>
      <x:c r="B697" s="13" t="str">
        <x:v>Factura 01 / VES / Gravado / Crédito</x:v>
      </x:c>
      <x:c r="C697" s="13" t="str">
        <x:v>Por variante: serie nueva o continuación autorizada, comprador doméstico, P-G 116/P-E 50 en la moneda seleccionada; R 1; estado HKA separado.
Moneda VES; fixture Gravado; condición 02; total 116; tasa R 1.</x:v>
      </x:c>
      <x:c r="D697" s="13" t="str">
        <x:v>1. Crear Factura 01 venta interna en VES y agregar fixture Gravado
2. Elegir Crédito; pago completo si Contado, vencimiento/cuotas válidas si Crédito
3. Guardar y consultar líneas, IVA, saldo, caja, stock, calendario y resultado fiscal</x:v>
      </x:c>
      <x:c r="E697" s="13" t="str">
        <x:v>Total 116 VES; IVA 16 VES; saldo 0 en contado pagado o 116 en crédito sin cobros; no entrada ficticia de caja. Tasa/símbolo/condición conservados. La validación comercial y la preparación/aceptación HKA se registran aparte; condición 03 no se traduce por su posición.</x:v>
      </x:c>
      <x:c r="F697" s="13" t="str">
        <x:v>Fuentes: app/Services/Fiscal/FiscalDocumentPersistence.php; resources/js/views/tenant/documents/invoice_generate.vue; config/venezuela.php
Entrada: Comprobantes web y formulario de notas</x:v>
      </x:c>
    </x:row>
    <x:row r="698" ht="56" customHeight="1">
      <x:c r="A698" s="13" t="str">
        <x:v>QA-COM-003</x:v>
      </x:c>
      <x:c r="B698" s="13" t="str">
        <x:v>Factura 01 / VES / Gravado / Crédito con cuotas</x:v>
      </x:c>
      <x:c r="C698" s="13" t="str">
        <x:v>Por variante: serie nueva o continuación autorizada, comprador doméstico, P-G 116/P-E 50 en la moneda seleccionada; R 1; estado HKA separado.
Moneda VES; fixture Gravado; condición 03; total 116; tasa R 1.</x:v>
      </x:c>
      <x:c r="D698" s="13" t="str">
        <x:v>1. Crear Factura 01 venta interna en VES y agregar fixture Gravado
2. Elegir Crédito con cuotas; pago completo si Contado, vencimiento/cuotas válidas si Crédito
3. Guardar y consultar líneas, IVA, saldo, caja, stock, calendario y resultado fiscal</x:v>
      </x:c>
      <x:c r="E698" s="13" t="str">
        <x:v>Total 116 VES; IVA 16 VES; saldo 0 en contado pagado o 116 en crédito sin cobros; no entrada ficticia de caja. Tasa/símbolo/condición conservados. La validación comercial y la preparación/aceptación HKA se registran aparte; condición 03 no se traduce por su posición.</x:v>
      </x:c>
      <x:c r="F698" s="13" t="str">
        <x:v>Fuentes: app/Services/Fiscal/FiscalDocumentPersistence.php; resources/js/views/tenant/documents/invoice_generate.vue; config/venezuela.php
Entrada: Comprobantes web y formulario de notas</x:v>
      </x:c>
    </x:row>
    <x:row r="699" ht="56" customHeight="1">
      <x:c r="A699" s="13" t="str">
        <x:v>QA-COM-004</x:v>
      </x:c>
      <x:c r="B699" s="13" t="str">
        <x:v>Factura 01 / VES / Exento / Contado</x:v>
      </x:c>
      <x:c r="C699" s="13" t="str">
        <x:v>Por variante: serie nueva o continuación autorizada, comprador doméstico, P-G 116/P-E 50 en la moneda seleccionada; R 1; estado HKA separado.
Moneda VES; fixture Exento; condición 01; total 50; tasa R 1.</x:v>
      </x:c>
      <x:c r="D699" s="13" t="str">
        <x:v>1. Crear Factura 01 venta interna en VES y agregar fixture Exento
2. Elegir Contado; pago completo si Contado, vencimiento/cuotas válidas si Crédito
3. Guardar y consultar líneas, IVA, saldo, caja, stock, calendario y resultado fiscal</x:v>
      </x:c>
      <x:c r="E699" s="13" t="str">
        <x:v>Total 50 VES; IVA 0 VES; saldo 0 en contado pagado o 50 en crédito sin cobros; no entrada ficticia de caja. Tasa/símbolo/condición conservados. La validación comercial y la preparación/aceptación HKA se registran aparte; condición 03 no se traduce por su posición.</x:v>
      </x:c>
      <x:c r="F699" s="13" t="str">
        <x:v>Fuentes: app/Services/Fiscal/FiscalDocumentPersistence.php; resources/js/views/tenant/documents/invoice_generate.vue; config/venezuela.php
Entrada: Comprobantes web y formulario de notas</x:v>
      </x:c>
    </x:row>
    <x:row r="700" ht="56" customHeight="1">
      <x:c r="A700" s="13" t="str">
        <x:v>QA-COM-005</x:v>
      </x:c>
      <x:c r="B700" s="13" t="str">
        <x:v>Factura 01 / VES / Exento / Crédito</x:v>
      </x:c>
      <x:c r="C700" s="13" t="str">
        <x:v>Por variante: serie nueva o continuación autorizada, comprador doméstico, P-G 116/P-E 50 en la moneda seleccionada; R 1; estado HKA separado.
Moneda VES; fixture Exento; condición 02; total 50; tasa R 1.</x:v>
      </x:c>
      <x:c r="D700" s="13" t="str">
        <x:v>1. Crear Factura 01 venta interna en VES y agregar fixture Exento
2. Elegir Crédito; pago completo si Contado, vencimiento/cuotas válidas si Crédito
3. Guardar y consultar líneas, IVA, saldo, caja, stock, calendario y resultado fiscal</x:v>
      </x:c>
      <x:c r="E700" s="13" t="str">
        <x:v>Total 50 VES; IVA 0 VES; saldo 0 en contado pagado o 50 en crédito sin cobros; no entrada ficticia de caja. Tasa/símbolo/condición conservados. La validación comercial y la preparación/aceptación HKA se registran aparte; condición 03 no se traduce por su posición.</x:v>
      </x:c>
      <x:c r="F700" s="13" t="str">
        <x:v>Fuentes: app/Services/Fiscal/FiscalDocumentPersistence.php; resources/js/views/tenant/documents/invoice_generate.vue; config/venezuela.php
Entrada: Comprobantes web y formulario de notas</x:v>
      </x:c>
    </x:row>
    <x:row r="701" ht="56" customHeight="1">
      <x:c r="A701" s="13" t="str">
        <x:v>QA-COM-006</x:v>
      </x:c>
      <x:c r="B701" s="13" t="str">
        <x:v>Factura 01 / VES / Exento / Crédito con cuotas</x:v>
      </x:c>
      <x:c r="C701" s="13" t="str">
        <x:v>Por variante: serie nueva o continuación autorizada, comprador doméstico, P-G 116/P-E 50 en la moneda seleccionada; R 1; estado HKA separado.
Moneda VES; fixture Exento; condición 03; total 50; tasa R 1.</x:v>
      </x:c>
      <x:c r="D701" s="13" t="str">
        <x:v>1. Crear Factura 01 venta interna en VES y agregar fixture Exento
2. Elegir Crédito con cuotas; pago completo si Contado, vencimiento/cuotas válidas si Crédito
3. Guardar y consultar líneas, IVA, saldo, caja, stock, calendario y resultado fiscal</x:v>
      </x:c>
      <x:c r="E701" s="13" t="str">
        <x:v>Total 50 VES; IVA 0 VES; saldo 0 en contado pagado o 50 en crédito sin cobros; no entrada ficticia de caja. Tasa/símbolo/condición conservados. La validación comercial y la preparación/aceptación HKA se registran aparte; condición 03 no se traduce por su posición.</x:v>
      </x:c>
      <x:c r="F701" s="13" t="str">
        <x:v>Fuentes: app/Services/Fiscal/FiscalDocumentPersistence.php; resources/js/views/tenant/documents/invoice_generate.vue; config/venezuela.php
Entrada: Comprobantes web y formulario de notas</x:v>
      </x:c>
    </x:row>
    <x:row r="702" ht="56" customHeight="1">
      <x:c r="A702" s="13" t="str">
        <x:v>QA-COM-007</x:v>
      </x:c>
      <x:c r="B702" s="13" t="str">
        <x:v>Factura 01 / VES / Mixto / Contado</x:v>
      </x:c>
      <x:c r="C702" s="13" t="str">
        <x:v>Por variante: serie nueva o continuación autorizada, comprador doméstico, P-G 116/P-E 50 en la moneda seleccionada; R 1; estado HKA separado.
Moneda VES; fixture Mixto; condición 01; total 166; tasa R 1.</x:v>
      </x:c>
      <x:c r="D702" s="13" t="str">
        <x:v>1. Crear Factura 01 venta interna en VES y agregar fixture Mixto
2. Elegir Contado; pago completo si Contado, vencimiento/cuotas válidas si Crédito
3. Guardar y consultar líneas, IVA, saldo, caja, stock, calendario y resultado fiscal</x:v>
      </x:c>
      <x:c r="E702" s="13" t="str">
        <x:v>Total 166 VES; IVA 16 VES; saldo 0 en contado pagado o 166 en crédito sin cobros; no entrada ficticia de caja. Tasa/símbolo/condición conservados. La validación comercial y la preparación/aceptación HKA se registran aparte; condición 03 no se traduce por su posición.</x:v>
      </x:c>
      <x:c r="F702" s="13" t="str">
        <x:v>Fuentes: app/Services/Fiscal/FiscalDocumentPersistence.php; resources/js/views/tenant/documents/invoice_generate.vue; config/venezuela.php
Entrada: Comprobantes web y formulario de notas</x:v>
      </x:c>
    </x:row>
    <x:row r="703" ht="56" customHeight="1">
      <x:c r="A703" s="13" t="str">
        <x:v>QA-COM-008</x:v>
      </x:c>
      <x:c r="B703" s="13" t="str">
        <x:v>Factura 01 / VES / Mixto / Crédito</x:v>
      </x:c>
      <x:c r="C703" s="13" t="str">
        <x:v>Por variante: serie nueva o continuación autorizada, comprador doméstico, P-G 116/P-E 50 en la moneda seleccionada; R 1; estado HKA separado.
Moneda VES; fixture Mixto; condición 02; total 166; tasa R 1.</x:v>
      </x:c>
      <x:c r="D703" s="13" t="str">
        <x:v>1. Crear Factura 01 venta interna en VES y agregar fixture Mixto
2. Elegir Crédito; pago completo si Contado, vencimiento/cuotas válidas si Crédito
3. Guardar y consultar líneas, IVA, saldo, caja, stock, calendario y resultado fiscal</x:v>
      </x:c>
      <x:c r="E703" s="13" t="str">
        <x:v>Total 166 VES; IVA 16 VES; saldo 0 en contado pagado o 166 en crédito sin cobros; no entrada ficticia de caja. Tasa/símbolo/condición conservados. La validación comercial y la preparación/aceptación HKA se registran aparte; condición 03 no se traduce por su posición.</x:v>
      </x:c>
      <x:c r="F703" s="13" t="str">
        <x:v>Fuentes: app/Services/Fiscal/FiscalDocumentPersistence.php; resources/js/views/tenant/documents/invoice_generate.vue; config/venezuela.php
Entrada: Comprobantes web y formulario de notas</x:v>
      </x:c>
    </x:row>
    <x:row r="704" ht="56" customHeight="1">
      <x:c r="A704" s="13" t="str">
        <x:v>QA-COM-009</x:v>
      </x:c>
      <x:c r="B704" s="13" t="str">
        <x:v>Factura 01 / VES / Mixto / Crédito con cuotas</x:v>
      </x:c>
      <x:c r="C704" s="13" t="str">
        <x:v>Por variante: serie nueva o continuación autorizada, comprador doméstico, P-G 116/P-E 50 en la moneda seleccionada; R 1; estado HKA separado.
Moneda VES; fixture Mixto; condición 03; total 166; tasa R 1.</x:v>
      </x:c>
      <x:c r="D704" s="13" t="str">
        <x:v>1. Crear Factura 01 venta interna en VES y agregar fixture Mixto
2. Elegir Crédito con cuotas; pago completo si Contado, vencimiento/cuotas válidas si Crédito
3. Guardar y consultar líneas, IVA, saldo, caja, stock, calendario y resultado fiscal</x:v>
      </x:c>
      <x:c r="E704" s="13" t="str">
        <x:v>Total 166 VES; IVA 16 VES; saldo 0 en contado pagado o 166 en crédito sin cobros; no entrada ficticia de caja. Tasa/símbolo/condición conservados. La validación comercial y la preparación/aceptación HKA se registran aparte; condición 03 no se traduce por su posición.</x:v>
      </x:c>
      <x:c r="F704" s="13" t="str">
        <x:v>Fuentes: app/Services/Fiscal/FiscalDocumentPersistence.php; resources/js/views/tenant/documents/invoice_generate.vue; config/venezuela.php
Entrada: Comprobantes web y formulario de notas</x:v>
      </x:c>
    </x:row>
    <x:row r="705" ht="56" customHeight="1">
      <x:c r="A705" s="13" t="str">
        <x:v>QA-COM-010</x:v>
      </x:c>
      <x:c r="B705" s="13" t="str">
        <x:v>Factura 01 / USD / Gravado / Contado</x:v>
      </x:c>
      <x:c r="C705" s="13" t="str">
        <x:v>Por variante: serie nueva o continuación autorizada, comprador doméstico, P-G 116/P-E 50 en la moneda seleccionada; R 1; estado HKA separado.
Moneda USD; fixture Gravado; condición 01; total 116; tasa R 1.</x:v>
      </x:c>
      <x:c r="D705" s="13" t="str">
        <x:v>1. Crear Factura 01 venta interna en USD y agregar fixture Gravado
2. Elegir Contado; pago completo si Contado, vencimiento/cuotas válidas si Crédito
3. Guardar y consultar líneas, IVA, saldo, caja, stock, calendario y resultado fiscal</x:v>
      </x:c>
      <x:c r="E705" s="13" t="str">
        <x:v>Total 116 USD; IVA 16 USD; saldo 0 en contado pagado o 116 en crédito sin cobros; no entrada ficticia de caja. Tasa/símbolo/condición conservados. La validación comercial y la preparación/aceptación HKA se registran aparte; condición 03 no se traduce por su posición.</x:v>
      </x:c>
      <x:c r="F705" s="13" t="str">
        <x:v>Fuentes: app/Services/Fiscal/FiscalDocumentPersistence.php; resources/js/views/tenant/documents/invoice_generate.vue; config/venezuela.php
Entrada: Comprobantes web y formulario de notas</x:v>
      </x:c>
    </x:row>
    <x:row r="706" ht="56" customHeight="1">
      <x:c r="A706" s="13" t="str">
        <x:v>QA-COM-011</x:v>
      </x:c>
      <x:c r="B706" s="13" t="str">
        <x:v>Factura 01 / USD / Gravado / Crédito</x:v>
      </x:c>
      <x:c r="C706" s="13" t="str">
        <x:v>Por variante: serie nueva o continuación autorizada, comprador doméstico, P-G 116/P-E 50 en la moneda seleccionada; R 1; estado HKA separado.
Moneda USD; fixture Gravado; condición 02; total 116; tasa R 1.</x:v>
      </x:c>
      <x:c r="D706" s="13" t="str">
        <x:v>1. Crear Factura 01 venta interna en USD y agregar fixture Gravado
2. Elegir Crédito; pago completo si Contado, vencimiento/cuotas válidas si Crédito
3. Guardar y consultar líneas, IVA, saldo, caja, stock, calendario y resultado fiscal</x:v>
      </x:c>
      <x:c r="E706" s="13" t="str">
        <x:v>Total 116 USD; IVA 16 USD; saldo 0 en contado pagado o 116 en crédito sin cobros; no entrada ficticia de caja. Tasa/símbolo/condición conservados. La validación comercial y la preparación/aceptación HKA se registran aparte; condición 03 no se traduce por su posición.</x:v>
      </x:c>
      <x:c r="F706" s="13" t="str">
        <x:v>Fuentes: app/Services/Fiscal/FiscalDocumentPersistence.php; resources/js/views/tenant/documents/invoice_generate.vue; config/venezuela.php
Entrada: Comprobantes web y formulario de notas</x:v>
      </x:c>
    </x:row>
    <x:row r="707" ht="56" customHeight="1">
      <x:c r="A707" s="13" t="str">
        <x:v>QA-COM-012</x:v>
      </x:c>
      <x:c r="B707" s="13" t="str">
        <x:v>Factura 01 / USD / Gravado / Crédito con cuotas</x:v>
      </x:c>
      <x:c r="C707" s="13" t="str">
        <x:v>Por variante: serie nueva o continuación autorizada, comprador doméstico, P-G 116/P-E 50 en la moneda seleccionada; R 1; estado HKA separado.
Moneda USD; fixture Gravado; condición 03; total 116; tasa R 1.</x:v>
      </x:c>
      <x:c r="D707" s="13" t="str">
        <x:v>1. Crear Factura 01 venta interna en USD y agregar fixture Gravado
2. Elegir Crédito con cuotas; pago completo si Contado, vencimiento/cuotas válidas si Crédito
3. Guardar y consultar líneas, IVA, saldo, caja, stock, calendario y resultado fiscal</x:v>
      </x:c>
      <x:c r="E707" s="13" t="str">
        <x:v>Total 116 USD; IVA 16 USD; saldo 0 en contado pagado o 116 en crédito sin cobros; no entrada ficticia de caja. Tasa/símbolo/condición conservados. La validación comercial y la preparación/aceptación HKA se registran aparte; condición 03 no se traduce por su posición.</x:v>
      </x:c>
      <x:c r="F707" s="13" t="str">
        <x:v>Fuentes: app/Services/Fiscal/FiscalDocumentPersistence.php; resources/js/views/tenant/documents/invoice_generate.vue; config/venezuela.php
Entrada: Comprobantes web y formulario de notas</x:v>
      </x:c>
    </x:row>
    <x:row r="708" ht="56" customHeight="1">
      <x:c r="A708" s="13" t="str">
        <x:v>QA-COM-013</x:v>
      </x:c>
      <x:c r="B708" s="13" t="str">
        <x:v>Factura 01 / USD / Exento / Contado</x:v>
      </x:c>
      <x:c r="C708" s="13" t="str">
        <x:v>Por variante: serie nueva o continuación autorizada, comprador doméstico, P-G 116/P-E 50 en la moneda seleccionada; R 1; estado HKA separado.
Moneda USD; fixture Exento; condición 01; total 50; tasa R 1.</x:v>
      </x:c>
      <x:c r="D708" s="13" t="str">
        <x:v>1. Crear Factura 01 venta interna en USD y agregar fixture Exento
2. Elegir Contado; pago completo si Contado, vencimiento/cuotas válidas si Crédito
3. Guardar y consultar líneas, IVA, saldo, caja, stock, calendario y resultado fiscal</x:v>
      </x:c>
      <x:c r="E708" s="13" t="str">
        <x:v>Total 50 USD; IVA 0 USD; saldo 0 en contado pagado o 50 en crédito sin cobros; no entrada ficticia de caja. Tasa/símbolo/condición conservados. La validación comercial y la preparación/aceptación HKA se registran aparte; condición 03 no se traduce por su posición.</x:v>
      </x:c>
      <x:c r="F708" s="13" t="str">
        <x:v>Fuentes: app/Services/Fiscal/FiscalDocumentPersistence.php; resources/js/views/tenant/documents/invoice_generate.vue; config/venezuela.php
Entrada: Comprobantes web y formulario de notas</x:v>
      </x:c>
    </x:row>
    <x:row r="709" ht="56" customHeight="1">
      <x:c r="A709" s="13" t="str">
        <x:v>QA-COM-014</x:v>
      </x:c>
      <x:c r="B709" s="13" t="str">
        <x:v>Factura 01 / USD / Exento / Crédito</x:v>
      </x:c>
      <x:c r="C709" s="13" t="str">
        <x:v>Por variante: serie nueva o continuación autorizada, comprador doméstico, P-G 116/P-E 50 en la moneda seleccionada; R 1; estado HKA separado.
Moneda USD; fixture Exento; condición 02; total 50; tasa R 1.</x:v>
      </x:c>
      <x:c r="D709" s="13" t="str">
        <x:v>1. Crear Factura 01 venta interna en USD y agregar fixture Exento
2. Elegir Crédito; pago completo si Contado, vencimiento/cuotas válidas si Crédito
3. Guardar y consultar líneas, IVA, saldo, caja, stock, calendario y resultado fiscal</x:v>
      </x:c>
      <x:c r="E709" s="13" t="str">
        <x:v>Total 50 USD; IVA 0 USD; saldo 0 en contado pagado o 50 en crédito sin cobros; no entrada ficticia de caja. Tasa/símbolo/condición conservados. La validación comercial y la preparación/aceptación HKA se registran aparte; condición 03 no se traduce por su posición.</x:v>
      </x:c>
      <x:c r="F709" s="13" t="str">
        <x:v>Fuentes: app/Services/Fiscal/FiscalDocumentPersistence.php; resources/js/views/tenant/documents/invoice_generate.vue; config/venezuela.php
Entrada: Comprobantes web y formulario de notas</x:v>
      </x:c>
    </x:row>
    <x:row r="710" ht="56" customHeight="1">
      <x:c r="A710" s="13" t="str">
        <x:v>QA-COM-015</x:v>
      </x:c>
      <x:c r="B710" s="13" t="str">
        <x:v>Factura 01 / USD / Exento / Crédito con cuotas</x:v>
      </x:c>
      <x:c r="C710" s="13" t="str">
        <x:v>Por variante: serie nueva o continuación autorizada, comprador doméstico, P-G 116/P-E 50 en la moneda seleccionada; R 1; estado HKA separado.
Moneda USD; fixture Exento; condición 03; total 50; tasa R 1.</x:v>
      </x:c>
      <x:c r="D710" s="13" t="str">
        <x:v>1. Crear Factura 01 venta interna en USD y agregar fixture Exento
2. Elegir Crédito con cuotas; pago completo si Contado, vencimiento/cuotas válidas si Crédito
3. Guardar y consultar líneas, IVA, saldo, caja, stock, calendario y resultado fiscal</x:v>
      </x:c>
      <x:c r="E710" s="13" t="str">
        <x:v>Total 50 USD; IVA 0 USD; saldo 0 en contado pagado o 50 en crédito sin cobros; no entrada ficticia de caja. Tasa/símbolo/condición conservados. La validación comercial y la preparación/aceptación HKA se registran aparte; condición 03 no se traduce por su posición.</x:v>
      </x:c>
      <x:c r="F710" s="13" t="str">
        <x:v>Fuentes: app/Services/Fiscal/FiscalDocumentPersistence.php; resources/js/views/tenant/documents/invoice_generate.vue; config/venezuela.php
Entrada: Comprobantes web y formulario de notas</x:v>
      </x:c>
    </x:row>
    <x:row r="711" ht="56" customHeight="1">
      <x:c r="A711" s="13" t="str">
        <x:v>QA-COM-016</x:v>
      </x:c>
      <x:c r="B711" s="13" t="str">
        <x:v>Factura 01 / USD / Mixto / Contado</x:v>
      </x:c>
      <x:c r="C711" s="13" t="str">
        <x:v>Por variante: serie nueva o continuación autorizada, comprador doméstico, P-G 116/P-E 50 en la moneda seleccionada; R 1; estado HKA separado.
Moneda USD; fixture Mixto; condición 01; total 166; tasa R 1.</x:v>
      </x:c>
      <x:c r="D711" s="13" t="str">
        <x:v>1. Crear Factura 01 venta interna en USD y agregar fixture Mixto
2. Elegir Contado; pago completo si Contado, vencimiento/cuotas válidas si Crédito
3. Guardar y consultar líneas, IVA, saldo, caja, stock, calendario y resultado fiscal</x:v>
      </x:c>
      <x:c r="E711" s="13" t="str">
        <x:v>Total 166 USD; IVA 16 USD; saldo 0 en contado pagado o 166 en crédito sin cobros; no entrada ficticia de caja. Tasa/símbolo/condición conservados. La validación comercial y la preparación/aceptación HKA se registran aparte; condición 03 no se traduce por su posición.</x:v>
      </x:c>
      <x:c r="F711" s="13" t="str">
        <x:v>Fuentes: app/Services/Fiscal/FiscalDocumentPersistence.php; resources/js/views/tenant/documents/invoice_generate.vue; config/venezuela.php
Entrada: Comprobantes web y formulario de notas</x:v>
      </x:c>
    </x:row>
    <x:row r="712" ht="56" customHeight="1">
      <x:c r="A712" s="13" t="str">
        <x:v>QA-COM-017</x:v>
      </x:c>
      <x:c r="B712" s="13" t="str">
        <x:v>Factura 01 / USD / Mixto / Crédito</x:v>
      </x:c>
      <x:c r="C712" s="13" t="str">
        <x:v>Por variante: serie nueva o continuación autorizada, comprador doméstico, P-G 116/P-E 50 en la moneda seleccionada; R 1; estado HKA separado.
Moneda USD; fixture Mixto; condición 02; total 166; tasa R 1.</x:v>
      </x:c>
      <x:c r="D712" s="13" t="str">
        <x:v>1. Crear Factura 01 venta interna en USD y agregar fixture Mixto
2. Elegir Crédito; pago completo si Contado, vencimiento/cuotas válidas si Crédito
3. Guardar y consultar líneas, IVA, saldo, caja, stock, calendario y resultado fiscal</x:v>
      </x:c>
      <x:c r="E712" s="13" t="str">
        <x:v>Total 166 USD; IVA 16 USD; saldo 0 en contado pagado o 166 en crédito sin cobros; no entrada ficticia de caja. Tasa/símbolo/condición conservados. La validación comercial y la preparación/aceptación HKA se registran aparte; condición 03 no se traduce por su posición.</x:v>
      </x:c>
      <x:c r="F712" s="13" t="str">
        <x:v>Fuentes: app/Services/Fiscal/FiscalDocumentPersistence.php; resources/js/views/tenant/documents/invoice_generate.vue; config/venezuela.php
Entrada: Comprobantes web y formulario de notas</x:v>
      </x:c>
    </x:row>
    <x:row r="713" ht="56" customHeight="1">
      <x:c r="A713" s="13" t="str">
        <x:v>QA-COM-018</x:v>
      </x:c>
      <x:c r="B713" s="13" t="str">
        <x:v>Factura 01 / USD / Mixto / Crédito con cuotas</x:v>
      </x:c>
      <x:c r="C713" s="13" t="str">
        <x:v>Por variante: serie nueva o continuación autorizada, comprador doméstico, P-G 116/P-E 50 en la moneda seleccionada; R 1; estado HKA separado.
Moneda USD; fixture Mixto; condición 03; total 166; tasa R 1.</x:v>
      </x:c>
      <x:c r="D713" s="13" t="str">
        <x:v>1. Crear Factura 01 venta interna en USD y agregar fixture Mixto
2. Elegir Crédito con cuotas; pago completo si Contado, vencimiento/cuotas válidas si Crédito
3. Guardar y consultar líneas, IVA, saldo, caja, stock, calendario y resultado fiscal</x:v>
      </x:c>
      <x:c r="E713" s="13" t="str">
        <x:v>Total 166 USD; IVA 16 USD; saldo 0 en contado pagado o 166 en crédito sin cobros; no entrada ficticia de caja. Tasa/símbolo/condición conservados. La validación comercial y la preparación/aceptación HKA se registran aparte; condición 03 no se traduce por su posición.</x:v>
      </x:c>
      <x:c r="F713" s="13" t="str">
        <x:v>Fuentes: app/Services/Fiscal/FiscalDocumentPersistence.php; resources/js/views/tenant/documents/invoice_generate.vue; config/venezuela.php
Entrada: Comprobantes web y formulario de notas</x:v>
      </x:c>
    </x:row>
    <x:row r="714" ht="68" customHeight="1">
      <x:c r="A714" s="13" t="str">
        <x:v>QA-COM-019</x:v>
      </x:c>
      <x:c r="B714" s="13" t="str">
        <x:v>Nota 07 / VES / Gravado</x:v>
      </x:c>
      <x:c r="C714" s="13" t="str">
        <x:v>Por variante: serie nueva o continuación autorizada, comprador doméstico, P-G 116/P-E 50 en la moneda seleccionada; R 1; estado HKA separado.
Factura ordinaria de referencia en VES, afectaciones Gravado, cliente/sucursal/ambiente compatibles.</x:v>
      </x:c>
      <x:c r="D714" s="13" t="str">
        <x:v>1. Abrir nota 07 y escoger motivo vigente
2. Agregar ajuste/devolución compatible con afectaciones Gravado
3. Guardar y consultar base/IVA/total/referencia/saldo/inventario</x:v>
      </x:c>
      <x:c r="E714" s="13" t="str">
        <x:v>Nota 07 conserva moneda VES; cada línea usa 10/20 según su naturaleza. Bases/IVA y ajuste concilian con la referencia; no se presupone aceptación remota de notas.</x:v>
      </x:c>
      <x:c r="F714" s="13" t="str">
        <x:v>Fuentes: app/Services/Fiscal/FiscalDocumentPersistence.php; resources/js/views/tenant/documents/invoice_generate.vue; config/venezuela.php
Entrada: Comprobantes web y formulario de notas</x:v>
      </x:c>
    </x:row>
    <x:row r="715" ht="68" customHeight="1">
      <x:c r="A715" s="13" t="str">
        <x:v>QA-COM-020</x:v>
      </x:c>
      <x:c r="B715" s="13" t="str">
        <x:v>Nota 07 / VES / Exento</x:v>
      </x:c>
      <x:c r="C715" s="13" t="str">
        <x:v>Por variante: serie nueva o continuación autorizada, comprador doméstico, P-G 116/P-E 50 en la moneda seleccionada; R 1; estado HKA separado.
Factura ordinaria de referencia en VES, afectaciones Exento, cliente/sucursal/ambiente compatibles.</x:v>
      </x:c>
      <x:c r="D715" s="13" t="str">
        <x:v>1. Abrir nota 07 y escoger motivo vigente
2. Agregar ajuste/devolución compatible con afectaciones Exento
3. Guardar y consultar base/IVA/total/referencia/saldo/inventario</x:v>
      </x:c>
      <x:c r="E715" s="13" t="str">
        <x:v>Nota 07 conserva moneda VES; cada línea usa 10/20 según su naturaleza. Bases/IVA y ajuste concilian con la referencia; no se presupone aceptación remota de notas.</x:v>
      </x:c>
      <x:c r="F715" s="13" t="str">
        <x:v>Fuentes: app/Services/Fiscal/FiscalDocumentPersistence.php; resources/js/views/tenant/documents/invoice_generate.vue; config/venezuela.php
Entrada: Comprobantes web y formulario de notas</x:v>
      </x:c>
    </x:row>
    <x:row r="716" ht="68" customHeight="1">
      <x:c r="A716" s="13" t="str">
        <x:v>QA-COM-021</x:v>
      </x:c>
      <x:c r="B716" s="13" t="str">
        <x:v>Nota 07 / VES / Mixto</x:v>
      </x:c>
      <x:c r="C716" s="13" t="str">
        <x:v>Por variante: serie nueva o continuación autorizada, comprador doméstico, P-G 116/P-E 50 en la moneda seleccionada; R 1; estado HKA separado.
Factura ordinaria de referencia en VES, afectaciones Mixto, cliente/sucursal/ambiente compatibles.</x:v>
      </x:c>
      <x:c r="D716" s="13" t="str">
        <x:v>1. Abrir nota 07 y escoger motivo vigente
2. Agregar ajuste/devolución compatible con afectaciones Mixto
3. Guardar y consultar base/IVA/total/referencia/saldo/inventario</x:v>
      </x:c>
      <x:c r="E716" s="13" t="str">
        <x:v>Nota 07 conserva moneda VES; cada línea usa 10/20 según su naturaleza. Bases/IVA y ajuste concilian con la referencia; no se presupone aceptación remota de notas.</x:v>
      </x:c>
      <x:c r="F716" s="13" t="str">
        <x:v>Fuentes: app/Services/Fiscal/FiscalDocumentPersistence.php; resources/js/views/tenant/documents/invoice_generate.vue; config/venezuela.php
Entrada: Comprobantes web y formulario de notas</x:v>
      </x:c>
    </x:row>
    <x:row r="717" ht="68" customHeight="1">
      <x:c r="A717" s="13" t="str">
        <x:v>QA-COM-022</x:v>
      </x:c>
      <x:c r="B717" s="13" t="str">
        <x:v>Nota 07 / USD / Gravado</x:v>
      </x:c>
      <x:c r="C717" s="13" t="str">
        <x:v>Por variante: serie nueva o continuación autorizada, comprador doméstico, P-G 116/P-E 50 en la moneda seleccionada; R 1; estado HKA separado.
Factura ordinaria de referencia en USD, afectaciones Gravado, cliente/sucursal/ambiente compatibles.</x:v>
      </x:c>
      <x:c r="D717" s="13" t="str">
        <x:v>1. Abrir nota 07 y escoger motivo vigente
2. Agregar ajuste/devolución compatible con afectaciones Gravado
3. Guardar y consultar base/IVA/total/referencia/saldo/inventario</x:v>
      </x:c>
      <x:c r="E717" s="13" t="str">
        <x:v>Nota 07 conserva moneda USD; cada línea usa 10/20 según su naturaleza. Bases/IVA y ajuste concilian con la referencia; no se presupone aceptación remota de notas.</x:v>
      </x:c>
      <x:c r="F717" s="13" t="str">
        <x:v>Fuentes: app/Services/Fiscal/FiscalDocumentPersistence.php; resources/js/views/tenant/documents/invoice_generate.vue; config/venezuela.php
Entrada: Comprobantes web y formulario de notas</x:v>
      </x:c>
    </x:row>
    <x:row r="718" ht="68" customHeight="1">
      <x:c r="A718" s="13" t="str">
        <x:v>QA-COM-023</x:v>
      </x:c>
      <x:c r="B718" s="13" t="str">
        <x:v>Nota 07 / USD / Exento</x:v>
      </x:c>
      <x:c r="C718" s="13" t="str">
        <x:v>Por variante: serie nueva o continuación autorizada, comprador doméstico, P-G 116/P-E 50 en la moneda seleccionada; R 1; estado HKA separado.
Factura ordinaria de referencia en USD, afectaciones Exento, cliente/sucursal/ambiente compatibles.</x:v>
      </x:c>
      <x:c r="D718" s="13" t="str">
        <x:v>1. Abrir nota 07 y escoger motivo vigente
2. Agregar ajuste/devolución compatible con afectaciones Exento
3. Guardar y consultar base/IVA/total/referencia/saldo/inventario</x:v>
      </x:c>
      <x:c r="E718" s="13" t="str">
        <x:v>Nota 07 conserva moneda USD; cada línea usa 10/20 según su naturaleza. Bases/IVA y ajuste concilian con la referencia; no se presupone aceptación remota de notas.</x:v>
      </x:c>
      <x:c r="F718" s="13" t="str">
        <x:v>Fuentes: app/Services/Fiscal/FiscalDocumentPersistence.php; resources/js/views/tenant/documents/invoice_generate.vue; config/venezuela.php
Entrada: Comprobantes web y formulario de notas</x:v>
      </x:c>
    </x:row>
    <x:row r="719" ht="68" customHeight="1">
      <x:c r="A719" s="13" t="str">
        <x:v>QA-COM-024</x:v>
      </x:c>
      <x:c r="B719" s="13" t="str">
        <x:v>Nota 07 / USD / Mixto</x:v>
      </x:c>
      <x:c r="C719" s="13" t="str">
        <x:v>Por variante: serie nueva o continuación autorizada, comprador doméstico, P-G 116/P-E 50 en la moneda seleccionada; R 1; estado HKA separado.
Factura ordinaria de referencia en USD, afectaciones Mixto, cliente/sucursal/ambiente compatibles.</x:v>
      </x:c>
      <x:c r="D719" s="13" t="str">
        <x:v>1. Abrir nota 07 y escoger motivo vigente
2. Agregar ajuste/devolución compatible con afectaciones Mixto
3. Guardar y consultar base/IVA/total/referencia/saldo/inventario</x:v>
      </x:c>
      <x:c r="E719" s="13" t="str">
        <x:v>Nota 07 conserva moneda USD; cada línea usa 10/20 según su naturaleza. Bases/IVA y ajuste concilian con la referencia; no se presupone aceptación remota de notas.</x:v>
      </x:c>
      <x:c r="F719" s="13" t="str">
        <x:v>Fuentes: app/Services/Fiscal/FiscalDocumentPersistence.php; resources/js/views/tenant/documents/invoice_generate.vue; config/venezuela.php
Entrada: Comprobantes web y formulario de notas</x:v>
      </x:c>
    </x:row>
    <x:row r="720" ht="68" customHeight="1">
      <x:c r="A720" s="13" t="str">
        <x:v>QA-COM-025</x:v>
      </x:c>
      <x:c r="B720" s="13" t="str">
        <x:v>Nota 08 / VES / Gravado</x:v>
      </x:c>
      <x:c r="C720" s="13" t="str">
        <x:v>Por variante: serie nueva o continuación autorizada, comprador doméstico, P-G 116/P-E 50 en la moneda seleccionada; R 1; estado HKA separado.
Factura ordinaria de referencia en VES, afectaciones Gravado, cliente/sucursal/ambiente compatibles.</x:v>
      </x:c>
      <x:c r="D720" s="13" t="str">
        <x:v>1. Abrir nota 08 y escoger motivo vigente
2. Agregar ajuste/devolución compatible con afectaciones Gravado
3. Guardar y consultar base/IVA/total/referencia/saldo/inventario</x:v>
      </x:c>
      <x:c r="E720" s="13" t="str">
        <x:v>Nota 08 conserva moneda VES; cada línea usa 10/20 según su naturaleza. Bases/IVA y ajuste concilian con la referencia; no se presupone aceptación remota de notas.</x:v>
      </x:c>
      <x:c r="F720" s="13" t="str">
        <x:v>Fuentes: app/Services/Fiscal/FiscalDocumentPersistence.php; resources/js/views/tenant/documents/invoice_generate.vue; config/venezuela.php
Entrada: Comprobantes web y formulario de notas</x:v>
      </x:c>
    </x:row>
    <x:row r="721" ht="68" customHeight="1">
      <x:c r="A721" s="13" t="str">
        <x:v>QA-COM-026</x:v>
      </x:c>
      <x:c r="B721" s="13" t="str">
        <x:v>Nota 08 / VES / Exento</x:v>
      </x:c>
      <x:c r="C721" s="13" t="str">
        <x:v>Por variante: serie nueva o continuación autorizada, comprador doméstico, P-G 116/P-E 50 en la moneda seleccionada; R 1; estado HKA separado.
Factura ordinaria de referencia en VES, afectaciones Exento, cliente/sucursal/ambiente compatibles.</x:v>
      </x:c>
      <x:c r="D721" s="13" t="str">
        <x:v>1. Abrir nota 08 y escoger motivo vigente
2. Agregar ajuste/devolución compatible con afectaciones Exento
3. Guardar y consultar base/IVA/total/referencia/saldo/inventario</x:v>
      </x:c>
      <x:c r="E721" s="13" t="str">
        <x:v>Nota 08 conserva moneda VES; cada línea usa 10/20 según su naturaleza. Bases/IVA y ajuste concilian con la referencia; no se presupone aceptación remota de notas.</x:v>
      </x:c>
      <x:c r="F721" s="13" t="str">
        <x:v>Fuentes: app/Services/Fiscal/FiscalDocumentPersistence.php; resources/js/views/tenant/documents/invoice_generate.vue; config/venezuela.php
Entrada: Comprobantes web y formulario de notas</x:v>
      </x:c>
    </x:row>
    <x:row r="722" ht="68" customHeight="1">
      <x:c r="A722" s="13" t="str">
        <x:v>QA-COM-027</x:v>
      </x:c>
      <x:c r="B722" s="13" t="str">
        <x:v>Nota 08 / VES / Mixto</x:v>
      </x:c>
      <x:c r="C722" s="13" t="str">
        <x:v>Por variante: serie nueva o continuación autorizada, comprador doméstico, P-G 116/P-E 50 en la moneda seleccionada; R 1; estado HKA separado.
Factura ordinaria de referencia en VES, afectaciones Mixto, cliente/sucursal/ambiente compatibles.</x:v>
      </x:c>
      <x:c r="D722" s="13" t="str">
        <x:v>1. Abrir nota 08 y escoger motivo vigente
2. Agregar ajuste/devolución compatible con afectaciones Mixto
3. Guardar y consultar base/IVA/total/referencia/saldo/inventario</x:v>
      </x:c>
      <x:c r="E722" s="13" t="str">
        <x:v>Nota 08 conserva moneda VES; cada línea usa 10/20 según su naturaleza. Bases/IVA y ajuste concilian con la referencia; no se presupone aceptación remota de notas.</x:v>
      </x:c>
      <x:c r="F722" s="13" t="str">
        <x:v>Fuentes: app/Services/Fiscal/FiscalDocumentPersistence.php; resources/js/views/tenant/documents/invoice_generate.vue; config/venezuela.php
Entrada: Comprobantes web y formulario de notas</x:v>
      </x:c>
    </x:row>
    <x:row r="723" ht="68" customHeight="1">
      <x:c r="A723" s="13" t="str">
        <x:v>QA-COM-028</x:v>
      </x:c>
      <x:c r="B723" s="13" t="str">
        <x:v>Nota 08 / USD / Gravado</x:v>
      </x:c>
      <x:c r="C723" s="13" t="str">
        <x:v>Por variante: serie nueva o continuación autorizada, comprador doméstico, P-G 116/P-E 50 en la moneda seleccionada; R 1; estado HKA separado.
Factura ordinaria de referencia en USD, afectaciones Gravado, cliente/sucursal/ambiente compatibles.</x:v>
      </x:c>
      <x:c r="D723" s="13" t="str">
        <x:v>1. Abrir nota 08 y escoger motivo vigente
2. Agregar ajuste/devolución compatible con afectaciones Gravado
3. Guardar y consultar base/IVA/total/referencia/saldo/inventario</x:v>
      </x:c>
      <x:c r="E723" s="13" t="str">
        <x:v>Nota 08 conserva moneda USD; cada línea usa 10/20 según su naturaleza. Bases/IVA y ajuste concilian con la referencia; no se presupone aceptación remota de notas.</x:v>
      </x:c>
      <x:c r="F723" s="13" t="str">
        <x:v>Fuentes: app/Services/Fiscal/FiscalDocumentPersistence.php; resources/js/views/tenant/documents/invoice_generate.vue; config/venezuela.php
Entrada: Comprobantes web y formulario de notas</x:v>
      </x:c>
    </x:row>
    <x:row r="724" ht="68" customHeight="1">
      <x:c r="A724" s="13" t="str">
        <x:v>QA-COM-029</x:v>
      </x:c>
      <x:c r="B724" s="13" t="str">
        <x:v>Nota 08 / USD / Exento</x:v>
      </x:c>
      <x:c r="C724" s="13" t="str">
        <x:v>Por variante: serie nueva o continuación autorizada, comprador doméstico, P-G 116/P-E 50 en la moneda seleccionada; R 1; estado HKA separado.
Factura ordinaria de referencia en USD, afectaciones Exento, cliente/sucursal/ambiente compatibles.</x:v>
      </x:c>
      <x:c r="D724" s="13" t="str">
        <x:v>1. Abrir nota 08 y escoger motivo vigente
2. Agregar ajuste/devolución compatible con afectaciones Exento
3. Guardar y consultar base/IVA/total/referencia/saldo/inventario</x:v>
      </x:c>
      <x:c r="E724" s="13" t="str">
        <x:v>Nota 08 conserva moneda USD; cada línea usa 10/20 según su naturaleza. Bases/IVA y ajuste concilian con la referencia; no se presupone aceptación remota de notas.</x:v>
      </x:c>
      <x:c r="F724" s="13" t="str">
        <x:v>Fuentes: app/Services/Fiscal/FiscalDocumentPersistence.php; resources/js/views/tenant/documents/invoice_generate.vue; config/venezuela.php
Entrada: Comprobantes web y formulario de notas</x:v>
      </x:c>
    </x:row>
    <x:row r="725" ht="68" customHeight="1">
      <x:c r="A725" s="13" t="str">
        <x:v>QA-COM-030</x:v>
      </x:c>
      <x:c r="B725" s="13" t="str">
        <x:v>Nota 08 / USD / Mixto</x:v>
      </x:c>
      <x:c r="C725" s="13" t="str">
        <x:v>Por variante: serie nueva o continuación autorizada, comprador doméstico, P-G 116/P-E 50 en la moneda seleccionada; R 1; estado HKA separado.
Factura ordinaria de referencia en USD, afectaciones Mixto, cliente/sucursal/ambiente compatibles.</x:v>
      </x:c>
      <x:c r="D725" s="13" t="str">
        <x:v>1. Abrir nota 08 y escoger motivo vigente
2. Agregar ajuste/devolución compatible con afectaciones Mixto
3. Guardar y consultar base/IVA/total/referencia/saldo/inventario</x:v>
      </x:c>
      <x:c r="E725" s="13" t="str">
        <x:v>Nota 08 conserva moneda USD; cada línea usa 10/20 según su naturaleza. Bases/IVA y ajuste concilian con la referencia; no se presupone aceptación remota de notas.</x:v>
      </x:c>
      <x:c r="F725" s="13" t="str">
        <x:v>Fuentes: app/Services/Fiscal/FiscalDocumentPersistence.php; resources/js/views/tenant/documents/invoice_generate.vue; config/venezuela.php
Entrada: Comprobantes web y formulario de notas</x:v>
      </x:c>
    </x:row>
  </x:sheetData>
  <x:pageMargins left="0.7" right="0.7" top="0.75" bottom="0.75" header="0.3" footer="0.3"/>
  <x:tableParts count="1">
    <x:tablePart xmlns:r="http://schemas.openxmlformats.org/officeDocument/2006/relationships" r:id="Rc681362ac6ad49c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9" hidden="0" customWidth="1"/>
    <x:col min="2" max="2" width="20" hidden="0" customWidth="1"/>
    <x:col min="3" max="3" width="55" hidden="0" customWidth="1"/>
    <x:col min="4" max="4" width="12" hidden="0" customWidth="1"/>
    <x:col min="5" max="5" width="19" hidden="0" customWidth="1"/>
    <x:col min="6" max="6" width="31" hidden="0" customWidth="1"/>
    <x:col min="7" max="7" width="15" hidden="0" customWidth="1"/>
    <x:col min="8" max="8" width="64" hidden="0" customWidth="1"/>
    <x:col min="9" max="9" width="49" hidden="0" customWidth="1"/>
    <x:col min="10" max="10" width="49" hidden="0" customWidth="1"/>
    <x:col min="11" max="11" width="24" hidden="0" customWidth="1"/>
    <x:col min="12" max="12" width="25" hidden="0" customWidth="1"/>
    <x:col min="13" max="13" width="12" hidden="0" customWidth="1"/>
    <x:col min="14" max="14" width="4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7" customHeight="1">
      <x:c r="A2" s="3" t="str">
        <x:v>Resultados individuales de variantes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 t="str">
        <x:v>Una fila por variante; ID padre enlaza con Resultados. No mezcle ambos conteos.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 ht="36" customHeight="1">
      <x:c r="A5" s="8" t="str">
        <x:v>ID variante</x:v>
      </x:c>
      <x:c r="B5" s="8" t="str">
        <x:v>ID padre</x:v>
      </x:c>
      <x:c r="C5" s="8" t="str">
        <x:v>Descripción / datos</x:v>
      </x:c>
      <x:c r="D5" s="8" t="str">
        <x:v>Prioridad</x:v>
      </x:c>
      <x:c r="E5" s="8" t="str">
        <x:v>Clase</x:v>
      </x:c>
      <x:c r="F5" s="8" t="str">
        <x:v>Capa requerida</x:v>
      </x:c>
      <x:c r="G5" s="8" t="str">
        <x:v>Estado</x:v>
      </x:c>
      <x:c r="H5" s="8" t="str">
        <x:v>Resultado observado</x:v>
      </x:c>
      <x:c r="I5" s="8" t="str">
        <x:v>Evidencia</x:v>
      </x:c>
      <x:c r="J5" s="8" t="str">
        <x:v>Defecto / bloqueo</x:v>
      </x:c>
      <x:c r="K5" s="8" t="str">
        <x:v>Agente</x:v>
      </x:c>
      <x:c r="L5" s="8" t="str">
        <x:v>Fecha y hora Caracas</x:v>
      </x:c>
      <x:c r="M5" s="8" t="str">
        <x:v>Iteración</x:v>
      </x:c>
      <x:c r="N5" s="8" t="str">
        <x:v>Documento / operación</x:v>
      </x:c>
    </x:row>
    <x:row r="6" ht="40" customHeight="1">
      <x:c r="A6" s="10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1"/>
      <x:c r="M6" s="12"/>
      <x:c r="N6" s="10"/>
    </x:row>
  </x:sheetData>
  <x:dataValidations count="1">
    <x:dataValidation type="list" sqref="G6:G5005">
      <x:formula1>"Pendiente,Aprobó,Reprobó,Bloqueada,No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e6184cb2894f00"/>
  </x:tableParts>
</x:worksheet>
</file>